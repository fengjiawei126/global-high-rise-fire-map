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096b5a4ca1414d" /></Relationships>
</file>

<file path=xl/workbook.xml><?xml version="1.0" encoding="utf-8"?>
<x:workbook xmlns:x="http://schemas.openxmlformats.org/spreadsheetml/2006/main">
  <x:sheets>
    <x:sheet xmlns:r="http://schemas.openxmlformats.org/officeDocument/2006/relationships" name="事件主表" sheetId="1" r:id="Rd3694427288b4c7a"/>
    <x:sheet xmlns:r="http://schemas.openxmlformats.org/officeDocument/2006/relationships" name="原始候选" sheetId="2" r:id="R3c98485dcccf41c9"/>
    <x:sheet xmlns:r="http://schemas.openxmlformats.org/officeDocument/2006/relationships" name="覆盖统计" sheetId="3" r:id="R71eb0f1a235e484d"/>
    <x:sheet xmlns:r="http://schemas.openxmlformats.org/officeDocument/2006/relationships" name="来源清单" sheetId="4" r:id="R0f3f7ed08577413c"/>
    <x:sheet xmlns:r="http://schemas.openxmlformats.org/officeDocument/2006/relationships" name="口径与核验" sheetId="5" r:id="R96678c3aa5d9490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000"/>
    <x:numFmt numFmtId="202" formatCode="#,##0"/>
  </x:numFmts>
  <x:fonts count="12">
    <x:font>
      <x:sz val="11"/>
      <x:name val="Carlito"/>
    </x:font>
    <x:font>
      <x:sz val="10"/>
      <x:color rgb="FF1F2937"/>
      <x:name val="Aptos"/>
    </x:font>
    <x:font>
      <x:b/>
      <x:sz val="10"/>
      <x:color rgb="FFFFFFFF"/>
      <x:name val="Aptos"/>
    </x:font>
    <x:font>
      <x:b/>
      <x:sz val="16"/>
      <x:color rgb="FFFFFFFF"/>
      <x:name val="Aptos Display"/>
    </x:font>
    <x:font>
      <x:i/>
      <x:sz val="11"/>
      <x:color rgb="FF5B6573"/>
      <x:name val="Carlito"/>
    </x:font>
    <x:font>
      <x:sz val="11"/>
      <x:name val="Aptos"/>
    </x:font>
    <x:font>
      <x:b/>
      <x:sz val="11"/>
      <x:color rgb="FF16324F"/>
      <x:name val="Aptos"/>
    </x:font>
    <x:font>
      <x:b/>
      <x:sz val="13"/>
      <x:color rgb="FF0E7490"/>
      <x:name val="Aptos"/>
    </x:font>
    <x:font>
      <x:b/>
      <x:sz val="11"/>
      <x:color rgb="FFFFFFFF"/>
      <x:name val="Carlito"/>
    </x:font>
    <x:font>
      <x:b/>
      <x:sz val="11"/>
      <x:name val="Carlito"/>
    </x:font>
    <x:font>
      <x:b/>
      <x:sz val="11"/>
      <x:color rgb="FF16324F"/>
      <x:name val="Carlito"/>
    </x:font>
    <x:font>
      <x:sz val="11"/>
      <x:color rgb="FF1F2937"/>
      <x:name val="Carlito"/>
    </x:font>
  </x:fonts>
  <x:fills count="7">
    <x:fill>
      <x:patternFill patternType="none"/>
    </x:fill>
    <x:fill>
      <x:patternFill patternType="gray125"/>
    </x:fill>
    <x:fill>
      <x:patternFill patternType="solid">
        <x:fgColor rgb="FF16324F"/>
      </x:patternFill>
    </x:fill>
    <x:fill>
      <x:patternFill patternType="solid">
        <x:fgColor rgb="FFE6F4F1"/>
      </x:patternFill>
    </x:fill>
    <x:fill>
      <x:patternFill patternType="solid">
        <x:fgColor rgb="FFF3F4F6"/>
      </x:patternFill>
    </x:fill>
    <x:fill>
      <x:patternFill patternType="solid">
        <x:fgColor rgb="FFFFFFFF"/>
      </x:patternFill>
    </x:fill>
    <x:fill>
      <x:patternFill patternType="solid">
        <x:fgColor rgb="FF0E7490"/>
      </x:patternFill>
    </x:fill>
  </x:fills>
  <x:borders count="8">
    <x:border/>
    <x:border>
      <x:left style="thin">
        <x:color rgb="FF16324F"/>
      </x:left>
      <x:top style="thin">
        <x:color rgb="FF16324F"/>
      </x:top>
      <x:bottom style="thin">
        <x:color rgb="FF16324F"/>
      </x:bottom>
    </x:border>
    <x:border>
      <x:top style="thin">
        <x:color rgb="FF16324F"/>
      </x:top>
      <x:bottom style="thin">
        <x:color rgb="FF16324F"/>
      </x:bottom>
    </x:border>
    <x:border>
      <x:right style="thin">
        <x:color rgb="FF16324F"/>
      </x:right>
      <x:top style="thin">
        <x:color rgb="FF16324F"/>
      </x:top>
      <x:bottom style="thin">
        <x:color rgb="FF16324F"/>
      </x:bottom>
    </x:border>
    <x:border>
      <x:bottom style="thin">
        <x:color rgb="FFD7DEE7"/>
      </x:bottom>
    </x:border>
    <x:border>
      <x:top style="thin">
        <x:color rgb="FFD7DEE7"/>
      </x:top>
      <x:bottom style="thin">
        <x:color rgb="FFD7DEE7"/>
      </x:bottom>
    </x:border>
    <x:border>
      <x:top style="thin">
        <x:color rgb="FFD7DEE7"/>
      </x:top>
    </x:border>
    <x:border>
      <x:left style="thin">
        <x:color rgb="FFD7DEE7"/>
      </x:left>
      <x:right style="thin">
        <x:color rgb="FFD7DEE7"/>
      </x:right>
      <x:top style="thin">
        <x:color rgb="FFD7DEE7"/>
      </x:top>
      <x:bottom style="thin">
        <x:color rgb="FFD7DEE7"/>
      </x:bottom>
    </x:border>
  </x:borders>
  <x:cellStyleXfs count="1">
    <x:xf numFmtId="0" fontId="0" fillId="0" borderId="0"/>
  </x:cellStyleXfs>
  <x:cellXfs count="9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200" fontId="1" fillId="0" borderId="4" xfId="0" applyNumberFormat="1" applyFont="1" applyFill="1" applyBorder="1" applyAlignment="1">
      <x:alignment vertical="top" wrapText="1"/>
    </x:xf>
    <x:xf numFmtId="200" fontId="1" fillId="0" borderId="5" xfId="0" applyNumberFormat="1" applyFont="1" applyFill="1" applyBorder="1" applyAlignment="1">
      <x:alignment vertical="top" wrapText="1"/>
    </x:xf>
    <x:xf numFmtId="200" fontId="1" fillId="0" borderId="6" xfId="0" applyNumberFormat="1" applyFont="1" applyFill="1" applyBorder="1" applyAlignment="1">
      <x:alignment vertical="top" wrapText="1"/>
    </x:xf>
    <x:xf numFmtId="201" fontId="1" fillId="0" borderId="4" xfId="0" applyNumberFormat="1" applyFont="1" applyFill="1" applyBorder="1" applyAlignment="1">
      <x:alignment vertical="top" wrapText="1"/>
    </x:xf>
    <x:xf numFmtId="201" fontId="1" fillId="0" borderId="5" xfId="0" applyNumberFormat="1" applyFont="1" applyFill="1" applyBorder="1" applyAlignment="1">
      <x:alignment vertical="top" wrapText="1"/>
    </x:xf>
    <x:xf numFmtId="201" fontId="1" fillId="0" borderId="6" xfId="0" applyNumberFormat="1" applyFont="1" applyFill="1" applyBorder="1" applyAlignment="1">
      <x:alignment vertical="top" wrapText="1"/>
    </x:xf>
    <x:xf numFmtId="202" fontId="1" fillId="0" borderId="4" xfId="0" applyNumberFormat="1" applyFont="1" applyFill="1" applyBorder="1" applyAlignment="1">
      <x:alignment vertical="top" wrapText="1"/>
    </x:xf>
    <x:xf numFmtId="202" fontId="1" fillId="0" borderId="5" xfId="0" applyNumberFormat="1" applyFont="1" applyFill="1" applyBorder="1" applyAlignment="1">
      <x:alignment vertical="top" wrapText="1"/>
    </x:xf>
    <x:xf numFmtId="202" fontId="1" fillId="0" borderId="6"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top" wrapText="1"/>
    </x:xf>
    <x:xf numFmtId="0" fontId="1" fillId="0" borderId="6" xfId="0" applyNumberFormat="1" applyFont="1" applyFill="1" applyBorder="1" applyAlignment="1">
      <x:alignment horizontal="center" vertical="top" wrapText="1"/>
    </x:xf>
    <x:xf numFmtId="0" fontId="1" fillId="0" borderId="4" xfId="0" applyNumberFormat="1" applyFont="1" applyFill="1" applyBorder="1" applyAlignment="1">
      <x:alignment horizontal="left" vertical="top" wrapText="1"/>
    </x:xf>
    <x:xf numFmtId="0" fontId="1" fillId="0" borderId="5" xfId="0" applyNumberFormat="1" applyFont="1" applyFill="1" applyBorder="1" applyAlignment="1">
      <x:alignment horizontal="left" vertical="top" wrapText="1"/>
    </x:xf>
    <x:xf numFmtId="0" fontId="1" fillId="0" borderId="6" xfId="0" applyNumberFormat="1" applyFont="1" applyFill="1" applyBorder="1" applyAlignment="1">
      <x:alignment horizontal="left" vertical="top" wrapText="1"/>
    </x:xf>
    <x:xf numFmtId="200" fontId="1" fillId="0" borderId="4" xfId="0" applyNumberFormat="1" applyFont="1" applyFill="1" applyBorder="1" applyAlignment="1">
      <x:alignment horizontal="center" vertical="top" wrapText="1"/>
    </x:xf>
    <x:xf numFmtId="200" fontId="1" fillId="0" borderId="5" xfId="0" applyNumberFormat="1" applyFont="1" applyFill="1" applyBorder="1" applyAlignment="1">
      <x:alignment horizontal="center" vertical="top" wrapText="1"/>
    </x:xf>
    <x:xf numFmtId="200" fontId="1" fillId="0" borderId="6" xfId="0" applyNumberFormat="1" applyFont="1" applyFill="1" applyBorder="1" applyAlignment="1">
      <x:alignment horizontal="center" vertical="top" wrapText="1"/>
    </x:xf>
    <x:xf numFmtId="202" fontId="1" fillId="0" borderId="4" xfId="0" applyNumberFormat="1" applyFont="1" applyFill="1" applyBorder="1" applyAlignment="1">
      <x:alignment horizontal="center" vertical="top" wrapText="1"/>
    </x:xf>
    <x:xf numFmtId="202" fontId="1" fillId="0" borderId="5" xfId="0" applyNumberFormat="1" applyFont="1" applyFill="1" applyBorder="1" applyAlignment="1">
      <x:alignment horizontal="center" vertical="top" wrapText="1"/>
    </x:xf>
    <x:xf numFmtId="202" fontId="1" fillId="0" borderId="6" xfId="0" applyNumberFormat="1" applyFont="1" applyFill="1" applyBorder="1" applyAlignment="1">
      <x:alignment horizontal="center"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0" borderId="0" xfId="0" applyNumberFormat="1" applyFont="1" applyFill="1" applyBorder="1"/>
    <x:xf numFmtId="0" fontId="5" fillId="0" borderId="7" xfId="0" applyNumberFormat="1" applyFont="1" applyFill="1" applyBorder="1"/>
    <x:xf numFmtId="0" fontId="5" fillId="4" borderId="7" xfId="0" applyNumberFormat="1" applyFont="1" applyFill="1" applyBorder="1"/>
    <x:xf numFmtId="0" fontId="6" fillId="4" borderId="7" xfId="0" applyNumberFormat="1" applyFont="1" applyFill="1" applyBorder="1"/>
    <x:xf numFmtId="0" fontId="5" fillId="5" borderId="7" xfId="0" applyNumberFormat="1" applyFont="1" applyFill="1" applyBorder="1"/>
    <x:xf numFmtId="0" fontId="7" fillId="5" borderId="7" xfId="0" applyNumberFormat="1" applyFont="1" applyFill="1" applyBorder="1"/>
    <x:xf numFmtId="202" fontId="7" fillId="5" borderId="7" xfId="0" applyNumberFormat="1" applyFont="1" applyFill="1" applyBorder="1"/>
    <x:xf numFmtId="202" fontId="7" fillId="5" borderId="7" xfId="0" applyNumberFormat="1" applyFont="1" applyFill="1" applyBorder="1" applyAlignment="1">
      <x:alignment horizontal="center"/>
    </x:xf>
    <x:xf numFmtId="0" fontId="0" fillId="0" borderId="7" xfId="0" applyNumberFormat="1" applyFont="1" applyFill="1" applyBorder="1"/>
    <x:xf numFmtId="0" fontId="0" fillId="0" borderId="7" xfId="0" applyNumberFormat="1" applyFont="1" applyFill="1" applyBorder="1" applyAlignment="1">
      <x:alignment wrapText="1"/>
    </x:xf>
    <x:xf numFmtId="0" fontId="0" fillId="0" borderId="7"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8" fillId="6" borderId="7" xfId="0" applyNumberFormat="1" applyFont="1" applyFill="1" applyBorder="1" applyAlignment="1">
      <x:alignment vertical="top" wrapText="1"/>
    </x:xf>
    <x:xf numFmtId="0" fontId="8" fillId="6" borderId="7" xfId="0" applyNumberFormat="1" applyFont="1" applyFill="1" applyBorder="1" applyAlignment="1">
      <x:alignment horizontal="center" vertical="top" wrapText="1"/>
    </x:xf>
    <x:xf numFmtId="0" fontId="9" fillId="0" borderId="7"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top" wrapText="1"/>
    </x:xf>
    <x:xf numFmtId="0" fontId="10" fillId="3" borderId="7" xfId="0" applyNumberFormat="1" applyFont="1" applyFill="1" applyBorder="1" applyAlignment="1">
      <x:alignment vertical="top" wrapText="1"/>
    </x:xf>
    <x:xf numFmtId="0" fontId="11" fillId="5" borderId="7" xfId="0" applyNumberFormat="1" applyFont="1" applyFill="1" applyBorder="1" applyAlignment="1">
      <x:alignment vertical="top" wrapText="1"/>
    </x:xf>
  </x:cellXfs>
  <x:cellStyles count="1">
    <x:cellStyle name="Normal" xfId="0"/>
  </x:cellStyles>
  <x:dxfs count="22">
    <x:dxf>
      <x:font>
        <x:b/>
        <x:color rgb="FF166534"/>
      </x:font>
      <x:fill>
        <x:patternFill patternType="solid">
          <x:bgColor rgb="FFDCFCE7"/>
        </x:patternFill>
      </x:fill>
    </x:dxf>
    <x:dxf>
      <x:font>
        <x:color rgb="FF2563EB"/>
      </x:font>
      <x:fill>
        <x:patternFill patternType="solid">
          <x:bgColor rgb="FFEAF2FF"/>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166534"/>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B91C1C"/>
      </x:font>
      <x:fill>
        <x:patternFill patternType="solid">
          <x:bgColor rgb="FFFEE2E2"/>
        </x:patternFill>
      </x:fill>
    </x:dxf>
    <x:dxf>
      <x:font>
        <x:b/>
        <x:color rgb="FF166534"/>
      </x:font>
      <x:fill>
        <x:patternFill patternType="solid">
          <x:bgColor rgb="FFDCFCE7"/>
        </x:patternFill>
      </x:fill>
    </x:dxf>
    <x:dxf>
      <x:font>
        <x:color rgb="FF2563EB"/>
      </x:font>
      <x:fill>
        <x:patternFill patternType="solid">
          <x:bgColor rgb="FFEAF2FF"/>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166534"/>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B91C1C"/>
      </x:font>
      <x:fill>
        <x:patternFill patternType="solid">
          <x:bgColor rgb="FFFEE2E2"/>
        </x:patternFill>
      </x:fill>
    </x:dxf>
    <x:dxf>
      <x:font>
        <x:color rgb="FFB91C1C"/>
      </x:font>
      <x:fill>
        <x:patternFill patternType="solid">
          <x:bgColor rgb="FFFEE2E2"/>
        </x:patternFill>
      </x:fill>
    </x:dxf>
    <x:dxf>
      <x:font>
        <x:color rgb="FFB45309"/>
      </x:font>
      <x:fill>
        <x:patternFill patternType="solid">
          <x:bgColor rgb="FFFEF3C7"/>
        </x:patternFill>
      </x:fill>
    </x:dxf>
    <x:dxf>
      <x:font>
        <x:color rgb="FF166534"/>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3798c9b9f64ac4" /><Relationship Type="http://schemas.openxmlformats.org/officeDocument/2006/relationships/theme" Target="/xl/theme/theme1.xml" Id="R5f39bae212394007" /><Relationship Type="http://schemas.openxmlformats.org/officeDocument/2006/relationships/sharedStrings" Target="/xl/sharedStrings.xml" Id="R3f106317f1d34304" /><Relationship Type="http://schemas.openxmlformats.org/officeDocument/2006/relationships/worksheet" Target="/xl/worksheets/sheet1.xml" Id="Rd3694427288b4c7a" /><Relationship Type="http://schemas.openxmlformats.org/officeDocument/2006/relationships/worksheet" Target="/xl/worksheets/sheet2.xml" Id="R3c98485dcccf41c9" /><Relationship Type="http://schemas.openxmlformats.org/officeDocument/2006/relationships/worksheet" Target="/xl/worksheets/sheet3.xml" Id="R71eb0f1a235e484d" /><Relationship Type="http://schemas.openxmlformats.org/officeDocument/2006/relationships/worksheet" Target="/xl/worksheets/sheet4.xml" Id="R0f3f7ed08577413c" /><Relationship Type="http://schemas.openxmlformats.org/officeDocument/2006/relationships/worksheet" Target="/xl/worksheets/sheet5.xml" Id="R96678c3aa5d94900" /></Relationships>
</file>

<file path=xl/tables/table1.xml><?xml version="1.0" encoding="utf-8"?>
<x:table xmlns:x="http://schemas.openxmlformats.org/spreadsheetml/2006/main" id="1" name="HighRiseFireEvents" displayName="HighRiseFireEvents" ref="A1:AK173" headerRowCount="1" totalsRowCount="0" totalsRowShown="0">
  <x:autoFilter ref="A1:AK173"/>
  <x:tableColumns count="37">
    <x:tableColumn id="1" name="序号"/>
    <x:tableColumn id="2" name="记录ID"/>
    <x:tableColumn id="3" name="洲"/>
    <x:tableColumn id="4" name="国家/地区"/>
    <x:tableColumn id="5" name="事件地点（城市/一级/二级行政区）"/>
    <x:tableColumn id="6" name="事件名称"/>
    <x:tableColumn id="7" name="发生日期"/>
    <x:tableColumn id="8" name="事件摘要"/>
    <x:tableColumn id="9" name="原因"/>
    <x:tableColumn id="10" name="影响"/>
    <x:tableColumn id="11" name="URL"/>
    <x:tableColumn id="12" name="纬度"/>
    <x:tableColumn id="13" name="经度"/>
    <x:tableColumn id="14" name="坐标含义"/>
    <x:tableColumn id="15" name="火灾类型"/>
    <x:tableColumn id="16" name="建筑用途"/>
    <x:tableColumn id="17" name="建筑总层数/高度"/>
    <x:tableColumn id="18" name="受影响楼层"/>
    <x:tableColumn id="19" name="建筑年代/老旧状态"/>
    <x:tableColumn id="20" name="死亡人数"/>
    <x:tableColumn id="21" name="受伤人数"/>
    <x:tableColumn id="22" name="疏散人数"/>
    <x:tableColumn id="23" name="来源等级"/>
    <x:tableColumn id="24" name="核验状态"/>
    <x:tableColumn id="25" name="状态分组"/>
    <x:tableColumn id="26" name="来源与定位说明"/>
    <x:tableColumn id="27" name="来源数据集"/>
    <x:tableColumn id="28" name="采集路径"/>
    <x:tableColumn id="29" name="补充URL"/>
    <x:tableColumn id="30" name="主来源数"/>
    <x:tableColumn id="31" name="主URL访问状态"/>
    <x:tableColumn id="32" name="补充URL访问状态"/>
    <x:tableColumn id="33" name="检索日期"/>
    <x:tableColumn id="34" name="事件组ID"/>
    <x:tableColumn id="35" name="独立事件计数"/>
    <x:tableColumn id="36" name="热浪关联证据"/>
    <x:tableColumn id="37" name="原因完整性"/>
  </x:tableColumns>
  <x:tableStyleInfo name="TableStyleMedium2" showFirstColumn="0" showLastColumn="0" showRowStripes="1" showColumnStripes="0"/>
</x:table>
</file>

<file path=xl/tables/table2.xml><?xml version="1.0" encoding="utf-8"?>
<x:table xmlns:x="http://schemas.openxmlformats.org/spreadsheetml/2006/main" id="2" name="RawCandidates" displayName="RawCandidates" ref="A1:AK409" headerRowCount="1" totalsRowCount="0" totalsRowShown="0">
  <x:autoFilter ref="A1:AK409"/>
  <x:tableColumns count="37">
    <x:tableColumn id="1" name="序号"/>
    <x:tableColumn id="2" name="记录ID"/>
    <x:tableColumn id="3" name="洲"/>
    <x:tableColumn id="4" name="国家/地区"/>
    <x:tableColumn id="5" name="事件地点（城市/一级/二级行政区）"/>
    <x:tableColumn id="6" name="事件名称"/>
    <x:tableColumn id="7" name="发生日期"/>
    <x:tableColumn id="8" name="事件摘要"/>
    <x:tableColumn id="9" name="原因"/>
    <x:tableColumn id="10" name="影响"/>
    <x:tableColumn id="11" name="URL"/>
    <x:tableColumn id="12" name="纬度"/>
    <x:tableColumn id="13" name="经度"/>
    <x:tableColumn id="14" name="坐标含义"/>
    <x:tableColumn id="15" name="火灾类型"/>
    <x:tableColumn id="16" name="建筑用途"/>
    <x:tableColumn id="17" name="建筑总层数/高度"/>
    <x:tableColumn id="18" name="受影响楼层"/>
    <x:tableColumn id="19" name="建筑年代/老旧状态"/>
    <x:tableColumn id="20" name="死亡人数"/>
    <x:tableColumn id="21" name="受伤人数"/>
    <x:tableColumn id="22" name="疏散人数"/>
    <x:tableColumn id="23" name="来源等级"/>
    <x:tableColumn id="24" name="核验状态"/>
    <x:tableColumn id="25" name="状态分组"/>
    <x:tableColumn id="26" name="来源与定位说明"/>
    <x:tableColumn id="27" name="来源数据集"/>
    <x:tableColumn id="28" name="采集路径"/>
    <x:tableColumn id="29" name="补充URL"/>
    <x:tableColumn id="30" name="主来源数"/>
    <x:tableColumn id="31" name="主URL访问状态"/>
    <x:tableColumn id="32" name="补充URL访问状态"/>
    <x:tableColumn id="33" name="检索日期"/>
    <x:tableColumn id="34" name="事件组ID"/>
    <x:tableColumn id="35" name="独立事件计数"/>
    <x:tableColumn id="36" name="热浪关联证据"/>
    <x:tableColumn id="37" name="原因完整性"/>
  </x:tableColumns>
  <x:tableStyleInfo name="TableStyleMedium2" showFirstColumn="0" showLastColumn="0" showRowStripes="1" showColumnStripes="0"/>
</x:table>
</file>

<file path=xl/tables/table3.xml><?xml version="1.0" encoding="utf-8"?>
<x:table xmlns:x="http://schemas.openxmlformats.org/spreadsheetml/2006/main" id="3" name="CoverageTable" displayName="CoverageTable" ref="A12:G174" headerRowCount="1" totalsRowCount="0" totalsRowShown="0">
  <x:autoFilter ref="A12:G174"/>
  <x:tableColumns count="7">
    <x:tableColumn id="1" name="年份"/>
    <x:tableColumn id="2" name="洲"/>
    <x:tableColumn id="3" name="全部独立事件"/>
    <x:tableColumn id="4" name="严格确认"/>
    <x:tableColumn id="5" name="有坐标"/>
    <x:tableColumn id="6" name="距原20条目标"/>
    <x:tableColumn id="7" name="覆盖状态"/>
  </x:tableColumns>
  <x:tableStyleInfo name="TableStyleMedium2" showFirstColumn="0" showLastColumn="0" showRowStripes="1" showColumnStripes="0"/>
</x:table>
</file>

<file path=xl/tables/table4.xml><?xml version="1.0" encoding="utf-8"?>
<x:table xmlns:x="http://schemas.openxmlformats.org/spreadsheetml/2006/main" id="4" name="SourceInventory" displayName="SourceInventory" ref="A1:H140" headerRowCount="1" totalsRowCount="0" totalsRowShown="0">
  <x:tableColumns count="8">
    <x:tableColumn id="1" name="序号"/>
    <x:tableColumn id="2" name="URL"/>
    <x:tableColumn id="3" name="角色"/>
    <x:tableColumn id="4" name="访问状态"/>
    <x:tableColumn id="5" name="关联记录数"/>
    <x:tableColumn id="6" name="来源等级"/>
    <x:tableColumn id="7" name="来源数据集"/>
    <x:tableColumn id="8" name="检索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791474bfa74913" /></Relationships>
</file>

<file path=xl/worksheets/_rels/sheet2.xml.rels>&#65279;<?xml version="1.0" encoding="utf-8"?><Relationships xmlns="http://schemas.openxmlformats.org/package/2006/relationships"><Relationship Type="http://schemas.openxmlformats.org/officeDocument/2006/relationships/table" Target="/xl/tables/table2.xml" Id="Rb7458fe516214418" /></Relationships>
</file>

<file path=xl/worksheets/_rels/sheet3.xml.rels>&#65279;<?xml version="1.0" encoding="utf-8"?><Relationships xmlns="http://schemas.openxmlformats.org/package/2006/relationships"><Relationship Type="http://schemas.openxmlformats.org/officeDocument/2006/relationships/table" Target="/xl/tables/table3.xml" Id="Ra0e5304fe6ad4a6d" /></Relationships>
</file>

<file path=xl/worksheets/_rels/sheet4.xml.rels>&#65279;<?xml version="1.0" encoding="utf-8"?><Relationships xmlns="http://schemas.openxmlformats.org/package/2006/relationships"><Relationship Type="http://schemas.openxmlformats.org/officeDocument/2006/relationships/table" Target="/xl/tables/table4.xml" Id="R336d1b751eb64596"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10" hidden="0" customWidth="1"/>
    <x:col min="4" max="4" width="18" hidden="0" customWidth="1"/>
    <x:col min="5" max="5" width="33" hidden="0" customWidth="1"/>
    <x:col min="6" max="6" width="36" hidden="0" customWidth="1"/>
    <x:col min="7" max="7" width="13" hidden="0" customWidth="1"/>
    <x:col min="8" max="8" width="52" hidden="0" customWidth="1"/>
    <x:col min="9" max="9" width="42" hidden="0" customWidth="1"/>
    <x:col min="10" max="10" width="50" hidden="0" customWidth="1"/>
    <x:col min="11" max="11" width="52" hidden="0" customWidth="1"/>
    <x:col min="12" max="12" width="12" hidden="0" customWidth="1"/>
    <x:col min="13" max="13" width="12" hidden="0" customWidth="1"/>
    <x:col min="14" max="14" width="30" hidden="0" customWidth="1"/>
    <x:col min="15" max="15" width="24" hidden="0" customWidth="1"/>
    <x:col min="16" max="16" width="18" hidden="0" customWidth="1"/>
    <x:col min="17" max="17" width="23" hidden="0" customWidth="1"/>
    <x:col min="18" max="18" width="18" hidden="0" customWidth="1"/>
    <x:col min="19" max="19" width="30" hidden="0" customWidth="1"/>
    <x:col min="20" max="20" width="11" hidden="0" customWidth="1"/>
    <x:col min="21" max="21" width="11" hidden="0" customWidth="1"/>
    <x:col min="22" max="22" width="11" hidden="0" customWidth="1"/>
    <x:col min="23" max="23" width="11" hidden="0" customWidth="1"/>
    <x:col min="24" max="24" width="33" hidden="0" customWidth="1"/>
    <x:col min="25" max="25" width="22" hidden="0" customWidth="1"/>
    <x:col min="26" max="26" width="48" hidden="0" customWidth="1"/>
    <x:col min="27" max="27" width="35" hidden="0" customWidth="1"/>
    <x:col min="28" max="28" width="25" hidden="0" customWidth="1"/>
    <x:col min="29" max="29" width="55" hidden="0" customWidth="1"/>
    <x:col min="30" max="30" width="12" hidden="0" customWidth="1"/>
    <x:col min="31" max="31" width="20" hidden="0" customWidth="1"/>
    <x:col min="32" max="32" width="55" hidden="0" customWidth="1"/>
    <x:col min="33" max="33" width="13" hidden="0" customWidth="1"/>
    <x:col min="34" max="34" width="22" hidden="0" customWidth="1"/>
    <x:col min="35" max="35" width="12" hidden="0" customWidth="1"/>
    <x:col min="36" max="36" width="36" hidden="0" customWidth="1"/>
    <x:col min="37" max="37" width="17" hidden="0" customWidth="1"/>
  </x:cols>
  <x:sheetData>
    <x:row r="1" ht="34" customHeight="1">
      <x:c r="A1" s="14" t="str">
        <x:v>序号</x:v>
      </x:c>
      <x:c r="B1" s="15" t="str">
        <x:v>记录ID</x:v>
      </x:c>
      <x:c r="C1" s="15" t="str">
        <x:v>洲</x:v>
      </x:c>
      <x:c r="D1" s="15" t="str">
        <x:v>国家/地区</x:v>
      </x:c>
      <x:c r="E1" s="15" t="str">
        <x:v>事件地点（城市/一级/二级行政区）</x:v>
      </x:c>
      <x:c r="F1" s="15" t="str">
        <x:v>事件名称</x:v>
      </x:c>
      <x:c r="G1" s="15" t="str">
        <x:v>发生日期</x:v>
      </x:c>
      <x:c r="H1" s="15" t="str">
        <x:v>事件摘要</x:v>
      </x:c>
      <x:c r="I1" s="15" t="str">
        <x:v>原因</x:v>
      </x:c>
      <x:c r="J1" s="15" t="str">
        <x:v>影响</x:v>
      </x:c>
      <x:c r="K1" s="15" t="str">
        <x:v>URL</x:v>
      </x:c>
      <x:c r="L1" s="15" t="str">
        <x:v>纬度</x:v>
      </x:c>
      <x:c r="M1" s="15" t="str">
        <x:v>经度</x:v>
      </x:c>
      <x:c r="N1" s="15" t="str">
        <x:v>坐标含义</x:v>
      </x:c>
      <x:c r="O1" s="15" t="str">
        <x:v>火灾类型</x:v>
      </x:c>
      <x:c r="P1" s="15" t="str">
        <x:v>建筑用途</x:v>
      </x:c>
      <x:c r="Q1" s="15" t="str">
        <x:v>建筑总层数/高度</x:v>
      </x:c>
      <x:c r="R1" s="15" t="str">
        <x:v>受影响楼层</x:v>
      </x:c>
      <x:c r="S1" s="15" t="str">
        <x:v>建筑年代/老旧状态</x:v>
      </x:c>
      <x:c r="T1" s="15" t="str">
        <x:v>死亡人数</x:v>
      </x:c>
      <x:c r="U1" s="15" t="str">
        <x:v>受伤人数</x:v>
      </x:c>
      <x:c r="V1" s="15" t="str">
        <x:v>疏散人数</x:v>
      </x:c>
      <x:c r="W1" s="15" t="str">
        <x:v>来源等级</x:v>
      </x:c>
      <x:c r="X1" s="15" t="str">
        <x:v>核验状态</x:v>
      </x:c>
      <x:c r="Y1" s="15" t="str">
        <x:v>状态分组</x:v>
      </x:c>
      <x:c r="Z1" s="15" t="str">
        <x:v>来源与定位说明</x:v>
      </x:c>
      <x:c r="AA1" s="15" t="str">
        <x:v>来源数据集</x:v>
      </x:c>
      <x:c r="AB1" s="15" t="str">
        <x:v>采集路径</x:v>
      </x:c>
      <x:c r="AC1" s="15" t="str">
        <x:v>补充URL</x:v>
      </x:c>
      <x:c r="AD1" s="15" t="str">
        <x:v>主来源数</x:v>
      </x:c>
      <x:c r="AE1" s="15" t="str">
        <x:v>主URL访问状态</x:v>
      </x:c>
      <x:c r="AF1" s="15" t="str">
        <x:v>补充URL访问状态</x:v>
      </x:c>
      <x:c r="AG1" s="15" t="str">
        <x:v>检索日期</x:v>
      </x:c>
      <x:c r="AH1" s="15" t="str">
        <x:v>事件组ID</x:v>
      </x:c>
      <x:c r="AI1" s="15" t="str">
        <x:v>独立事件计数</x:v>
      </x:c>
      <x:c r="AJ1" s="15" t="str">
        <x:v>热浪关联证据</x:v>
      </x:c>
      <x:c r="AK1" s="16" t="str">
        <x:v>原因完整性</x:v>
      </x:c>
    </x:row>
    <x:row r="2" ht="42" customHeight="1">
      <x:c r="A2" s="32" t="n">
        <x:v>1</x:v>
      </x:c>
      <x:c r="B2" s="32" t="str">
        <x:v>HRF-0001</x:v>
      </x:c>
      <x:c r="C2" s="35" t="str">
        <x:v>亚洲</x:v>
      </x:c>
      <x:c r="D2" s="35" t="str">
        <x:v>Hong Kong</x:v>
      </x:c>
      <x:c r="E2" s="20" t="str">
        <x:v>Hong Kong</x:v>
      </x:c>
      <x:c r="F2" s="20" t="str">
        <x:v>Immigration Tower fire</x:v>
      </x:c>
      <x:c r="G2" s="38" t="n">
        <x:v>36740</x:v>
      </x:c>
      <x:c r="H2" s="20" t="str">
        <x:v>Immigration Tower高层建筑火灾；建筑高度记录为 181 m。死亡人数：2。Arson</x:v>
      </x:c>
      <x:c r="I2" s="20" t="str">
        <x:v>Arson</x:v>
      </x:c>
      <x:c r="J2" s="20" t="str">
        <x:v>死亡人数：2。Arson</x:v>
      </x:c>
      <x:c r="K2" s="20" t="str">
        <x:v>https://en.wikipedia.org/wiki/List_of_fires_in_high-rise_buildings</x:v>
      </x:c>
      <x:c r="L2" s="26" t="n">
        <x:v>22.27832</x:v>
      </x:c>
      <x:c r="M2" s="26" t="n">
        <x:v>114.17469</x:v>
      </x:c>
      <x:c r="N2" s="20" t="str">
        <x:v>城市代表点（来源明确说明不是火场坐标）</x:v>
      </x:c>
      <x:c r="O2" s="20" t="str">
        <x:v>高层建筑火灾</x:v>
      </x:c>
      <x:c r="P2" s="20" t="str">
        <x:v>未检索到</x:v>
      </x:c>
      <x:c r="Q2" s="20" t="str">
        <x:v>181 m</x:v>
      </x:c>
      <x:c r="R2" s="20" t="str">
        <x:v>未检索到</x:v>
      </x:c>
      <x:c r="S2" s="20" t="str">
        <x:v>未检索到</x:v>
      </x:c>
      <x:c r="T2" s="41" t="n">
        <x:v>2</x:v>
      </x:c>
      <x:c r="U2" s="41"/>
      <x:c r="V2" s="41"/>
      <x:c r="W2" s="32" t="str">
        <x:v>C</x:v>
      </x:c>
      <x:c r="X2" s="32" t="str">
        <x:v>compendium_needs_independent_verification</x:v>
      </x:c>
      <x:c r="Y2" s="32" t="str">
        <x:v>专题汇编记录</x:v>
      </x:c>
      <x:c r="Z2" s="20" t="str">
        <x:v>Wikipedia高层建筑专题表；需补充独立来源核验</x:v>
      </x:c>
      <x:c r="AA2" s="20" t="str">
        <x:v>List of fires in high-rise buildings | Wikipedia dynamic high-rise list (candidate discovery)</x:v>
      </x:c>
      <x:c r="AB2" s="20" t="str">
        <x:v>Wikipedia专题列表 | 批量来源代理</x:v>
      </x:c>
      <x:c r="AC2" s="20" t="str"/>
      <x:c r="AD2" s="20" t="n">
        <x:v>1</x:v>
      </x:c>
      <x:c r="AE2" s="20" t="str">
        <x:v>可访问(200)</x:v>
      </x:c>
      <x:c r="AF2" s="20" t="str"/>
      <x:c r="AG2" s="23" t="n">
        <x:v>46260</x:v>
      </x:c>
      <x:c r="AH2" s="20" t="str"/>
      <x:c r="AI2" s="20" t="n">
        <x:v>1</x:v>
      </x:c>
      <x:c r="AJ2" s="20" t="str">
        <x:v>未评估（本事件表不建立热浪因果关系）</x:v>
      </x:c>
      <x:c r="AK2" s="20" t="str">
        <x:v>已有来源描述</x:v>
      </x:c>
    </x:row>
    <x:row r="3" ht="42" customHeight="1">
      <x:c r="A3" s="33" t="n">
        <x:v>2</x:v>
      </x:c>
      <x:c r="B3" s="33" t="str">
        <x:v>HRF-0002</x:v>
      </x:c>
      <x:c r="C3" s="36" t="str">
        <x:v>亚洲</x:v>
      </x:c>
      <x:c r="D3" s="36" t="str">
        <x:v>Iraq</x:v>
      </x:c>
      <x:c r="E3" s="21" t="str">
        <x:v>Baghdad</x:v>
      </x:c>
      <x:c r="F3" s="21" t="str">
        <x:v>Al Rasheed Hotel fire</x:v>
      </x:c>
      <x:c r="G3" s="39" t="n">
        <x:v>37981</x:v>
      </x:c>
      <x:c r="H3" s="21" t="str">
        <x:v>Al Rasheed Hotel高层建筑火灾；建筑高度记录为 59.4 m。死亡人数：1。Twenty-eight 68 mm and 85 mm Katyusha rockets were fired at and struck the hotel</x:v>
      </x:c>
      <x:c r="I3" s="21" t="str">
        <x:v>Twenty-eight 68 mm and 85 mm Katyusha rockets were fired at and struck the hotel</x:v>
      </x:c>
      <x:c r="J3" s="21" t="str">
        <x:v>死亡人数：1。Twenty-eight 68 mm and 85 mm Katyusha rockets were fired at and struck the hotel</x:v>
      </x:c>
      <x:c r="K3" s="21" t="str">
        <x:v>https://en.wikipedia.org/wiki/List_of_fires_in_high-rise_buildings</x:v>
      </x:c>
      <x:c r="L3" s="27" t="n">
        <x:v>33.34058</x:v>
      </x:c>
      <x:c r="M3" s="27" t="n">
        <x:v>44.40088</x:v>
      </x:c>
      <x:c r="N3" s="21" t="str">
        <x:v>城市代表点（来源明确说明不是火场坐标）</x:v>
      </x:c>
      <x:c r="O3" s="21" t="str">
        <x:v>高层建筑火灾</x:v>
      </x:c>
      <x:c r="P3" s="21" t="str">
        <x:v>hotel</x:v>
      </x:c>
      <x:c r="Q3" s="21" t="str">
        <x:v>59.4 m</x:v>
      </x:c>
      <x:c r="R3" s="21" t="str">
        <x:v>未检索到</x:v>
      </x:c>
      <x:c r="S3" s="21" t="str">
        <x:v>未检索到</x:v>
      </x:c>
      <x:c r="T3" s="42" t="n">
        <x:v>1</x:v>
      </x:c>
      <x:c r="U3" s="42"/>
      <x:c r="V3" s="42"/>
      <x:c r="W3" s="33" t="str">
        <x:v>C</x:v>
      </x:c>
      <x:c r="X3" s="33" t="str">
        <x:v>compendium_needs_independent_verification</x:v>
      </x:c>
      <x:c r="Y3" s="33" t="str">
        <x:v>专题汇编记录</x:v>
      </x:c>
      <x:c r="Z3" s="21" t="str">
        <x:v>Wikipedia高层建筑专题表；需补充独立来源核验</x:v>
      </x:c>
      <x:c r="AA3" s="21" t="str">
        <x:v>List of fires in high-rise buildings | Wikipedia dynamic high-rise list (candidate discovery)</x:v>
      </x:c>
      <x:c r="AB3" s="21" t="str">
        <x:v>Wikipedia专题列表 | 批量来源代理</x:v>
      </x:c>
      <x:c r="AC3" s="21" t="str"/>
      <x:c r="AD3" s="21" t="n">
        <x:v>1</x:v>
      </x:c>
      <x:c r="AE3" s="21" t="str">
        <x:v>可访问(200)</x:v>
      </x:c>
      <x:c r="AF3" s="21" t="str"/>
      <x:c r="AG3" s="24" t="n">
        <x:v>46260</x:v>
      </x:c>
      <x:c r="AH3" s="21" t="str"/>
      <x:c r="AI3" s="21" t="n">
        <x:v>1</x:v>
      </x:c>
      <x:c r="AJ3" s="21" t="str">
        <x:v>未评估（本事件表不建立热浪因果关系）</x:v>
      </x:c>
      <x:c r="AK3" s="21" t="str">
        <x:v>已有来源描述</x:v>
      </x:c>
    </x:row>
    <x:row r="4" ht="42" customHeight="1">
      <x:c r="A4" s="33" t="n">
        <x:v>3</x:v>
      </x:c>
      <x:c r="B4" s="33" t="str">
        <x:v>HRF-0003</x:v>
      </x:c>
      <x:c r="C4" s="36" t="str">
        <x:v>亚洲</x:v>
      </x:c>
      <x:c r="D4" s="36" t="str">
        <x:v>Iran</x:v>
      </x:c>
      <x:c r="E4" s="21" t="str">
        <x:v>Tehran</x:v>
      </x:c>
      <x:c r="F4" s="21" t="str">
        <x:v>Tohid Town Residential fire</x:v>
      </x:c>
      <x:c r="G4" s="39" t="n">
        <x:v>38692</x:v>
      </x:c>
      <x:c r="H4" s="21" t="str">
        <x:v>Tohid Town Residential高层建筑火灾；建筑高度记录为 33 m。死亡人数：106。Plane crash: 2005 Iranian Air Force C-130 crash</x:v>
      </x:c>
      <x:c r="I4" s="21" t="str">
        <x:v>Plane crash: 2005 Iranian Air Force C-130 crash</x:v>
      </x:c>
      <x:c r="J4" s="21" t="str">
        <x:v>死亡人数：106。Plane crash: 2005 Iranian Air Force C-130 crash</x:v>
      </x:c>
      <x:c r="K4" s="21" t="str">
        <x:v>https://en.wikipedia.org/wiki/List_of_fires_in_high-rise_buildings</x:v>
      </x:c>
      <x:c r="L4" s="27" t="n">
        <x:v>35.69439</x:v>
      </x:c>
      <x:c r="M4" s="27" t="n">
        <x:v>51.42151</x:v>
      </x:c>
      <x:c r="N4" s="21" t="str">
        <x:v>城市代表点（来源明确说明不是火场坐标）</x:v>
      </x:c>
      <x:c r="O4" s="21" t="str">
        <x:v>高层建筑火灾</x:v>
      </x:c>
      <x:c r="P4" s="21" t="str">
        <x:v>residential</x:v>
      </x:c>
      <x:c r="Q4" s="21" t="str">
        <x:v>33 m</x:v>
      </x:c>
      <x:c r="R4" s="21" t="str">
        <x:v>未检索到</x:v>
      </x:c>
      <x:c r="S4" s="21" t="str">
        <x:v>未检索到</x:v>
      </x:c>
      <x:c r="T4" s="42" t="n">
        <x:v>106</x:v>
      </x:c>
      <x:c r="U4" s="42"/>
      <x:c r="V4" s="42"/>
      <x:c r="W4" s="33" t="str">
        <x:v>C</x:v>
      </x:c>
      <x:c r="X4" s="33" t="str">
        <x:v>compendium_needs_independent_verification</x:v>
      </x:c>
      <x:c r="Y4" s="33" t="str">
        <x:v>专题汇编记录</x:v>
      </x:c>
      <x:c r="Z4" s="21" t="str">
        <x:v>Wikipedia高层建筑专题表；需补充独立来源核验</x:v>
      </x:c>
      <x:c r="AA4" s="21" t="str">
        <x:v>List of fires in high-rise buildings | Wikipedia dynamic high-rise list (candidate discovery)</x:v>
      </x:c>
      <x:c r="AB4" s="21" t="str">
        <x:v>Wikipedia专题列表 | 批量来源代理</x:v>
      </x:c>
      <x:c r="AC4" s="21" t="str"/>
      <x:c r="AD4" s="21" t="n">
        <x:v>1</x:v>
      </x:c>
      <x:c r="AE4" s="21" t="str">
        <x:v>可访问(200)</x:v>
      </x:c>
      <x:c r="AF4" s="21" t="str"/>
      <x:c r="AG4" s="24" t="n">
        <x:v>46260</x:v>
      </x:c>
      <x:c r="AH4" s="21" t="str"/>
      <x:c r="AI4" s="21" t="n">
        <x:v>1</x:v>
      </x:c>
      <x:c r="AJ4" s="21" t="str">
        <x:v>未评估（本事件表不建立热浪因果关系）</x:v>
      </x:c>
      <x:c r="AK4" s="21" t="str">
        <x:v>已有来源描述</x:v>
      </x:c>
    </x:row>
    <x:row r="5" ht="42" customHeight="1">
      <x:c r="A5" s="33" t="n">
        <x:v>4</x:v>
      </x:c>
      <x:c r="B5" s="33" t="str">
        <x:v>HRF-0004</x:v>
      </x:c>
      <x:c r="C5" s="36" t="str">
        <x:v>亚洲</x:v>
      </x:c>
      <x:c r="D5" s="36" t="str">
        <x:v>Kazakhstan</x:v>
      </x:c>
      <x:c r="E5" s="21" t="str">
        <x:v>Astana</x:v>
      </x:c>
      <x:c r="F5" s="21" t="str">
        <x:v>Transport Tower fire</x:v>
      </x:c>
      <x:c r="G5" s="39" t="n">
        <x:v>38867</x:v>
      </x:c>
      <x:c r="H5" s="21" t="str">
        <x:v>Transport Tower高层建筑火灾；建筑高度记录为 112.2 m。死亡人数：0。Fire destroyed upper floors of 34-story government building</x:v>
      </x:c>
      <x:c r="I5" s="21" t="str">
        <x:v>未检索到/待核实</x:v>
      </x:c>
      <x:c r="J5" s="21" t="str">
        <x:v>死亡人数：0。Fire destroyed upper floors of 34-story government building</x:v>
      </x:c>
      <x:c r="K5" s="21" t="str">
        <x:v>https://en.wikipedia.org/wiki/List_of_fires_in_high-rise_buildings</x:v>
      </x:c>
      <x:c r="L5" s="27" t="n">
        <x:v>51.1801</x:v>
      </x:c>
      <x:c r="M5" s="27" t="n">
        <x:v>71.44598</x:v>
      </x:c>
      <x:c r="N5" s="21" t="str">
        <x:v>城市代表点（来源明确说明不是火场坐标）</x:v>
      </x:c>
      <x:c r="O5" s="21" t="str">
        <x:v>高层建筑火灾</x:v>
      </x:c>
      <x:c r="P5" s="21" t="str">
        <x:v>未检索到</x:v>
      </x:c>
      <x:c r="Q5" s="21" t="str">
        <x:v>112.2 m</x:v>
      </x:c>
      <x:c r="R5" s="21" t="str">
        <x:v>未检索到</x:v>
      </x:c>
      <x:c r="S5" s="21" t="str">
        <x:v>未检索到</x:v>
      </x:c>
      <x:c r="T5" s="42" t="n">
        <x:v>0</x:v>
      </x:c>
      <x:c r="U5" s="42"/>
      <x:c r="V5" s="42"/>
      <x:c r="W5" s="33" t="str">
        <x:v>C</x:v>
      </x:c>
      <x:c r="X5" s="33" t="str">
        <x:v>compendium_needs_independent_verification</x:v>
      </x:c>
      <x:c r="Y5" s="33" t="str">
        <x:v>专题汇编记录</x:v>
      </x:c>
      <x:c r="Z5" s="21" t="str">
        <x:v>Wikipedia高层建筑专题表；需补充独立来源核验</x:v>
      </x:c>
      <x:c r="AA5" s="21" t="str">
        <x:v>List of fires in high-rise buildings | Wikipedia dynamic high-rise list (candidate discovery)</x:v>
      </x:c>
      <x:c r="AB5" s="21" t="str">
        <x:v>Wikipedia专题列表 | 批量来源代理</x:v>
      </x:c>
      <x:c r="AC5" s="21" t="str"/>
      <x:c r="AD5" s="21" t="n">
        <x:v>1</x:v>
      </x:c>
      <x:c r="AE5" s="21" t="str">
        <x:v>可访问(200)</x:v>
      </x:c>
      <x:c r="AF5" s="21" t="str"/>
      <x:c r="AG5" s="24" t="n">
        <x:v>46260</x:v>
      </x:c>
      <x:c r="AH5" s="21" t="str"/>
      <x:c r="AI5" s="21" t="n">
        <x:v>1</x:v>
      </x:c>
      <x:c r="AJ5" s="21" t="str">
        <x:v>未评估（本事件表不建立热浪因果关系）</x:v>
      </x:c>
      <x:c r="AK5" s="21" t="str">
        <x:v>缺失/待核实</x:v>
      </x:c>
    </x:row>
    <x:row r="6" ht="42" customHeight="1">
      <x:c r="A6" s="33" t="n">
        <x:v>5</x:v>
      </x:c>
      <x:c r="B6" s="33" t="str">
        <x:v>HRF-0005</x:v>
      </x:c>
      <x:c r="C6" s="36" t="str">
        <x:v>亚洲</x:v>
      </x:c>
      <x:c r="D6" s="36" t="str">
        <x:v>United Arab Emirates</x:v>
      </x:c>
      <x:c r="E6" s="21" t="str">
        <x:v>Dubai</x:v>
      </x:c>
      <x:c r="F6" s="21" t="str">
        <x:v>Fortune Tower fire</x:v>
      </x:c>
      <x:c r="G6" s="39" t="n">
        <x:v>39100</x:v>
      </x:c>
      <x:c r="H6" s="21" t="str">
        <x:v>Fortune Tower高层建筑火灾；建筑高度记录为 未列明。死亡人数：4。Occurred during construction, 57 injured</x:v>
      </x:c>
      <x:c r="I6" s="21" t="str">
        <x:v>未检索到/待核实</x:v>
      </x:c>
      <x:c r="J6" s="21" t="str">
        <x:v>死亡人数：4。Occurred during construction, 57 injured</x:v>
      </x:c>
      <x:c r="K6" s="21" t="str">
        <x:v>https://en.wikipedia.org/wiki/List_of_fires_in_high-rise_buildings</x:v>
      </x:c>
      <x:c r="L6" s="27" t="n">
        <x:v>25.07725</x:v>
      </x:c>
      <x:c r="M6" s="27" t="n">
        <x:v>55.30927</x:v>
      </x:c>
      <x:c r="N6" s="21" t="str">
        <x:v>城市代表点（来源明确说明不是火场坐标）</x:v>
      </x:c>
      <x:c r="O6" s="21" t="str">
        <x:v>高层建筑火灾</x:v>
      </x:c>
      <x:c r="P6" s="21" t="str">
        <x:v>未检索到</x:v>
      </x:c>
      <x:c r="Q6" s="21" t="str">
        <x:v>未检索到</x:v>
      </x:c>
      <x:c r="R6" s="21" t="str">
        <x:v>未检索到</x:v>
      </x:c>
      <x:c r="S6" s="21" t="str">
        <x:v>未检索到</x:v>
      </x:c>
      <x:c r="T6" s="42" t="n">
        <x:v>4</x:v>
      </x:c>
      <x:c r="U6" s="42" t="n">
        <x:v>57</x:v>
      </x:c>
      <x:c r="V6" s="42"/>
      <x:c r="W6" s="33" t="str">
        <x:v>C</x:v>
      </x:c>
      <x:c r="X6" s="33" t="str">
        <x:v>compendium_needs_independent_verification</x:v>
      </x:c>
      <x:c r="Y6" s="33" t="str">
        <x:v>专题汇编记录</x:v>
      </x:c>
      <x:c r="Z6" s="21" t="str">
        <x:v>Wikipedia高层建筑专题表；需补充独立来源核验</x:v>
      </x:c>
      <x:c r="AA6" s="21" t="str">
        <x:v>List of fires in high-rise buildings | Wikipedia dynamic high-rise list (candidate discovery)</x:v>
      </x:c>
      <x:c r="AB6" s="21" t="str">
        <x:v>Wikipedia专题列表 | 批量来源代理</x:v>
      </x:c>
      <x:c r="AC6" s="21" t="str"/>
      <x:c r="AD6" s="21" t="n">
        <x:v>1</x:v>
      </x:c>
      <x:c r="AE6" s="21" t="str">
        <x:v>可访问(200)</x:v>
      </x:c>
      <x:c r="AF6" s="21" t="str"/>
      <x:c r="AG6" s="24" t="n">
        <x:v>46260</x:v>
      </x:c>
      <x:c r="AH6" s="21" t="str"/>
      <x:c r="AI6" s="21" t="n">
        <x:v>1</x:v>
      </x:c>
      <x:c r="AJ6" s="21" t="str">
        <x:v>未评估（本事件表不建立热浪因果关系）</x:v>
      </x:c>
      <x:c r="AK6" s="21" t="str">
        <x:v>缺失/待核实</x:v>
      </x:c>
    </x:row>
    <x:row r="7" ht="42" customHeight="1">
      <x:c r="A7" s="33" t="n">
        <x:v>6</x:v>
      </x:c>
      <x:c r="B7" s="33" t="str">
        <x:v>HRF-0006</x:v>
      </x:c>
      <x:c r="C7" s="36" t="str">
        <x:v>亚洲</x:v>
      </x:c>
      <x:c r="D7" s="36" t="str">
        <x:v>China</x:v>
      </x:c>
      <x:c r="E7" s="21" t="str">
        <x:v>Shanghai</x:v>
      </x:c>
      <x:c r="F7" s="21" t="str">
        <x:v>Shanghai World Financial Center fire</x:v>
      </x:c>
      <x:c r="G7" s="39" t="n">
        <x:v>39308</x:v>
      </x:c>
      <x:c r="H7" s="21" t="str">
        <x:v>Shanghai World Financial Center高层建筑火灾；建筑高度记录为 494.3 m。死亡人数：0。Occurred on 40th floor during construction</x:v>
      </x:c>
      <x:c r="I7" s="21" t="str">
        <x:v>未检索到/待核实</x:v>
      </x:c>
      <x:c r="J7" s="21" t="str">
        <x:v>死亡人数：0。Occurred on 40th floor during construction</x:v>
      </x:c>
      <x:c r="K7" s="21" t="str">
        <x:v>https://en.wikipedia.org/wiki/List_of_fires_in_high-rise_buildings</x:v>
      </x:c>
      <x:c r="L7" s="27" t="n">
        <x:v>31.22222</x:v>
      </x:c>
      <x:c r="M7" s="27" t="n">
        <x:v>121.45806</x:v>
      </x:c>
      <x:c r="N7" s="21" t="str">
        <x:v>城市代表点（来源明确说明不是火场坐标）</x:v>
      </x:c>
      <x:c r="O7" s="21" t="str">
        <x:v>高层建筑火灾</x:v>
      </x:c>
      <x:c r="P7" s="21" t="str">
        <x:v>未检索到</x:v>
      </x:c>
      <x:c r="Q7" s="21" t="str">
        <x:v>494.3 m</x:v>
      </x:c>
      <x:c r="R7" s="21" t="str">
        <x:v>未检索到</x:v>
      </x:c>
      <x:c r="S7" s="21" t="str">
        <x:v>未检索到</x:v>
      </x:c>
      <x:c r="T7" s="42" t="n">
        <x:v>0</x:v>
      </x:c>
      <x:c r="U7" s="42"/>
      <x:c r="V7" s="42"/>
      <x:c r="W7" s="33" t="str">
        <x:v>C</x:v>
      </x:c>
      <x:c r="X7" s="33" t="str">
        <x:v>compendium_needs_independent_verification</x:v>
      </x:c>
      <x:c r="Y7" s="33" t="str">
        <x:v>专题汇编记录</x:v>
      </x:c>
      <x:c r="Z7" s="21" t="str">
        <x:v>Wikipedia高层建筑专题表；需补充独立来源核验</x:v>
      </x:c>
      <x:c r="AA7" s="21" t="str">
        <x:v>List of fires in high-rise buildings | Wikipedia dynamic high-rise list (candidate discovery)</x:v>
      </x:c>
      <x:c r="AB7" s="21" t="str">
        <x:v>Wikipedia专题列表 | 批量来源代理</x:v>
      </x:c>
      <x:c r="AC7" s="21" t="str"/>
      <x:c r="AD7" s="21" t="n">
        <x:v>1</x:v>
      </x:c>
      <x:c r="AE7" s="21" t="str">
        <x:v>可访问(200)</x:v>
      </x:c>
      <x:c r="AF7" s="21" t="str"/>
      <x:c r="AG7" s="24" t="n">
        <x:v>46260</x:v>
      </x:c>
      <x:c r="AH7" s="21" t="str"/>
      <x:c r="AI7" s="21" t="n">
        <x:v>1</x:v>
      </x:c>
      <x:c r="AJ7" s="21" t="str">
        <x:v>未评估（本事件表不建立热浪因果关系）</x:v>
      </x:c>
      <x:c r="AK7" s="21" t="str">
        <x:v>缺失/待核实</x:v>
      </x:c>
    </x:row>
    <x:row r="8" ht="42" customHeight="1">
      <x:c r="A8" s="33" t="n">
        <x:v>7</x:v>
      </x:c>
      <x:c r="B8" s="33" t="str">
        <x:v>HRF-0007</x:v>
      </x:c>
      <x:c r="C8" s="36" t="str">
        <x:v>亚洲</x:v>
      </x:c>
      <x:c r="D8" s="36" t="str">
        <x:v>Saudi Arabia</x:v>
      </x:c>
      <x:c r="E8" s="21" t="str">
        <x:v>Mecca</x:v>
      </x:c>
      <x:c r="F8" s="21" t="str">
        <x:v>Abraj Al Bait Towers fire</x:v>
      </x:c>
      <x:c r="G8" s="39" t="n">
        <x:v>39749</x:v>
      </x:c>
      <x:c r="H8" s="21" t="str">
        <x:v>Abraj Al Bait Towers高层建筑火灾；建筑高度记录为 601 m。死亡人数：0。Occurred during construction; fire consumed nine floors</x:v>
      </x:c>
      <x:c r="I8" s="21" t="str">
        <x:v>未检索到/待核实</x:v>
      </x:c>
      <x:c r="J8" s="21" t="str">
        <x:v>死亡人数：0。Occurred during construction; fire consumed nine floors</x:v>
      </x:c>
      <x:c r="K8" s="21" t="str">
        <x:v>https://en.wikipedia.org/wiki/List_of_fires_in_high-rise_buildings</x:v>
      </x:c>
      <x:c r="L8" s="27" t="n">
        <x:v>21.42664</x:v>
      </x:c>
      <x:c r="M8" s="27" t="n">
        <x:v>39.82563</x:v>
      </x:c>
      <x:c r="N8" s="21" t="str">
        <x:v>城市代表点（来源明确说明不是火场坐标）</x:v>
      </x:c>
      <x:c r="O8" s="21" t="str">
        <x:v>高层建筑火灾</x:v>
      </x:c>
      <x:c r="P8" s="21" t="str">
        <x:v>未检索到</x:v>
      </x:c>
      <x:c r="Q8" s="21" t="str">
        <x:v>601 m</x:v>
      </x:c>
      <x:c r="R8" s="21" t="str">
        <x:v>未检索到</x:v>
      </x:c>
      <x:c r="S8" s="21" t="str">
        <x:v>未检索到</x:v>
      </x:c>
      <x:c r="T8" s="42" t="n">
        <x:v>0</x:v>
      </x:c>
      <x:c r="U8" s="42"/>
      <x:c r="V8" s="42"/>
      <x:c r="W8" s="33" t="str">
        <x:v>C</x:v>
      </x:c>
      <x:c r="X8" s="33" t="str">
        <x:v>compendium_needs_independent_verification</x:v>
      </x:c>
      <x:c r="Y8" s="33" t="str">
        <x:v>专题汇编记录</x:v>
      </x:c>
      <x:c r="Z8" s="21" t="str">
        <x:v>Wikipedia高层建筑专题表；需补充独立来源核验</x:v>
      </x:c>
      <x:c r="AA8" s="21" t="str">
        <x:v>List of fires in high-rise buildings | Wikipedia dynamic high-rise list (candidate discovery)</x:v>
      </x:c>
      <x:c r="AB8" s="21" t="str">
        <x:v>Wikipedia专题列表 | 批量来源代理</x:v>
      </x:c>
      <x:c r="AC8" s="21" t="str"/>
      <x:c r="AD8" s="21" t="n">
        <x:v>1</x:v>
      </x:c>
      <x:c r="AE8" s="21" t="str">
        <x:v>可访问(200)</x:v>
      </x:c>
      <x:c r="AF8" s="21" t="str"/>
      <x:c r="AG8" s="24" t="n">
        <x:v>46260</x:v>
      </x:c>
      <x:c r="AH8" s="21" t="str"/>
      <x:c r="AI8" s="21" t="n">
        <x:v>1</x:v>
      </x:c>
      <x:c r="AJ8" s="21" t="str">
        <x:v>未评估（本事件表不建立热浪因果关系）</x:v>
      </x:c>
      <x:c r="AK8" s="21" t="str">
        <x:v>缺失/待核实</x:v>
      </x:c>
    </x:row>
    <x:row r="9" ht="42" customHeight="1">
      <x:c r="A9" s="33" t="n">
        <x:v>8</x:v>
      </x:c>
      <x:c r="B9" s="33" t="str">
        <x:v>HRF-0008</x:v>
      </x:c>
      <x:c r="C9" s="36" t="str">
        <x:v>亚洲</x:v>
      </x:c>
      <x:c r="D9" s="36" t="str">
        <x:v>China</x:v>
      </x:c>
      <x:c r="E9" s="21" t="str">
        <x:v>Beijing</x:v>
      </x:c>
      <x:c r="F9" s="21" t="str">
        <x:v>Beijing Television Cultural Center fire</x:v>
      </x:c>
      <x:c r="G9" s="39" t="n">
        <x:v>39853</x:v>
      </x:c>
      <x:c r="H9" s="21" t="str">
        <x:v>Beijing Television Cultural Center fire高层建筑外立面火灾。死亡 1，受伤 7；表中记录的受影响楼层为 44。</x:v>
      </x:c>
      <x:c r="I9" s="21" t="str">
        <x:v>未检索到/待核实</x:v>
      </x:c>
      <x:c r="J9" s="21" t="str">
        <x:v>死亡 1，受伤 7；表中记录的受影响楼层为 44。</x:v>
      </x:c>
      <x:c r="K9" s="21" t="str">
        <x:v>https://en.wikipedia.org/wiki/Beijing_Television_Cultural_Center_fire</x:v>
      </x:c>
      <x:c r="L9" s="27" t="n">
        <x:v>39.9075</x:v>
      </x:c>
      <x:c r="M9" s="27" t="n">
        <x:v>116.39723</x:v>
      </x:c>
      <x:c r="N9" s="21" t="str">
        <x:v>城市代表点（来源明确说明不是火场坐标）</x:v>
      </x:c>
      <x:c r="O9" s="21" t="str">
        <x:v>高层建筑外立面火灾</x:v>
      </x:c>
      <x:c r="P9" s="21" t="str">
        <x:v>未检索到</x:v>
      </x:c>
      <x:c r="Q9" s="21" t="str">
        <x:v>159 m</x:v>
      </x:c>
      <x:c r="R9" s="21" t="str">
        <x:v>44</x:v>
      </x:c>
      <x:c r="S9" s="21" t="str">
        <x:v>未检索到</x:v>
      </x:c>
      <x:c r="T9" s="42" t="n">
        <x:v>1</x:v>
      </x:c>
      <x:c r="U9" s="42"/>
      <x:c r="V9" s="42"/>
      <x:c r="W9" s="33" t="str">
        <x:v>B</x:v>
      </x:c>
      <x:c r="X9" s="33" t="str">
        <x:v>compendium_needs_independent_verification</x:v>
      </x:c>
      <x:c r="Y9" s="33" t="str">
        <x:v>专题汇编记录</x:v>
      </x:c>
      <x:c r="Z9" s="21" t="str">
        <x:v>Wikipedia具名事件页+高层专题表</x:v>
      </x:c>
      <x:c r="AA9" s="21" t="str">
        <x:v>List of fires in high-rise buildings | List of high-rise façade fires | Wikipedia dynamic high-rise list (candidate discovery)</x:v>
      </x:c>
      <x:c r="AB9" s="21" t="str">
        <x:v>Wikipedia专题列表 | 批量来源代理</x:v>
      </x:c>
      <x:c r="AC9" s="21" t="str">
        <x:v>https://en.wikipedia.org/wiki/List_of_fires_in_high-rise_buildings</x:v>
      </x:c>
      <x:c r="AD9" s="21" t="n">
        <x:v>2</x:v>
      </x:c>
      <x:c r="AE9" s="21" t="str">
        <x:v>可访问(200)</x:v>
      </x:c>
      <x:c r="AF9" s="21" t="str">
        <x:v>https://en.wikipedia.org/wiki/List_of_fires_in_high-rise_buildings =&gt; 可访问(200)</x:v>
      </x:c>
      <x:c r="AG9" s="24" t="n">
        <x:v>46260</x:v>
      </x:c>
      <x:c r="AH9" s="21" t="str"/>
      <x:c r="AI9" s="21" t="n">
        <x:v>1</x:v>
      </x:c>
      <x:c r="AJ9" s="21" t="str">
        <x:v>未评估（本事件表不建立热浪因果关系）</x:v>
      </x:c>
      <x:c r="AK9" s="21" t="str">
        <x:v>缺失/待核实</x:v>
      </x:c>
    </x:row>
    <x:row r="10" ht="42" customHeight="1">
      <x:c r="A10" s="33" t="n">
        <x:v>9</x:v>
      </x:c>
      <x:c r="B10" s="33" t="str">
        <x:v>HRF-0009</x:v>
      </x:c>
      <x:c r="C10" s="36" t="str">
        <x:v>亚洲</x:v>
      </x:c>
      <x:c r="D10" s="36" t="str">
        <x:v>Bangladesh</x:v>
      </x:c>
      <x:c r="E10" s="21" t="str">
        <x:v>Dhaka</x:v>
      </x:c>
      <x:c r="F10" s="21" t="str">
        <x:v>Bashundhara City Tower fire</x:v>
      </x:c>
      <x:c r="G10" s="39" t="n">
        <x:v>39885</x:v>
      </x:c>
      <x:c r="H10" s="21" t="str">
        <x:v>Bashundhara City Tower高层建筑火灾；建筑高度记录为 62.7 m。死亡人数：4。</x:v>
      </x:c>
      <x:c r="I10" s="21" t="str">
        <x:v>未检索到/待核实</x:v>
      </x:c>
      <x:c r="J10" s="21" t="str">
        <x:v>死亡人数：4。</x:v>
      </x:c>
      <x:c r="K10" s="21" t="str">
        <x:v>https://en.wikipedia.org/wiki/List_of_fires_in_high-rise_buildings</x:v>
      </x:c>
      <x:c r="L10" s="27" t="n">
        <x:v>23.7104</x:v>
      </x:c>
      <x:c r="M10" s="27" t="n">
        <x:v>90.40744</x:v>
      </x:c>
      <x:c r="N10" s="21" t="str">
        <x:v>城市代表点（来源明确说明不是火场坐标）</x:v>
      </x:c>
      <x:c r="O10" s="21" t="str">
        <x:v>高层建筑火灾</x:v>
      </x:c>
      <x:c r="P10" s="21" t="str">
        <x:v>未检索到</x:v>
      </x:c>
      <x:c r="Q10" s="21" t="str">
        <x:v>62.7 m</x:v>
      </x:c>
      <x:c r="R10" s="21" t="str">
        <x:v>未检索到</x:v>
      </x:c>
      <x:c r="S10" s="21" t="str">
        <x:v>未检索到</x:v>
      </x:c>
      <x:c r="T10" s="42" t="n">
        <x:v>4</x:v>
      </x:c>
      <x:c r="U10" s="42"/>
      <x:c r="V10" s="42"/>
      <x:c r="W10" s="33" t="str">
        <x:v>C</x:v>
      </x:c>
      <x:c r="X10" s="33" t="str">
        <x:v>compendium_needs_independent_verification</x:v>
      </x:c>
      <x:c r="Y10" s="33" t="str">
        <x:v>专题汇编记录</x:v>
      </x:c>
      <x:c r="Z10" s="21" t="str">
        <x:v>Wikipedia高层建筑专题表；需补充独立来源核验</x:v>
      </x:c>
      <x:c r="AA10" s="21" t="str">
        <x:v>List of fires in high-rise buildings | Wikipedia dynamic high-rise list (candidate discovery)</x:v>
      </x:c>
      <x:c r="AB10" s="21" t="str">
        <x:v>Wikipedia专题列表 | 批量来源代理</x:v>
      </x:c>
      <x:c r="AC10" s="21" t="str"/>
      <x:c r="AD10" s="21" t="n">
        <x:v>1</x:v>
      </x:c>
      <x:c r="AE10" s="21" t="str">
        <x:v>可访问(200)</x:v>
      </x:c>
      <x:c r="AF10" s="21" t="str"/>
      <x:c r="AG10" s="24" t="n">
        <x:v>46260</x:v>
      </x:c>
      <x:c r="AH10" s="21" t="str"/>
      <x:c r="AI10" s="21" t="n">
        <x:v>1</x:v>
      </x:c>
      <x:c r="AJ10" s="21" t="str">
        <x:v>未评估（本事件表不建立热浪因果关系）</x:v>
      </x:c>
      <x:c r="AK10" s="21" t="str">
        <x:v>缺失/待核实</x:v>
      </x:c>
    </x:row>
    <x:row r="11" ht="42" customHeight="1">
      <x:c r="A11" s="33" t="n">
        <x:v>10</x:v>
      </x:c>
      <x:c r="B11" s="33" t="str">
        <x:v>HRF-0010</x:v>
      </x:c>
      <x:c r="C11" s="36" t="str">
        <x:v>亚洲</x:v>
      </x:c>
      <x:c r="D11" s="36" t="str">
        <x:v>Saudi Arabia</x:v>
      </x:c>
      <x:c r="E11" s="21" t="str">
        <x:v>Mecca</x:v>
      </x:c>
      <x:c r="F11" s="21" t="str">
        <x:v>Abraj Al Bait Towers fire</x:v>
      </x:c>
      <x:c r="G11" s="39" t="n">
        <x:v>39934</x:v>
      </x:c>
      <x:c r="H11" s="21" t="str">
        <x:v>Abraj Al Bait Towers高层建筑火灾；建筑高度记录为 未列明。死亡人数：0。Occurred during construction</x:v>
      </x:c>
      <x:c r="I11" s="21" t="str">
        <x:v>未检索到/待核实</x:v>
      </x:c>
      <x:c r="J11" s="21" t="str">
        <x:v>死亡人数：0。Occurred during construction</x:v>
      </x:c>
      <x:c r="K11" s="21" t="str">
        <x:v>https://en.wikipedia.org/wiki/List_of_fires_in_high-rise_buildings</x:v>
      </x:c>
      <x:c r="L11" s="27" t="n">
        <x:v>21.42664</x:v>
      </x:c>
      <x:c r="M11" s="27" t="n">
        <x:v>39.82563</x:v>
      </x:c>
      <x:c r="N11" s="21" t="str">
        <x:v>城市代表点（来源明确说明不是火场坐标）</x:v>
      </x:c>
      <x:c r="O11" s="21" t="str">
        <x:v>高层建筑火灾</x:v>
      </x:c>
      <x:c r="P11" s="21" t="str">
        <x:v>未检索到</x:v>
      </x:c>
      <x:c r="Q11" s="21" t="str">
        <x:v>未检索到</x:v>
      </x:c>
      <x:c r="R11" s="21" t="str">
        <x:v>未检索到</x:v>
      </x:c>
      <x:c r="S11" s="21" t="str">
        <x:v>未检索到</x:v>
      </x:c>
      <x:c r="T11" s="42" t="n">
        <x:v>0</x:v>
      </x:c>
      <x:c r="U11" s="42"/>
      <x:c r="V11" s="42"/>
      <x:c r="W11" s="33" t="str">
        <x:v>C</x:v>
      </x:c>
      <x:c r="X11" s="33" t="str">
        <x:v>compendium_needs_independent_verification</x:v>
      </x:c>
      <x:c r="Y11" s="33" t="str">
        <x:v>专题汇编记录</x:v>
      </x:c>
      <x:c r="Z11" s="21" t="str">
        <x:v>Wikipedia高层建筑专题表；需补充独立来源核验</x:v>
      </x:c>
      <x:c r="AA11" s="21" t="str">
        <x:v>List of fires in high-rise buildings | Wikipedia dynamic high-rise list (candidate discovery)</x:v>
      </x:c>
      <x:c r="AB11" s="21" t="str">
        <x:v>Wikipedia专题列表 | 批量来源代理</x:v>
      </x:c>
      <x:c r="AC11" s="21" t="str"/>
      <x:c r="AD11" s="21" t="n">
        <x:v>1</x:v>
      </x:c>
      <x:c r="AE11" s="21" t="str">
        <x:v>可访问(200)</x:v>
      </x:c>
      <x:c r="AF11" s="21" t="str"/>
      <x:c r="AG11" s="24" t="n">
        <x:v>46260</x:v>
      </x:c>
      <x:c r="AH11" s="21" t="str"/>
      <x:c r="AI11" s="21" t="n">
        <x:v>1</x:v>
      </x:c>
      <x:c r="AJ11" s="21" t="str">
        <x:v>未评估（本事件表不建立热浪因果关系）</x:v>
      </x:c>
      <x:c r="AK11" s="21" t="str">
        <x:v>缺失/待核实</x:v>
      </x:c>
    </x:row>
    <x:row r="12" ht="42" customHeight="1">
      <x:c r="A12" s="33" t="n">
        <x:v>11</x:v>
      </x:c>
      <x:c r="B12" s="33" t="str">
        <x:v>HRF-0011</x:v>
      </x:c>
      <x:c r="C12" s="36" t="str">
        <x:v>亚洲</x:v>
      </x:c>
      <x:c r="D12" s="36" t="str">
        <x:v>United Arab Emirates</x:v>
      </x:c>
      <x:c r="E12" s="21" t="str">
        <x:v>Sharjah</x:v>
      </x:c>
      <x:c r="F12" s="21" t="str">
        <x:v>Al Kuwait Tower fire</x:v>
      </x:c>
      <x:c r="G12" s="39" t="n">
        <x:v>40365</x:v>
      </x:c>
      <x:c r="H12" s="21" t="str">
        <x:v>Al Kuwait Tower高层建筑外立面火灾。死亡 0，受伤 0；表中记录的受影响楼层为 10。</x:v>
      </x:c>
      <x:c r="I12" s="21" t="str">
        <x:v>未检索到/待核实</x:v>
      </x:c>
      <x:c r="J12" s="21" t="str">
        <x:v>死亡 0，受伤 0；表中记录的受影响楼层为 10。</x:v>
      </x:c>
      <x:c r="K12" s="21" t="str">
        <x:v>https://doi.org/10.26616%2Fnioshfffacef201711</x:v>
      </x:c>
      <x:c r="L12" s="27" t="n">
        <x:v>25.3342</x:v>
      </x:c>
      <x:c r="M12" s="27" t="n">
        <x:v>55.41221</x:v>
      </x:c>
      <x:c r="N12" s="21" t="str">
        <x:v>城市代表点（来源明确说明不是火场坐标）</x:v>
      </x:c>
      <x:c r="O12" s="21" t="str">
        <x:v>高层建筑外立面火灾</x:v>
      </x:c>
      <x:c r="P12" s="21" t="str">
        <x:v>未检索到</x:v>
      </x:c>
      <x:c r="Q12" s="21" t="str">
        <x:v>未检索到</x:v>
      </x:c>
      <x:c r="R12" s="21" t="str">
        <x:v>10</x:v>
      </x:c>
      <x:c r="S12" s="21" t="str">
        <x:v>未检索到</x:v>
      </x:c>
      <x:c r="T12" s="42" t="n">
        <x:v>0</x:v>
      </x:c>
      <x:c r="U12" s="42" t="n">
        <x:v>0</x:v>
      </x:c>
      <x:c r="V12" s="42"/>
      <x:c r="W12" s="33" t="str">
        <x:v>C</x:v>
      </x:c>
      <x:c r="X12" s="33" t="str">
        <x:v>compendium_needs_independent_verification</x:v>
      </x:c>
      <x:c r="Y12" s="33" t="str">
        <x:v>专题汇编记录</x:v>
      </x:c>
      <x:c r="Z12" s="21" t="str">
        <x:v>Wikipedia高层专题表；需补充独立来源核验</x:v>
      </x:c>
      <x:c r="AA12" s="21" t="str">
        <x:v>List of high-rise façade fires | Wikipedia high-rise façade list; derived from Bonner et al./news (candidate discovery)</x:v>
      </x:c>
      <x:c r="AB12" s="21" t="str">
        <x:v>Wikipedia专题列表 | 批量来源代理</x:v>
      </x:c>
      <x:c r="AC12" s="21" t="str">
        <x:v>https://en.wikipedia.org/wiki/List_of_high-rise_fa%C3%A7ade_fires</x:v>
      </x:c>
      <x:c r="AD12" s="21" t="n">
        <x:v>2</x:v>
      </x:c>
      <x:c r="AE12" s="21" t="str">
        <x:v>受限(403)</x:v>
      </x:c>
      <x:c r="AF12" s="21" t="str">
        <x:v>https://en.wikipedia.org/wiki/List_of_high-rise_fa%C3%A7ade_fires =&gt; 可访问(200)</x:v>
      </x:c>
      <x:c r="AG12" s="24" t="n">
        <x:v>46260</x:v>
      </x:c>
      <x:c r="AH12" s="21" t="str"/>
      <x:c r="AI12" s="21" t="n">
        <x:v>1</x:v>
      </x:c>
      <x:c r="AJ12" s="21" t="str">
        <x:v>未评估（本事件表不建立热浪因果关系）</x:v>
      </x:c>
      <x:c r="AK12" s="21" t="str">
        <x:v>缺失/待核实</x:v>
      </x:c>
    </x:row>
    <x:row r="13" ht="42" customHeight="1">
      <x:c r="A13" s="33" t="n">
        <x:v>12</x:v>
      </x:c>
      <x:c r="B13" s="33" t="str">
        <x:v>HRF-0012</x:v>
      </x:c>
      <x:c r="C13" s="36" t="str">
        <x:v>亚洲</x:v>
      </x:c>
      <x:c r="D13" s="36" t="str">
        <x:v>South Korea</x:v>
      </x:c>
      <x:c r="E13" s="21" t="str">
        <x:v>Busan</x:v>
      </x:c>
      <x:c r="F13" s="21" t="str">
        <x:v>Wooshin Golden Suites fire</x:v>
      </x:c>
      <x:c r="G13" s="39" t="n">
        <x:v>40422</x:v>
      </x:c>
      <x:c r="H13" s="21" t="str">
        <x:v>Wooshin Golden Suites fire高层建筑外立面火灾。死亡 0，受伤 5；表中记录的受影响楼层为 35。</x:v>
      </x:c>
      <x:c r="I13" s="21" t="str">
        <x:v>未检索到/待核实</x:v>
      </x:c>
      <x:c r="J13" s="21" t="str">
        <x:v>死亡 0，受伤 5；表中记录的受影响楼层为 35。</x:v>
      </x:c>
      <x:c r="K13" s="21" t="str">
        <x:v>https://en.wikipedia.org/wiki/Wooshin_Golden_Suites_fire</x:v>
      </x:c>
      <x:c r="L13" s="27" t="n">
        <x:v>35.10168</x:v>
      </x:c>
      <x:c r="M13" s="27" t="n">
        <x:v>129.03004</x:v>
      </x:c>
      <x:c r="N13" s="21" t="str">
        <x:v>城市代表点（来源明确说明不是火场坐标）</x:v>
      </x:c>
      <x:c r="O13" s="21" t="str">
        <x:v>高层建筑外立面火灾</x:v>
      </x:c>
      <x:c r="P13" s="21" t="str">
        <x:v>未检索到</x:v>
      </x:c>
      <x:c r="Q13" s="21" t="str">
        <x:v>未检索到</x:v>
      </x:c>
      <x:c r="R13" s="21" t="str">
        <x:v>35</x:v>
      </x:c>
      <x:c r="S13" s="21" t="str">
        <x:v>未检索到</x:v>
      </x:c>
      <x:c r="T13" s="42" t="n">
        <x:v>0</x:v>
      </x:c>
      <x:c r="U13" s="42"/>
      <x:c r="V13" s="42"/>
      <x:c r="W13" s="33" t="str">
        <x:v>B</x:v>
      </x:c>
      <x:c r="X13" s="33" t="str">
        <x:v>compendium_needs_independent_verification</x:v>
      </x:c>
      <x:c r="Y13" s="33" t="str">
        <x:v>专题汇编记录</x:v>
      </x:c>
      <x:c r="Z13" s="21" t="str">
        <x:v>Wikipedia具名事件页+高层专题表</x:v>
      </x:c>
      <x:c r="AA13" s="21" t="str">
        <x:v>List of fires in high-rise buildings | List of high-rise façade fires | Wikipedia dynamic high-rise list (candidate discovery)</x:v>
      </x:c>
      <x:c r="AB13" s="21" t="str">
        <x:v>Wikipedia专题列表 | 批量来源代理</x:v>
      </x:c>
      <x:c r="AC13" s="21" t="str">
        <x:v>https://en.wikipedia.org/wiki/List_of_fires_in_high-rise_buildings</x:v>
      </x:c>
      <x:c r="AD13" s="21" t="n">
        <x:v>2</x:v>
      </x:c>
      <x:c r="AE13" s="21" t="str">
        <x:v>可访问(200)</x:v>
      </x:c>
      <x:c r="AF13" s="21" t="str">
        <x:v>https://en.wikipedia.org/wiki/List_of_fires_in_high-rise_buildings =&gt; 可访问(200)</x:v>
      </x:c>
      <x:c r="AG13" s="24" t="n">
        <x:v>46260</x:v>
      </x:c>
      <x:c r="AH13" s="21" t="str"/>
      <x:c r="AI13" s="21" t="n">
        <x:v>1</x:v>
      </x:c>
      <x:c r="AJ13" s="21" t="str">
        <x:v>未评估（本事件表不建立热浪因果关系）</x:v>
      </x:c>
      <x:c r="AK13" s="21" t="str">
        <x:v>缺失/待核实</x:v>
      </x:c>
    </x:row>
    <x:row r="14" ht="42" customHeight="1">
      <x:c r="A14" s="33" t="n">
        <x:v>13</x:v>
      </x:c>
      <x:c r="B14" s="33" t="str">
        <x:v>HRF-0013</x:v>
      </x:c>
      <x:c r="C14" s="36" t="str">
        <x:v>亚洲</x:v>
      </x:c>
      <x:c r="D14" s="36" t="str">
        <x:v>China</x:v>
      </x:c>
      <x:c r="E14" s="21" t="str">
        <x:v>Shanghai</x:v>
      </x:c>
      <x:c r="F14" s="21" t="str">
        <x:v>2010 Shanghai Jiaozhou Road high-rise fire</x:v>
      </x:c>
      <x:c r="G14" s="39" t="n">
        <x:v>40497</x:v>
      </x:c>
      <x:c r="H14" s="21" t="str">
        <x:v>Jiaozhou Road高层建筑外立面火灾。死亡 58，受伤 71；表中记录的受影响楼层为 28。</x:v>
      </x:c>
      <x:c r="I14" s="21" t="str">
        <x:v>未检索到/待核实</x:v>
      </x:c>
      <x:c r="J14" s="21" t="str">
        <x:v>死亡 58，受伤 71；表中记录的受影响楼层为 28。</x:v>
      </x:c>
      <x:c r="K14" s="21" t="str">
        <x:v>https://en.wikipedia.org/wiki/2010_Shanghai_fire</x:v>
      </x:c>
      <x:c r="L14" s="27" t="n">
        <x:v>31.22222</x:v>
      </x:c>
      <x:c r="M14" s="27" t="n">
        <x:v>121.45806</x:v>
      </x:c>
      <x:c r="N14" s="21" t="str">
        <x:v>城市代表点（来源明确说明不是火场坐标）</x:v>
      </x:c>
      <x:c r="O14" s="21" t="str">
        <x:v>高层建筑外立面火灾</x:v>
      </x:c>
      <x:c r="P14" s="21" t="str">
        <x:v>residential</x:v>
      </x:c>
      <x:c r="Q14" s="21" t="str">
        <x:v>85 m</x:v>
      </x:c>
      <x:c r="R14" s="21" t="str">
        <x:v>28</x:v>
      </x:c>
      <x:c r="S14" s="21" t="str">
        <x:v>未检索到</x:v>
      </x:c>
      <x:c r="T14" s="42" t="n">
        <x:v>58</x:v>
      </x:c>
      <x:c r="U14" s="42" t="n">
        <x:v>71</x:v>
      </x:c>
      <x:c r="V14" s="42"/>
      <x:c r="W14" s="33" t="str">
        <x:v>B</x:v>
      </x:c>
      <x:c r="X14" s="33" t="str">
        <x:v>compendium_needs_independent_verification</x:v>
      </x:c>
      <x:c r="Y14" s="33" t="str">
        <x:v>专题汇编记录</x:v>
      </x:c>
      <x:c r="Z14" s="21" t="str">
        <x:v>Wikipedia具名事件页+高层专题表</x:v>
      </x:c>
      <x:c r="AA14" s="21" t="str">
        <x:v>List of building or structure fires | List of fires in high-rise buildings | List of high-rise façade fires | Wikipedia dynamic high-rise list (candidate discovery) | Wikipedia high-rise façade list; derived from Bonner et al./news (candidate discovery)</x:v>
      </x:c>
      <x:c r="AB14" s="21" t="str">
        <x:v>Wikipedia专题列表 | 批量来源代理</x:v>
      </x:c>
      <x:c r="AC14" s="21" t="str">
        <x:v>https://en.wikipedia.org/wiki/List_of_fires_in_high-rise_buildings | https://en.wikipedia.org/wiki/List_of_high-rise_fa%C3%A7ade_fires</x:v>
      </x:c>
      <x:c r="AD14" s="21" t="n">
        <x:v>3</x:v>
      </x:c>
      <x:c r="AE14" s="21" t="str">
        <x:v>可访问(200)</x:v>
      </x:c>
      <x:c r="AF14" s="21" t="str">
        <x:v>https://en.wikipedia.org/wiki/List_of_fires_in_high-rise_buildings =&gt; 可访问(200) | https://en.wikipedia.org/wiki/List_of_high-rise_fa%C3%A7ade_fires =&gt; 可访问(200)</x:v>
      </x:c>
      <x:c r="AG14" s="24" t="n">
        <x:v>46260</x:v>
      </x:c>
      <x:c r="AH14" s="21" t="str"/>
      <x:c r="AI14" s="21" t="n">
        <x:v>1</x:v>
      </x:c>
      <x:c r="AJ14" s="21" t="str">
        <x:v>未评估（本事件表不建立热浪因果关系）</x:v>
      </x:c>
      <x:c r="AK14" s="21" t="str">
        <x:v>缺失/待核实</x:v>
      </x:c>
    </x:row>
    <x:row r="15" ht="42" customHeight="1">
      <x:c r="A15" s="33" t="n">
        <x:v>14</x:v>
      </x:c>
      <x:c r="B15" s="33" t="str">
        <x:v>HRF-0014</x:v>
      </x:c>
      <x:c r="C15" s="36" t="str">
        <x:v>亚洲</x:v>
      </x:c>
      <x:c r="D15" s="36" t="str">
        <x:v>China</x:v>
      </x:c>
      <x:c r="E15" s="21" t="str">
        <x:v>Shenyang</x:v>
      </x:c>
      <x:c r="F15" s="21" t="str">
        <x:v>2011 Shenyang Dynasty Wanxin complex fire</x:v>
      </x:c>
      <x:c r="G15" s="39" t="n">
        <x:v>40577</x:v>
      </x:c>
      <x:c r="H15" s="21" t="str">
        <x:v>Royal Wanxin Hotel高层建筑外立面火灾。死亡 0，受伤 0；表中记录的受影响楼层为 1。</x:v>
      </x:c>
      <x:c r="I15" s="21" t="str">
        <x:v>fireworks</x:v>
      </x:c>
      <x:c r="J15" s="21" t="str">
        <x:v>死亡 0，受伤 0；表中记录的受影响楼层为 1。</x:v>
      </x:c>
      <x:c r="K15" s="21" t="str">
        <x:v>https://www.wsj.com/articles/SB10001424052748703437304576121110358201974</x:v>
      </x:c>
      <x:c r="L15" s="27" t="n">
        <x:v>41.79222</x:v>
      </x:c>
      <x:c r="M15" s="27" t="n">
        <x:v>123.43278</x:v>
      </x:c>
      <x:c r="N15" s="21" t="str">
        <x:v>城市代表点（来源明确说明不是火场坐标）</x:v>
      </x:c>
      <x:c r="O15" s="21" t="str">
        <x:v>高层建筑外立面火灾</x:v>
      </x:c>
      <x:c r="P15" s="21" t="str">
        <x:v>hotel</x:v>
      </x:c>
      <x:c r="Q15" s="21" t="str">
        <x:v>未检索到</x:v>
      </x:c>
      <x:c r="R15" s="21" t="str">
        <x:v>1</x:v>
      </x:c>
      <x:c r="S15" s="21" t="str">
        <x:v>未检索到</x:v>
      </x:c>
      <x:c r="T15" s="42" t="n">
        <x:v>0</x:v>
      </x:c>
      <x:c r="U15" s="42" t="n">
        <x:v>0</x:v>
      </x:c>
      <x:c r="V15" s="42"/>
      <x:c r="W15" s="33" t="str">
        <x:v>C</x:v>
      </x:c>
      <x:c r="X15" s="33" t="str">
        <x:v>compendium_needs_independent_verification</x:v>
      </x:c>
      <x:c r="Y15" s="33" t="str">
        <x:v>专题汇编记录</x:v>
      </x:c>
      <x:c r="Z15" s="21" t="str">
        <x:v>Wikipedia高层专题表；需补充独立来源核验</x:v>
      </x:c>
      <x:c r="AA15" s="21" t="str">
        <x:v>List of high-rise façade fires | Wikipedia dynamic high-rise list (candidate discovery) | Wikipedia high-rise façade list; derived from Bonner et al./news (candidate discovery)</x:v>
      </x:c>
      <x:c r="AB15" s="21" t="str">
        <x:v>Wikipedia专题列表 | 批量来源代理</x:v>
      </x:c>
      <x:c r="AC15" s="21" t="str">
        <x:v>https://en.wikipedia.org/wiki/List_of_fires_in_high-rise_buildings | https://en.wikipedia.org/wiki/List_of_high-rise_fa%C3%A7ade_fires</x:v>
      </x:c>
      <x:c r="AD15" s="21" t="n">
        <x:v>3</x:v>
      </x:c>
      <x:c r="AE15" s="21" t="str">
        <x:v>受限(401)</x:v>
      </x:c>
      <x:c r="AF15" s="21" t="str">
        <x:v>https://en.wikipedia.org/wiki/List_of_fires_in_high-rise_buildings =&gt; 可访问(200) | https://en.wikipedia.org/wiki/List_of_high-rise_fa%C3%A7ade_fires =&gt; 可访问(200)</x:v>
      </x:c>
      <x:c r="AG15" s="24" t="n">
        <x:v>46260</x:v>
      </x:c>
      <x:c r="AH15" s="21" t="str"/>
      <x:c r="AI15" s="21" t="n">
        <x:v>1</x:v>
      </x:c>
      <x:c r="AJ15" s="21" t="str">
        <x:v>未评估（本事件表不建立热浪因果关系）</x:v>
      </x:c>
      <x:c r="AK15" s="21" t="str">
        <x:v>已有来源描述</x:v>
      </x:c>
    </x:row>
    <x:row r="16" ht="42" customHeight="1">
      <x:c r="A16" s="33" t="n">
        <x:v>15</x:v>
      </x:c>
      <x:c r="B16" s="33" t="str">
        <x:v>HRF-0015</x:v>
      </x:c>
      <x:c r="C16" s="36" t="str">
        <x:v>亚洲</x:v>
      </x:c>
      <x:c r="D16" s="36" t="str">
        <x:v>Vietnam</x:v>
      </x:c>
      <x:c r="E16" s="21" t="str">
        <x:v>Hanoi</x:v>
      </x:c>
      <x:c r="F16" s="21" t="str">
        <x:v>EVN Headquarters Tower 1 fire</x:v>
      </x:c>
      <x:c r="G16" s="39" t="n">
        <x:v>40893</x:v>
      </x:c>
      <x:c r="H16" s="21" t="str">
        <x:v>EVN Headquarters Tower 1高层建筑火灾；建筑高度记录为 147 m。死亡人数：0。Fire occurred during construction, 11 workers injured.</x:v>
      </x:c>
      <x:c r="I16" s="21" t="str">
        <x:v>未检索到/待核实</x:v>
      </x:c>
      <x:c r="J16" s="21" t="str">
        <x:v>死亡人数：0。Fire occurred during construction, 11 workers injured.</x:v>
      </x:c>
      <x:c r="K16" s="21" t="str">
        <x:v>http://www.thanhniennews.com/2010/pages/20111216-skyscraper-on-fire-11-injured-in-vietnam-capital.aspx</x:v>
      </x:c>
      <x:c r="L16" s="27" t="n">
        <x:v>21.0245</x:v>
      </x:c>
      <x:c r="M16" s="27" t="n">
        <x:v>105.84117</x:v>
      </x:c>
      <x:c r="N16" s="21" t="str">
        <x:v>城市代表点（来源明确说明不是火场坐标）</x:v>
      </x:c>
      <x:c r="O16" s="21" t="str">
        <x:v>高层建筑火灾</x:v>
      </x:c>
      <x:c r="P16" s="21" t="str">
        <x:v>office/government</x:v>
      </x:c>
      <x:c r="Q16" s="21" t="str">
        <x:v>147 m</x:v>
      </x:c>
      <x:c r="R16" s="21" t="str">
        <x:v>未检索到</x:v>
      </x:c>
      <x:c r="S16" s="21" t="str">
        <x:v>未检索到</x:v>
      </x:c>
      <x:c r="T16" s="42" t="n">
        <x:v>0</x:v>
      </x:c>
      <x:c r="U16" s="42"/>
      <x:c r="V16" s="42"/>
      <x:c r="W16" s="33" t="str">
        <x:v>C</x:v>
      </x:c>
      <x:c r="X16" s="33" t="str">
        <x:v>compendium_needs_independent_verification</x:v>
      </x:c>
      <x:c r="Y16" s="33" t="str">
        <x:v>专题汇编记录</x:v>
      </x:c>
      <x:c r="Z16" s="21" t="str">
        <x:v>Wikipedia高层建筑专题表；需补充独立来源核验</x:v>
      </x:c>
      <x:c r="AA16" s="21" t="str">
        <x:v>List of fires in high-rise buildings | Wikipedia dynamic high-rise list (candidate discovery)</x:v>
      </x:c>
      <x:c r="AB16" s="21" t="str">
        <x:v>Wikipedia专题列表 | 批量来源代理</x:v>
      </x:c>
      <x:c r="AC16" s="21" t="str">
        <x:v>https://en.wikipedia.org/wiki/List_of_fires_in_high-rise_buildings</x:v>
      </x:c>
      <x:c r="AD16" s="21" t="n">
        <x:v>2</x:v>
      </x:c>
      <x:c r="AE16" s="21" t="str">
        <x:v>访问失败(RemoteDisconnected)</x:v>
      </x:c>
      <x:c r="AF16" s="21" t="str">
        <x:v>https://en.wikipedia.org/wiki/List_of_fires_in_high-rise_buildings =&gt; 可访问(200)</x:v>
      </x:c>
      <x:c r="AG16" s="24" t="n">
        <x:v>46260</x:v>
      </x:c>
      <x:c r="AH16" s="21" t="str"/>
      <x:c r="AI16" s="21" t="n">
        <x:v>1</x:v>
      </x:c>
      <x:c r="AJ16" s="21" t="str">
        <x:v>未评估（本事件表不建立热浪因果关系）</x:v>
      </x:c>
      <x:c r="AK16" s="21" t="str">
        <x:v>缺失/待核实</x:v>
      </x:c>
    </x:row>
    <x:row r="17" ht="42" customHeight="1">
      <x:c r="A17" s="33" t="n">
        <x:v>16</x:v>
      </x:c>
      <x:c r="B17" s="33" t="str">
        <x:v>HRF-0016</x:v>
      </x:c>
      <x:c r="C17" s="36" t="str">
        <x:v>亚洲</x:v>
      </x:c>
      <x:c r="D17" s="36" t="str">
        <x:v>Malaysia</x:v>
      </x:c>
      <x:c r="E17" s="21" t="str">
        <x:v>Kuala Lumpur</x:v>
      </x:c>
      <x:c r="F17" s="21" t="str">
        <x:v>Uncompleted high rise block fire</x:v>
      </x:c>
      <x:c r="G17" s="39" t="n">
        <x:v>40926</x:v>
      </x:c>
      <x:c r="H17" s="21" t="str">
        <x:v>Uncompleted high rise block高层建筑火灾；建筑高度记录为 未列明。死亡人数：0。</x:v>
      </x:c>
      <x:c r="I17" s="21" t="str">
        <x:v>未检索到/待核实</x:v>
      </x:c>
      <x:c r="J17" s="21" t="str">
        <x:v>死亡人数：0。</x:v>
      </x:c>
      <x:c r="K17" s="21" t="str">
        <x:v>https://web.archive.org/web/20120120203454/http://thestar.com.my/news/story.asp?file=%2F2012%2F1%2F19%2Fnation%2F10287478&amp;sec=nation</x:v>
      </x:c>
      <x:c r="L17" s="27" t="n">
        <x:v>3.1412</x:v>
      </x:c>
      <x:c r="M17" s="27" t="n">
        <x:v>101.68653</x:v>
      </x:c>
      <x:c r="N17" s="21" t="str">
        <x:v>城市代表点（来源明确说明不是火场坐标）</x:v>
      </x:c>
      <x:c r="O17" s="21" t="str">
        <x:v>高层建筑火灾</x:v>
      </x:c>
      <x:c r="P17" s="21" t="str">
        <x:v>under construction</x:v>
      </x:c>
      <x:c r="Q17" s="21" t="str">
        <x:v>未检索到</x:v>
      </x:c>
      <x:c r="R17" s="21" t="str">
        <x:v>未检索到</x:v>
      </x:c>
      <x:c r="S17" s="21" t="str">
        <x:v>未检索到</x:v>
      </x:c>
      <x:c r="T17" s="42" t="n">
        <x:v>0</x:v>
      </x:c>
      <x:c r="U17" s="42"/>
      <x:c r="V17" s="42"/>
      <x:c r="W17" s="33" t="str">
        <x:v>C</x:v>
      </x:c>
      <x:c r="X17" s="33" t="str">
        <x:v>compendium_needs_independent_verification</x:v>
      </x:c>
      <x:c r="Y17" s="33" t="str">
        <x:v>专题汇编记录</x:v>
      </x:c>
      <x:c r="Z17" s="21" t="str">
        <x:v>Wikipedia高层建筑专题表；需补充独立来源核验</x:v>
      </x:c>
      <x:c r="AA17" s="21" t="str">
        <x:v>List of fires in high-rise buildings | Wikipedia dynamic high-rise list (candidate discovery)</x:v>
      </x:c>
      <x:c r="AB17" s="21" t="str">
        <x:v>Wikipedia专题列表 | 批量来源代理</x:v>
      </x:c>
      <x:c r="AC17" s="21" t="str">
        <x:v>https://en.wikipedia.org/wiki/List_of_fires_in_high-rise_buildings</x:v>
      </x:c>
      <x:c r="AD17" s="21" t="n">
        <x:v>2</x:v>
      </x:c>
      <x:c r="AE17" s="21" t="str">
        <x:v>访问失败(URLError)</x:v>
      </x:c>
      <x:c r="AF17" s="21" t="str">
        <x:v>https://en.wikipedia.org/wiki/List_of_fires_in_high-rise_buildings =&gt; 可访问(200)</x:v>
      </x:c>
      <x:c r="AG17" s="24" t="n">
        <x:v>46260</x:v>
      </x:c>
      <x:c r="AH17" s="21" t="str"/>
      <x:c r="AI17" s="21" t="n">
        <x:v>1</x:v>
      </x:c>
      <x:c r="AJ17" s="21" t="str">
        <x:v>未评估（本事件表不建立热浪因果关系）</x:v>
      </x:c>
      <x:c r="AK17" s="21" t="str">
        <x:v>缺失/待核实</x:v>
      </x:c>
    </x:row>
    <x:row r="18" ht="42" customHeight="1">
      <x:c r="A18" s="33" t="n">
        <x:v>17</x:v>
      </x:c>
      <x:c r="B18" s="33" t="str">
        <x:v>HRF-0017</x:v>
      </x:c>
      <x:c r="C18" s="36" t="str">
        <x:v>亚洲</x:v>
      </x:c>
      <x:c r="D18" s="36" t="str">
        <x:v>United Arab Emirates</x:v>
      </x:c>
      <x:c r="E18" s="21" t="str">
        <x:v>Sharjah</x:v>
      </x:c>
      <x:c r="F18" s="21" t="str">
        <x:v>Al Baker Tower fire</x:v>
      </x:c>
      <x:c r="G18" s="39" t="n">
        <x:v>40926</x:v>
      </x:c>
      <x:c r="H18" s="21" t="str">
        <x:v>Al Baker Tower高层建筑外立面火灾。死亡 0，受伤 0；表中记录的受影响楼层为 1。</x:v>
      </x:c>
      <x:c r="I18" s="21" t="str">
        <x:v>未检索到/待核实</x:v>
      </x:c>
      <x:c r="J18" s="21" t="str">
        <x:v>死亡 0，受伤 0；表中记录的受影响楼层为 1。</x:v>
      </x:c>
      <x:c r="K18" s="21" t="str">
        <x:v>https://gulfnews.com/uae/tossed-lighted-cigarette-caused-fire-in-al-baker-tower-1.1012778</x:v>
      </x:c>
      <x:c r="L18" s="27" t="n">
        <x:v>25.3342</x:v>
      </x:c>
      <x:c r="M18" s="27" t="n">
        <x:v>55.41221</x:v>
      </x:c>
      <x:c r="N18" s="21" t="str">
        <x:v>城市代表点（来源明确说明不是火场坐标）</x:v>
      </x:c>
      <x:c r="O18" s="21" t="str">
        <x:v>高层建筑外立面火灾</x:v>
      </x:c>
      <x:c r="P18" s="21" t="str">
        <x:v>未检索到</x:v>
      </x:c>
      <x:c r="Q18" s="21" t="str">
        <x:v>未检索到</x:v>
      </x:c>
      <x:c r="R18" s="21" t="str">
        <x:v>1</x:v>
      </x:c>
      <x:c r="S18" s="21" t="str">
        <x:v>未检索到</x:v>
      </x:c>
      <x:c r="T18" s="42" t="n">
        <x:v>0</x:v>
      </x:c>
      <x:c r="U18" s="42" t="n">
        <x:v>0</x:v>
      </x:c>
      <x:c r="V18" s="42"/>
      <x:c r="W18" s="33" t="str">
        <x:v>C</x:v>
      </x:c>
      <x:c r="X18" s="33" t="str">
        <x:v>compendium_needs_independent_verification</x:v>
      </x:c>
      <x:c r="Y18" s="33" t="str">
        <x:v>专题汇编记录</x:v>
      </x:c>
      <x:c r="Z18" s="21" t="str">
        <x:v>Wikipedia高层专题表；需补充独立来源核验</x:v>
      </x:c>
      <x:c r="AA18" s="21" t="str">
        <x:v>List of high-rise façade fires | Wikipedia high-rise façade list; derived from Bonner et al./news (candidate discovery)</x:v>
      </x:c>
      <x:c r="AB18" s="21" t="str">
        <x:v>Wikipedia专题列表 | 批量来源代理</x:v>
      </x:c>
      <x:c r="AC18" s="21" t="str">
        <x:v>https://en.wikipedia.org/wiki/List_of_high-rise_fa%C3%A7ade_fires</x:v>
      </x:c>
      <x:c r="AD18" s="21" t="n">
        <x:v>2</x:v>
      </x:c>
      <x:c r="AE18" s="21" t="str">
        <x:v>可访问(200)</x:v>
      </x:c>
      <x:c r="AF18" s="21" t="str">
        <x:v>https://en.wikipedia.org/wiki/List_of_high-rise_fa%C3%A7ade_fires =&gt; 可访问(200)</x:v>
      </x:c>
      <x:c r="AG18" s="24" t="n">
        <x:v>46260</x:v>
      </x:c>
      <x:c r="AH18" s="21" t="str"/>
      <x:c r="AI18" s="21" t="n">
        <x:v>1</x:v>
      </x:c>
      <x:c r="AJ18" s="21" t="str">
        <x:v>未评估（本事件表不建立热浪因果关系）</x:v>
      </x:c>
      <x:c r="AK18" s="21" t="str">
        <x:v>缺失/待核实</x:v>
      </x:c>
    </x:row>
    <x:row r="19" ht="42" customHeight="1">
      <x:c r="A19" s="33" t="n">
        <x:v>18</x:v>
      </x:c>
      <x:c r="B19" s="33" t="str">
        <x:v>HRF-0018</x:v>
      </x:c>
      <x:c r="C19" s="36" t="str">
        <x:v>亚洲</x:v>
      </x:c>
      <x:c r="D19" s="36" t="str">
        <x:v>Thailand</x:v>
      </x:c>
      <x:c r="E19" s="21" t="str">
        <x:v>Bangkok</x:v>
      </x:c>
      <x:c r="F19" s="21" t="str">
        <x:v>Fico Place fire</x:v>
      </x:c>
      <x:c r="G19" s="39" t="n">
        <x:v>40971</x:v>
      </x:c>
      <x:c r="H19" s="21" t="str">
        <x:v>Fico Place高层建筑火灾；建筑高度记录为 未列明。死亡人数：0。Two firemen injured</x:v>
      </x:c>
      <x:c r="I19" s="21" t="str">
        <x:v>未检索到/待核实</x:v>
      </x:c>
      <x:c r="J19" s="21" t="str">
        <x:v>死亡人数：0。Two firemen injured</x:v>
      </x:c>
      <x:c r="K19" s="21" t="str">
        <x:v>http://bangkok.coconuts.co/news/fico-blaze-prompts-bangkok-city-hall-sprinkler-initiative</x:v>
      </x:c>
      <x:c r="L19" s="27" t="n">
        <x:v>13.75398</x:v>
      </x:c>
      <x:c r="M19" s="27" t="n">
        <x:v>100.50144</x:v>
      </x:c>
      <x:c r="N19" s="21" t="str">
        <x:v>城市代表点（来源明确说明不是火场坐标）</x:v>
      </x:c>
      <x:c r="O19" s="21" t="str">
        <x:v>高层建筑火灾</x:v>
      </x:c>
      <x:c r="P19" s="21" t="str">
        <x:v>未检索到</x:v>
      </x:c>
      <x:c r="Q19" s="21" t="str">
        <x:v>未检索到</x:v>
      </x:c>
      <x:c r="R19" s="21" t="str">
        <x:v>未检索到</x:v>
      </x:c>
      <x:c r="S19" s="21" t="str">
        <x:v>未检索到</x:v>
      </x:c>
      <x:c r="T19" s="42" t="n">
        <x:v>0</x:v>
      </x:c>
      <x:c r="U19" s="42"/>
      <x:c r="V19" s="42"/>
      <x:c r="W19" s="33" t="str">
        <x:v>C</x:v>
      </x:c>
      <x:c r="X19" s="33" t="str">
        <x:v>compendium_needs_independent_verification</x:v>
      </x:c>
      <x:c r="Y19" s="33" t="str">
        <x:v>专题汇编记录</x:v>
      </x:c>
      <x:c r="Z19" s="21" t="str">
        <x:v>Wikipedia高层建筑专题表；需补充独立来源核验</x:v>
      </x:c>
      <x:c r="AA19" s="21" t="str">
        <x:v>List of fires in high-rise buildings | Wikipedia dynamic high-rise list (candidate discovery)</x:v>
      </x:c>
      <x:c r="AB19" s="21" t="str">
        <x:v>Wikipedia专题列表 | 批量来源代理</x:v>
      </x:c>
      <x:c r="AC19" s="21" t="str">
        <x:v>https://en.wikipedia.org/wiki/List_of_fires_in_high-rise_buildings</x:v>
      </x:c>
      <x:c r="AD19" s="21" t="n">
        <x:v>2</x:v>
      </x:c>
      <x:c r="AE19" s="21" t="str">
        <x:v>HTTP错误(404)</x:v>
      </x:c>
      <x:c r="AF19" s="21" t="str">
        <x:v>https://en.wikipedia.org/wiki/List_of_fires_in_high-rise_buildings =&gt; 可访问(200)</x:v>
      </x:c>
      <x:c r="AG19" s="24" t="n">
        <x:v>46260</x:v>
      </x:c>
      <x:c r="AH19" s="21" t="str"/>
      <x:c r="AI19" s="21" t="n">
        <x:v>1</x:v>
      </x:c>
      <x:c r="AJ19" s="21" t="str">
        <x:v>未评估（本事件表不建立热浪因果关系）</x:v>
      </x:c>
      <x:c r="AK19" s="21" t="str">
        <x:v>缺失/待核实</x:v>
      </x:c>
    </x:row>
    <x:row r="20" ht="42" customHeight="1">
      <x:c r="A20" s="33" t="n">
        <x:v>19</x:v>
      </x:c>
      <x:c r="B20" s="33" t="str">
        <x:v>HRF-0019</x:v>
      </x:c>
      <x:c r="C20" s="36" t="str">
        <x:v>亚洲</x:v>
      </x:c>
      <x:c r="D20" s="36" t="str">
        <x:v>United Arab Emirates</x:v>
      </x:c>
      <x:c r="E20" s="21" t="str">
        <x:v>Sharjah</x:v>
      </x:c>
      <x:c r="F20" s="21" t="str">
        <x:v>Al Tayer Tower fire</x:v>
      </x:c>
      <x:c r="G20" s="39" t="n">
        <x:v>41027</x:v>
      </x:c>
      <x:c r="H20" s="21" t="str">
        <x:v>Al Tayer Tower高层建筑外立面火灾。死亡 0，受伤 0；表中记录的受影响楼层为 1。</x:v>
      </x:c>
      <x:c r="I20" s="21" t="str">
        <x:v>未检索到/待核实</x:v>
      </x:c>
      <x:c r="J20" s="21" t="str">
        <x:v>死亡 0，受伤 0；表中记录的受影响楼层为 1。</x:v>
      </x:c>
      <x:c r="K20" s="21" t="str">
        <x:v>https://doi.org/10.1007%2F978-1-4939-2898-9_4</x:v>
      </x:c>
      <x:c r="L20" s="27" t="n">
        <x:v>25.3342</x:v>
      </x:c>
      <x:c r="M20" s="27" t="n">
        <x:v>55.41221</x:v>
      </x:c>
      <x:c r="N20" s="21" t="str">
        <x:v>城市代表点（来源明确说明不是火场坐标）</x:v>
      </x:c>
      <x:c r="O20" s="21" t="str">
        <x:v>高层建筑外立面火灾</x:v>
      </x:c>
      <x:c r="P20" s="21" t="str">
        <x:v>未检索到</x:v>
      </x:c>
      <x:c r="Q20" s="21" t="str">
        <x:v>未检索到</x:v>
      </x:c>
      <x:c r="R20" s="21" t="str">
        <x:v>1</x:v>
      </x:c>
      <x:c r="S20" s="21" t="str">
        <x:v>未检索到</x:v>
      </x:c>
      <x:c r="T20" s="42" t="n">
        <x:v>0</x:v>
      </x:c>
      <x:c r="U20" s="42" t="n">
        <x:v>0</x:v>
      </x:c>
      <x:c r="V20" s="42"/>
      <x:c r="W20" s="33" t="str">
        <x:v>C</x:v>
      </x:c>
      <x:c r="X20" s="33" t="str">
        <x:v>compendium_needs_independent_verification</x:v>
      </x:c>
      <x:c r="Y20" s="33" t="str">
        <x:v>专题汇编记录</x:v>
      </x:c>
      <x:c r="Z20" s="21" t="str">
        <x:v>Wikipedia高层专题表；需补充独立来源核验</x:v>
      </x:c>
      <x:c r="AA20" s="21" t="str">
        <x:v>List of fires in high-rise buildings | List of high-rise façade fires | Wikipedia high-rise façade list; derived from Bonner et al./news (candidate discovery)</x:v>
      </x:c>
      <x:c r="AB20" s="21" t="str">
        <x:v>Wikipedia专题列表 | 批量来源代理</x:v>
      </x:c>
      <x:c r="AC20" s="21" t="str">
        <x:v>https://en.wikipedia.org/wiki/List_of_high-rise_fa%C3%A7ade_fires | https://web.archive.org/web/20121006223821/http://www.khaleejtimes.com/kt-article-display-1.asp?xfile=data%2Fnationgeneral%2F2012%2Fapril%2Fnationgeneral_april207.xml&amp;section=nationgeneral</x:v>
      </x:c>
      <x:c r="AD20" s="21" t="n">
        <x:v>3</x:v>
      </x:c>
      <x:c r="AE20" s="21" t="str">
        <x:v>可访问(200)</x:v>
      </x:c>
      <x:c r="AF20" s="21" t="str">
        <x:v>https://en.wikipedia.org/wiki/List_of_high-rise_fa%C3%A7ade_fires =&gt; 可访问(200) | https://web.archive.org/web/20121006223821/http://www.khaleejtimes.com/kt-article-display-1.asp?xfile=data%2Fnationgeneral%2F2012%2Fapril%2Fnationgeneral_april207.xml&amp;section=nationgeneral =&gt; 访问失败(URLError)</x:v>
      </x:c>
      <x:c r="AG20" s="24" t="n">
        <x:v>46260</x:v>
      </x:c>
      <x:c r="AH20" s="21" t="str"/>
      <x:c r="AI20" s="21" t="n">
        <x:v>1</x:v>
      </x:c>
      <x:c r="AJ20" s="21" t="str">
        <x:v>未评估（本事件表不建立热浪因果关系）</x:v>
      </x:c>
      <x:c r="AK20" s="21" t="str">
        <x:v>缺失/待核实</x:v>
      </x:c>
    </x:row>
    <x:row r="21" ht="42" customHeight="1">
      <x:c r="A21" s="33" t="n">
        <x:v>20</x:v>
      </x:c>
      <x:c r="B21" s="33" t="str">
        <x:v>HRF-0020</x:v>
      </x:c>
      <x:c r="C21" s="36" t="str">
        <x:v>亚洲</x:v>
      </x:c>
      <x:c r="D21" s="36" t="str">
        <x:v>Turkey</x:v>
      </x:c>
      <x:c r="E21" s="21" t="str">
        <x:v>Istanbul</x:v>
      </x:c>
      <x:c r="F21" s="21" t="str">
        <x:v>Polat Tower Residence fire</x:v>
      </x:c>
      <x:c r="G21" s="39" t="n">
        <x:v>41107</x:v>
      </x:c>
      <x:c r="H21" s="21" t="str">
        <x:v>Polat Tower Residence高层建筑火灾；建筑高度记录为 140 m。死亡人数：0。</x:v>
      </x:c>
      <x:c r="I21" s="21" t="str">
        <x:v>未检索到/待核实</x:v>
      </x:c>
      <x:c r="J21" s="21" t="str">
        <x:v>死亡人数：0。</x:v>
      </x:c>
      <x:c r="K21" s="21" t="str">
        <x:v>https://www.bbc.co.uk/news/world-europe-18867266</x:v>
      </x:c>
      <x:c r="L21" s="27" t="n">
        <x:v>41.01384</x:v>
      </x:c>
      <x:c r="M21" s="27" t="n">
        <x:v>28.94966</x:v>
      </x:c>
      <x:c r="N21" s="21" t="str">
        <x:v>城市代表点（GeoNames；不是建筑精确坐标）</x:v>
      </x:c>
      <x:c r="O21" s="21" t="str">
        <x:v>高层建筑火灾</x:v>
      </x:c>
      <x:c r="P21" s="21" t="str">
        <x:v>未检索到</x:v>
      </x:c>
      <x:c r="Q21" s="21" t="str">
        <x:v>140 m</x:v>
      </x:c>
      <x:c r="R21" s="21" t="str">
        <x:v>1</x:v>
      </x:c>
      <x:c r="S21" s="21" t="str">
        <x:v>未检索到</x:v>
      </x:c>
      <x:c r="T21" s="42" t="n">
        <x:v>0</x:v>
      </x:c>
      <x:c r="U21" s="42" t="n">
        <x:v>0</x:v>
      </x:c>
      <x:c r="V21" s="42"/>
      <x:c r="W21" s="33" t="str">
        <x:v>C</x:v>
      </x:c>
      <x:c r="X21" s="33" t="str">
        <x:v>compendium_needs_independent_verification</x:v>
      </x:c>
      <x:c r="Y21" s="33" t="str">
        <x:v>专题汇编记录</x:v>
      </x:c>
      <x:c r="Z21" s="21" t="str">
        <x:v>Wikipedia高层建筑专题表；需补充独立来源核验</x:v>
      </x:c>
      <x:c r="AA21" s="21" t="str">
        <x:v>List of fires in high-rise buildings | List of high-rise façade fires | Wikipedia dynamic high-rise list (candidate discovery) | Wikipedia high-rise façade list; derived from Bonner et al./news (candidate discovery)</x:v>
      </x:c>
      <x:c r="AB21" s="21" t="str">
        <x:v>Wikipedia专题列表 | 批量来源代理</x:v>
      </x:c>
      <x:c r="AC21" s="21" t="str">
        <x:v>https://en.wikipedia.org/wiki/List_of_fires_in_high-rise_buildings | https://en.wikipedia.org/wiki/List_of_high-rise_fa%C3%A7ade_fires | https://news.sky.com/story/fire-tears-through-istanbul-tower-block-10475629</x:v>
      </x:c>
      <x:c r="AD21" s="21" t="n">
        <x:v>4</x:v>
      </x:c>
      <x:c r="AE21" s="21" t="str">
        <x:v>可访问(200)</x:v>
      </x:c>
      <x:c r="AF21" s="21" t="str">
        <x:v>https://en.wikipedia.org/wiki/List_of_fires_in_high-rise_buildings =&gt; 可访问(200) | https://en.wikipedia.org/wiki/List_of_high-rise_fa%C3%A7ade_fires =&gt; 可访问(200) | https://news.sky.com/story/fire-tears-through-istanbul-tower-block-10475629 =&gt; 可访问(200)</x:v>
      </x:c>
      <x:c r="AG21" s="24" t="n">
        <x:v>46260</x:v>
      </x:c>
      <x:c r="AH21" s="21" t="str"/>
      <x:c r="AI21" s="21" t="n">
        <x:v>1</x:v>
      </x:c>
      <x:c r="AJ21" s="21" t="str">
        <x:v>未评估（本事件表不建立热浪因果关系）</x:v>
      </x:c>
      <x:c r="AK21" s="21" t="str">
        <x:v>缺失/待核实</x:v>
      </x:c>
    </x:row>
    <x:row r="22" ht="42" customHeight="1">
      <x:c r="A22" s="33" t="n">
        <x:v>21</x:v>
      </x:c>
      <x:c r="B22" s="33" t="str">
        <x:v>HRF-0021</x:v>
      </x:c>
      <x:c r="C22" s="36" t="str">
        <x:v>亚洲</x:v>
      </x:c>
      <x:c r="D22" s="36" t="str">
        <x:v>United Arab Emirates</x:v>
      </x:c>
      <x:c r="E22" s="21" t="str">
        <x:v>Dubai</x:v>
      </x:c>
      <x:c r="F22" s="21" t="str">
        <x:v>Saif Belhasa Building fire</x:v>
      </x:c>
      <x:c r="G22" s="39" t="n">
        <x:v>41188</x:v>
      </x:c>
      <x:c r="H22" s="21" t="str">
        <x:v>Saif Belhasa Building高层建筑外立面火灾。死亡 0，受伤 2+；表中记录的受影响楼层为 9。</x:v>
      </x:c>
      <x:c r="I22" s="21" t="str">
        <x:v>未检索到/待核实</x:v>
      </x:c>
      <x:c r="J22" s="21" t="str">
        <x:v>死亡 0，受伤 2+；表中记录的受影响楼层为 9。</x:v>
      </x:c>
      <x:c r="K22" s="21" t="str">
        <x:v>https://doi.org/10.1007%2F978-1-4939-2898-9_4</x:v>
      </x:c>
      <x:c r="L22" s="27" t="n">
        <x:v>25.07725</x:v>
      </x:c>
      <x:c r="M22" s="27" t="n">
        <x:v>55.30927</x:v>
      </x:c>
      <x:c r="N22" s="21" t="str">
        <x:v>城市代表点（来源明确说明不是火场坐标）</x:v>
      </x:c>
      <x:c r="O22" s="21" t="str">
        <x:v>高层建筑外立面火灾</x:v>
      </x:c>
      <x:c r="P22" s="21" t="str">
        <x:v>未检索到</x:v>
      </x:c>
      <x:c r="Q22" s="21" t="str">
        <x:v>未检索到</x:v>
      </x:c>
      <x:c r="R22" s="21" t="str">
        <x:v>9</x:v>
      </x:c>
      <x:c r="S22" s="21" t="str">
        <x:v>未检索到</x:v>
      </x:c>
      <x:c r="T22" s="42" t="n">
        <x:v>0</x:v>
      </x:c>
      <x:c r="U22" s="42" t="n">
        <x:v>2</x:v>
      </x:c>
      <x:c r="V22" s="42"/>
      <x:c r="W22" s="33" t="str">
        <x:v>C</x:v>
      </x:c>
      <x:c r="X22" s="33" t="str">
        <x:v>compendium_needs_independent_verification</x:v>
      </x:c>
      <x:c r="Y22" s="33" t="str">
        <x:v>专题汇编记录</x:v>
      </x:c>
      <x:c r="Z22" s="21" t="str">
        <x:v>Wikipedia高层专题表；需补充独立来源核验</x:v>
      </x:c>
      <x:c r="AA22" s="21" t="str">
        <x:v>List of high-rise façade fires | Wikipedia high-rise façade list; derived from Bonner et al./news (candidate discovery)</x:v>
      </x:c>
      <x:c r="AB22" s="21" t="str">
        <x:v>Wikipedia专题列表 | 批量来源代理</x:v>
      </x:c>
      <x:c r="AC22" s="21" t="str">
        <x:v>https://en.wikipedia.org/wiki/List_of_high-rise_fa%C3%A7ade_fires</x:v>
      </x:c>
      <x:c r="AD22" s="21" t="n">
        <x:v>2</x:v>
      </x:c>
      <x:c r="AE22" s="21" t="str">
        <x:v>可访问(200)</x:v>
      </x:c>
      <x:c r="AF22" s="21" t="str">
        <x:v>https://en.wikipedia.org/wiki/List_of_high-rise_fa%C3%A7ade_fires =&gt; 可访问(200)</x:v>
      </x:c>
      <x:c r="AG22" s="24" t="n">
        <x:v>46260</x:v>
      </x:c>
      <x:c r="AH22" s="21" t="str"/>
      <x:c r="AI22" s="21" t="n">
        <x:v>1</x:v>
      </x:c>
      <x:c r="AJ22" s="21" t="str">
        <x:v>未评估（本事件表不建立热浪因果关系）</x:v>
      </x:c>
      <x:c r="AK22" s="21" t="str">
        <x:v>缺失/待核实</x:v>
      </x:c>
    </x:row>
    <x:row r="23" ht="42" customHeight="1">
      <x:c r="A23" s="33" t="n">
        <x:v>22</x:v>
      </x:c>
      <x:c r="B23" s="33" t="str">
        <x:v>HRF-0022</x:v>
      </x:c>
      <x:c r="C23" s="36" t="str">
        <x:v>亚洲</x:v>
      </x:c>
      <x:c r="D23" s="36" t="str">
        <x:v>United Arab Emirates</x:v>
      </x:c>
      <x:c r="E23" s="21" t="str">
        <x:v>Dubai</x:v>
      </x:c>
      <x:c r="F23" s="21" t="str">
        <x:v>Tamweel Tower fire</x:v>
      </x:c>
      <x:c r="G23" s="39" t="n">
        <x:v>41231</x:v>
      </x:c>
      <x:c r="H23" s="21" t="str">
        <x:v>Tamweel Tower高层建筑外立面火灾。死亡 0，受伤 0；表中记录的受影响楼层为 1。</x:v>
      </x:c>
      <x:c r="I23" s="21" t="str">
        <x:v>未检索到/待核实</x:v>
      </x:c>
      <x:c r="J23" s="21" t="str">
        <x:v>死亡 0，受伤 0；表中记录的受影响楼层为 1。</x:v>
      </x:c>
      <x:c r="K23" s="21" t="str">
        <x:v>https://doi.org/10.1007%2F978-1-4939-2898-9_4</x:v>
      </x:c>
      <x:c r="L23" s="27" t="n">
        <x:v>25.07725</x:v>
      </x:c>
      <x:c r="M23" s="27" t="n">
        <x:v>55.30927</x:v>
      </x:c>
      <x:c r="N23" s="21" t="str">
        <x:v>城市代表点（来源明确说明不是火场坐标）</x:v>
      </x:c>
      <x:c r="O23" s="21" t="str">
        <x:v>高层建筑外立面火灾</x:v>
      </x:c>
      <x:c r="P23" s="21" t="str">
        <x:v>未检索到</x:v>
      </x:c>
      <x:c r="Q23" s="21" t="str">
        <x:v>160 m</x:v>
      </x:c>
      <x:c r="R23" s="21" t="str">
        <x:v>1</x:v>
      </x:c>
      <x:c r="S23" s="21" t="str">
        <x:v>未检索到</x:v>
      </x:c>
      <x:c r="T23" s="42" t="n">
        <x:v>0</x:v>
      </x:c>
      <x:c r="U23" s="42" t="n">
        <x:v>0</x:v>
      </x:c>
      <x:c r="V23" s="42"/>
      <x:c r="W23" s="33" t="str">
        <x:v>C</x:v>
      </x:c>
      <x:c r="X23" s="33" t="str">
        <x:v>compendium_needs_independent_verification</x:v>
      </x:c>
      <x:c r="Y23" s="33" t="str">
        <x:v>专题汇编记录</x:v>
      </x:c>
      <x:c r="Z23" s="21" t="str">
        <x:v>Wikipedia高层专题表；需补充独立来源核验</x:v>
      </x:c>
      <x:c r="AA23" s="21" t="str">
        <x:v>List of fires in high-rise buildings | List of high-rise façade fires | Wikipedia high-rise façade list; derived from Bonner et al./news (candidate discovery)</x:v>
      </x:c>
      <x:c r="AB23" s="21" t="str">
        <x:v>Wikipedia专题列表 | 批量来源代理</x:v>
      </x:c>
      <x:c r="AC23" s="21" t="str">
        <x:v>http://www.emirates247.com/news/emirates/jlt-s-tamweel-tower-fire-residents-recount-waking-up-to-nightmare-2012-11-19-1.483506 | https://en.wikipedia.org/wiki/List_of_high-rise_fa%C3%A7ade_fires</x:v>
      </x:c>
      <x:c r="AD23" s="21" t="n">
        <x:v>3</x:v>
      </x:c>
      <x:c r="AE23" s="21" t="str">
        <x:v>可访问(200)</x:v>
      </x:c>
      <x:c r="AF23" s="21" t="str">
        <x:v>http://www.emirates247.com/news/emirates/jlt-s-tamweel-tower-fire-residents-recount-waking-up-to-nightmare-2012-11-19-1.483506 =&gt; 受限(403) | https://en.wikipedia.org/wiki/List_of_high-rise_fa%C3%A7ade_fires =&gt; 可访问(200)</x:v>
      </x:c>
      <x:c r="AG23" s="24" t="n">
        <x:v>46260</x:v>
      </x:c>
      <x:c r="AH23" s="21" t="str"/>
      <x:c r="AI23" s="21" t="n">
        <x:v>1</x:v>
      </x:c>
      <x:c r="AJ23" s="21" t="str">
        <x:v>未评估（本事件表不建立热浪因果关系）</x:v>
      </x:c>
      <x:c r="AK23" s="21" t="str">
        <x:v>缺失/待核实</x:v>
      </x:c>
    </x:row>
    <x:row r="24" ht="42" customHeight="1">
      <x:c r="A24" s="33" t="n">
        <x:v>23</x:v>
      </x:c>
      <x:c r="B24" s="33" t="str">
        <x:v>HRF-0023</x:v>
      </x:c>
      <x:c r="C24" s="36" t="str">
        <x:v>亚洲</x:v>
      </x:c>
      <x:c r="D24" s="36" t="str">
        <x:v>China</x:v>
      </x:c>
      <x:c r="E24" s="21" t="str">
        <x:v>Guangzhou</x:v>
      </x:c>
      <x:c r="F24" s="21" t="str">
        <x:v>Guangzhou Jianye Building Fire</x:v>
      </x:c>
      <x:c r="G24" s="39" t="n">
        <x:v>41367</x:v>
      </x:c>
      <x:c r="H24" s="21" t="str">
        <x:v>Guangzhou Jianye Building Fire高层建筑火灾；建筑高度记录为 未列明。死亡人数：0。</x:v>
      </x:c>
      <x:c r="I24" s="21" t="str">
        <x:v>未检索到/待核实</x:v>
      </x:c>
      <x:c r="J24" s="21" t="str">
        <x:v>死亡人数：0。</x:v>
      </x:c>
      <x:c r="K24" s="21" t="str">
        <x:v>https://en.wikipedia.org/wiki/Guangzhou_Jianye_Building_Fire?action=edit&amp;redlink=1</x:v>
      </x:c>
      <x:c r="L24" s="27" t="n">
        <x:v>23.11667</x:v>
      </x:c>
      <x:c r="M24" s="27" t="n">
        <x:v>113.25</x:v>
      </x:c>
      <x:c r="N24" s="21" t="str">
        <x:v>城市代表点（来源明确说明不是火场坐标）</x:v>
      </x:c>
      <x:c r="O24" s="21" t="str">
        <x:v>高层建筑火灾</x:v>
      </x:c>
      <x:c r="P24" s="21" t="str">
        <x:v>未检索到</x:v>
      </x:c>
      <x:c r="Q24" s="21" t="str">
        <x:v>未检索到</x:v>
      </x:c>
      <x:c r="R24" s="21" t="str">
        <x:v>未检索到</x:v>
      </x:c>
      <x:c r="S24" s="21" t="str">
        <x:v>未检索到</x:v>
      </x:c>
      <x:c r="T24" s="42" t="n">
        <x:v>0</x:v>
      </x:c>
      <x:c r="U24" s="42"/>
      <x:c r="V24" s="42"/>
      <x:c r="W24" s="33" t="str">
        <x:v>B</x:v>
      </x:c>
      <x:c r="X24" s="33" t="str">
        <x:v>compendium_needs_independent_verification</x:v>
      </x:c>
      <x:c r="Y24" s="33" t="str">
        <x:v>专题汇编记录</x:v>
      </x:c>
      <x:c r="Z24" s="21" t="str">
        <x:v>Wikipedia具名事件页+高层建筑专题表</x:v>
      </x:c>
      <x:c r="AA24" s="21" t="str">
        <x:v>List of fires in high-rise buildings | Wikipedia dynamic high-rise list (candidate discovery)</x:v>
      </x:c>
      <x:c r="AB24" s="21" t="str">
        <x:v>Wikipedia专题列表 | 批量来源代理</x:v>
      </x:c>
      <x:c r="AC24" s="21" t="str">
        <x:v>https://en.wikipedia.org/wiki/List_of_fires_in_high-rise_buildings</x:v>
      </x:c>
      <x:c r="AD24" s="21" t="n">
        <x:v>2</x:v>
      </x:c>
      <x:c r="AE24" s="21" t="str">
        <x:v>HTTP错误(404)</x:v>
      </x:c>
      <x:c r="AF24" s="21" t="str">
        <x:v>https://en.wikipedia.org/wiki/List_of_fires_in_high-rise_buildings =&gt; 可访问(200)</x:v>
      </x:c>
      <x:c r="AG24" s="24" t="n">
        <x:v>46260</x:v>
      </x:c>
      <x:c r="AH24" s="21" t="str"/>
      <x:c r="AI24" s="21" t="n">
        <x:v>1</x:v>
      </x:c>
      <x:c r="AJ24" s="21" t="str">
        <x:v>未评估（本事件表不建立热浪因果关系）</x:v>
      </x:c>
      <x:c r="AK24" s="21" t="str">
        <x:v>缺失/待核实</x:v>
      </x:c>
    </x:row>
    <x:row r="25" ht="42" customHeight="1">
      <x:c r="A25" s="33" t="n">
        <x:v>24</x:v>
      </x:c>
      <x:c r="B25" s="33" t="str">
        <x:v>HRF-0024</x:v>
      </x:c>
      <x:c r="C25" s="36" t="str">
        <x:v>亚洲</x:v>
      </x:c>
      <x:c r="D25" s="36" t="str">
        <x:v>United Arab Emirates</x:v>
      </x:c>
      <x:c r="E25" s="21" t="str">
        <x:v>Sharjah</x:v>
      </x:c>
      <x:c r="F25" s="21" t="str">
        <x:v>Al Hafeet Tower 2 fire</x:v>
      </x:c>
      <x:c r="G25" s="39" t="n">
        <x:v>41386</x:v>
      </x:c>
      <x:c r="H25" s="21" t="str">
        <x:v>Al Hafeet Tower 2高层建筑外立面火灾。死亡 0，受伤 0；表中记录的受影响楼层为 10。</x:v>
      </x:c>
      <x:c r="I25" s="21" t="str">
        <x:v>未检索到/待核实</x:v>
      </x:c>
      <x:c r="J25" s="21" t="str">
        <x:v>死亡 0，受伤 0；表中记录的受影响楼层为 10。</x:v>
      </x:c>
      <x:c r="K25" s="21" t="str">
        <x:v>https://www.emirates247.com/news/emirates/sharjah-al-hafeet-tower-fire-three-arrested-2013-04-23-1.503726</x:v>
      </x:c>
      <x:c r="L25" s="27" t="n">
        <x:v>25.3342</x:v>
      </x:c>
      <x:c r="M25" s="27" t="n">
        <x:v>55.41221</x:v>
      </x:c>
      <x:c r="N25" s="21" t="str">
        <x:v>城市代表点（来源明确说明不是火场坐标）</x:v>
      </x:c>
      <x:c r="O25" s="21" t="str">
        <x:v>高层建筑外立面火灾</x:v>
      </x:c>
      <x:c r="P25" s="21" t="str">
        <x:v>未检索到</x:v>
      </x:c>
      <x:c r="Q25" s="21" t="str">
        <x:v>未检索到</x:v>
      </x:c>
      <x:c r="R25" s="21" t="str">
        <x:v>10</x:v>
      </x:c>
      <x:c r="S25" s="21" t="str">
        <x:v>未检索到</x:v>
      </x:c>
      <x:c r="T25" s="42" t="n">
        <x:v>0</x:v>
      </x:c>
      <x:c r="U25" s="42" t="n">
        <x:v>0</x:v>
      </x:c>
      <x:c r="V25" s="42"/>
      <x:c r="W25" s="33" t="str">
        <x:v>C</x:v>
      </x:c>
      <x:c r="X25" s="33" t="str">
        <x:v>compendium_needs_independent_verification</x:v>
      </x:c>
      <x:c r="Y25" s="33" t="str">
        <x:v>专题汇编记录</x:v>
      </x:c>
      <x:c r="Z25" s="21" t="str">
        <x:v>Wikipedia高层专题表；需补充独立来源核验</x:v>
      </x:c>
      <x:c r="AA25" s="21" t="str">
        <x:v>List of high-rise façade fires | Wikipedia high-rise façade list; derived from Bonner et al./news (candidate discovery)</x:v>
      </x:c>
      <x:c r="AB25" s="21" t="str">
        <x:v>Wikipedia专题列表 | 批量来源代理</x:v>
      </x:c>
      <x:c r="AC25" s="21" t="str">
        <x:v>https://en.wikipedia.org/wiki/List_of_high-rise_fa%C3%A7ade_fires</x:v>
      </x:c>
      <x:c r="AD25" s="21" t="n">
        <x:v>2</x:v>
      </x:c>
      <x:c r="AE25" s="21" t="str">
        <x:v>受限(403)</x:v>
      </x:c>
      <x:c r="AF25" s="21" t="str">
        <x:v>https://en.wikipedia.org/wiki/List_of_high-rise_fa%C3%A7ade_fires =&gt; 可访问(200)</x:v>
      </x:c>
      <x:c r="AG25" s="24" t="n">
        <x:v>46260</x:v>
      </x:c>
      <x:c r="AH25" s="21" t="str"/>
      <x:c r="AI25" s="21" t="n">
        <x:v>1</x:v>
      </x:c>
      <x:c r="AJ25" s="21" t="str">
        <x:v>未评估（本事件表不建立热浪因果关系）</x:v>
      </x:c>
      <x:c r="AK25" s="21" t="str">
        <x:v>缺失/待核实</x:v>
      </x:c>
    </x:row>
    <x:row r="26" ht="42" customHeight="1">
      <x:c r="A26" s="33" t="n">
        <x:v>25</x:v>
      </x:c>
      <x:c r="B26" s="33" t="str">
        <x:v>HRF-0025</x:v>
      </x:c>
      <x:c r="C26" s="36" t="str">
        <x:v>亚洲</x:v>
      </x:c>
      <x:c r="D26" s="36" t="str">
        <x:v>India</x:v>
      </x:c>
      <x:c r="E26" s="21" t="str">
        <x:v>Mumbai</x:v>
      </x:c>
      <x:c r="F26" s="21" t="str">
        <x:v>Lotus Park building fire</x:v>
      </x:c>
      <x:c r="G26" s="39" t="n">
        <x:v>41838</x:v>
      </x:c>
      <x:c r="H26" s="21" t="str">
        <x:v>Lotus Park building高层建筑火灾；建筑高度记录为 未列明。死亡人数：1。</x:v>
      </x:c>
      <x:c r="I26" s="21" t="str">
        <x:v>未检索到/待核实</x:v>
      </x:c>
      <x:c r="J26" s="21" t="str">
        <x:v>死亡人数：1。</x:v>
      </x:c>
      <x:c r="K26" s="21" t="str">
        <x:v>http://us.india.com/loudspeaker/mumbai-fire-fireman-killed-in-mumbai-high-rise-blaze-98392/</x:v>
      </x:c>
      <x:c r="L26" s="27" t="n">
        <x:v>19.07283</x:v>
      </x:c>
      <x:c r="M26" s="27" t="n">
        <x:v>72.88261</x:v>
      </x:c>
      <x:c r="N26" s="21" t="str">
        <x:v>城市代表点（来源明确说明不是火场坐标）</x:v>
      </x:c>
      <x:c r="O26" s="21" t="str">
        <x:v>高层建筑火灾</x:v>
      </x:c>
      <x:c r="P26" s="21" t="str">
        <x:v>未检索到</x:v>
      </x:c>
      <x:c r="Q26" s="21" t="str">
        <x:v>未检索到</x:v>
      </x:c>
      <x:c r="R26" s="21" t="str">
        <x:v>未检索到</x:v>
      </x:c>
      <x:c r="S26" s="21" t="str">
        <x:v>未检索到</x:v>
      </x:c>
      <x:c r="T26" s="42" t="n">
        <x:v>1</x:v>
      </x:c>
      <x:c r="U26" s="42"/>
      <x:c r="V26" s="42"/>
      <x:c r="W26" s="33" t="str">
        <x:v>C</x:v>
      </x:c>
      <x:c r="X26" s="33" t="str">
        <x:v>compendium_needs_independent_verification</x:v>
      </x:c>
      <x:c r="Y26" s="33" t="str">
        <x:v>专题汇编记录</x:v>
      </x:c>
      <x:c r="Z26" s="21" t="str">
        <x:v>Wikipedia高层建筑专题表；需补充独立来源核验</x:v>
      </x:c>
      <x:c r="AA26" s="21" t="str">
        <x:v>List of fires in high-rise buildings | Wikipedia dynamic high-rise list (candidate discovery)</x:v>
      </x:c>
      <x:c r="AB26" s="21" t="str">
        <x:v>Wikipedia专题列表 | 批量来源代理</x:v>
      </x:c>
      <x:c r="AC26" s="21" t="str">
        <x:v>https://en.wikipedia.org/wiki/List_of_fires_in_high-rise_buildings</x:v>
      </x:c>
      <x:c r="AD26" s="21" t="n">
        <x:v>2</x:v>
      </x:c>
      <x:c r="AE26" s="21" t="str">
        <x:v>访问失败(RemoteDisconnected)</x:v>
      </x:c>
      <x:c r="AF26" s="21" t="str">
        <x:v>https://en.wikipedia.org/wiki/List_of_fires_in_high-rise_buildings =&gt; 可访问(200)</x:v>
      </x:c>
      <x:c r="AG26" s="24" t="n">
        <x:v>46260</x:v>
      </x:c>
      <x:c r="AH26" s="21" t="str"/>
      <x:c r="AI26" s="21" t="n">
        <x:v>1</x:v>
      </x:c>
      <x:c r="AJ26" s="21" t="str">
        <x:v>未评估（本事件表不建立热浪因果关系）</x:v>
      </x:c>
      <x:c r="AK26" s="21" t="str">
        <x:v>缺失/待核实</x:v>
      </x:c>
    </x:row>
    <x:row r="27" ht="42" customHeight="1">
      <x:c r="A27" s="33" t="n">
        <x:v>26</x:v>
      </x:c>
      <x:c r="B27" s="33" t="str">
        <x:v>HRF-0026</x:v>
      </x:c>
      <x:c r="C27" s="36" t="str">
        <x:v>亚洲</x:v>
      </x:c>
      <x:c r="D27" s="36" t="str">
        <x:v>United Arab Emirates</x:v>
      </x:c>
      <x:c r="E27" s="21" t="str">
        <x:v>Dubai</x:v>
      </x:c>
      <x:c r="F27" s="21" t="str">
        <x:v>The Marina Torch fire</x:v>
      </x:c>
      <x:c r="G27" s="39" t="n">
        <x:v>42056</x:v>
      </x:c>
      <x:c r="H27" s="21" t="str">
        <x:v>The Marina Torch高层建筑外立面火灾。死亡 0，受伤 7；表中记录的受影响楼层为 60。</x:v>
      </x:c>
      <x:c r="I27" s="21" t="str">
        <x:v>未检索到/待核实</x:v>
      </x:c>
      <x:c r="J27" s="21" t="str">
        <x:v>死亡 0，受伤 7；表中记录的受影响楼层为 60。</x:v>
      </x:c>
      <x:c r="K27" s="21" t="str">
        <x:v>https://www.telegraph.co.uk/news/worldnews/middleeast/dubai/11426566/Fire-rips-through-79-storey-Dubai-Marina-Torch.html</x:v>
      </x:c>
      <x:c r="L27" s="27" t="n">
        <x:v>25.07725</x:v>
      </x:c>
      <x:c r="M27" s="27" t="n">
        <x:v>55.30927</x:v>
      </x:c>
      <x:c r="N27" s="21" t="str">
        <x:v>城市代表点（来源明确说明不是火场坐标）</x:v>
      </x:c>
      <x:c r="O27" s="21" t="str">
        <x:v>高层建筑外立面火灾</x:v>
      </x:c>
      <x:c r="P27" s="21" t="str">
        <x:v>未检索到</x:v>
      </x:c>
      <x:c r="Q27" s="21" t="str">
        <x:v>336.8 m</x:v>
      </x:c>
      <x:c r="R27" s="21" t="str">
        <x:v>60</x:v>
      </x:c>
      <x:c r="S27" s="21" t="str">
        <x:v>未检索到</x:v>
      </x:c>
      <x:c r="T27" s="42" t="n">
        <x:v>0</x:v>
      </x:c>
      <x:c r="U27" s="42" t="n">
        <x:v>7</x:v>
      </x:c>
      <x:c r="V27" s="42"/>
      <x:c r="W27" s="33" t="str">
        <x:v>C</x:v>
      </x:c>
      <x:c r="X27" s="33" t="str">
        <x:v>compendium_needs_independent_verification</x:v>
      </x:c>
      <x:c r="Y27" s="33" t="str">
        <x:v>专题汇编记录</x:v>
      </x:c>
      <x:c r="Z27" s="21" t="str">
        <x:v>Wikipedia高层专题表；需补充独立来源核验</x:v>
      </x:c>
      <x:c r="AA27" s="21" t="str">
        <x:v>List of fires in high-rise buildings | List of high-rise façade fires | Wikipedia high-rise façade list; derived from Bonner et al./news (candidate discovery)</x:v>
      </x:c>
      <x:c r="AB27" s="21" t="str">
        <x:v>Wikipedia专题列表 | 批量来源代理</x:v>
      </x:c>
      <x:c r="AC27" s="21" t="str">
        <x:v>https://en.wikipedia.org/wiki/List_of_fires_in_high-rise_buildings | https://en.wikipedia.org/wiki/List_of_high-rise_fa%C3%A7ade_fires</x:v>
      </x:c>
      <x:c r="AD27" s="21" t="n">
        <x:v>3</x:v>
      </x:c>
      <x:c r="AE27" s="21" t="str">
        <x:v>可访问(206)</x:v>
      </x:c>
      <x:c r="AF27" s="21" t="str">
        <x:v>https://en.wikipedia.org/wiki/List_of_fires_in_high-rise_buildings =&gt; 可访问(200) | https://en.wikipedia.org/wiki/List_of_high-rise_fa%C3%A7ade_fires =&gt; 可访问(200)</x:v>
      </x:c>
      <x:c r="AG27" s="24" t="n">
        <x:v>46260</x:v>
      </x:c>
      <x:c r="AH27" s="21" t="str"/>
      <x:c r="AI27" s="21" t="n">
        <x:v>1</x:v>
      </x:c>
      <x:c r="AJ27" s="21" t="str">
        <x:v>未评估（本事件表不建立热浪因果关系）</x:v>
      </x:c>
      <x:c r="AK27" s="21" t="str">
        <x:v>缺失/待核实</x:v>
      </x:c>
    </x:row>
    <x:row r="28" ht="42" customHeight="1">
      <x:c r="A28" s="33" t="n">
        <x:v>27</x:v>
      </x:c>
      <x:c r="B28" s="33" t="str">
        <x:v>HRF-0027</x:v>
      </x:c>
      <x:c r="C28" s="36" t="str">
        <x:v>亚洲</x:v>
      </x:c>
      <x:c r="D28" s="36" t="str">
        <x:v>Indonesia</x:v>
      </x:c>
      <x:c r="E28" s="21" t="str">
        <x:v>Jakarta</x:v>
      </x:c>
      <x:c r="F28" s="21" t="str">
        <x:v>Wisma Kosgoro fire</x:v>
      </x:c>
      <x:c r="G28" s="39" t="n">
        <x:v>42073</x:v>
      </x:c>
      <x:c r="H28" s="21" t="str">
        <x:v>Wisma Kosgoro高层建筑火灾；建筑高度记录为 未列明。死亡人数：0。Fire destroyed floors 16–20.</x:v>
      </x:c>
      <x:c r="I28" s="21" t="str">
        <x:v>未检索到/待核实</x:v>
      </x:c>
      <x:c r="J28" s="21" t="str">
        <x:v>死亡人数：0。Fire destroyed floors 16–20.</x:v>
      </x:c>
      <x:c r="K28" s="21" t="str">
        <x:v>https://www.thejakartapost.com/news/2015/03/10/wisma-kosgoro-fire-subdued-short-circuiting-possible-cause.html</x:v>
      </x:c>
      <x:c r="L28" s="27" t="n">
        <x:v>-6.21462</x:v>
      </x:c>
      <x:c r="M28" s="27" t="n">
        <x:v>106.84513</x:v>
      </x:c>
      <x:c r="N28" s="21" t="str">
        <x:v>城市代表点（来源明确说明不是火场坐标）</x:v>
      </x:c>
      <x:c r="O28" s="21" t="str">
        <x:v>高层建筑火灾</x:v>
      </x:c>
      <x:c r="P28" s="21" t="str">
        <x:v>未检索到</x:v>
      </x:c>
      <x:c r="Q28" s="21" t="str">
        <x:v>未检索到</x:v>
      </x:c>
      <x:c r="R28" s="21" t="str">
        <x:v>未检索到</x:v>
      </x:c>
      <x:c r="S28" s="21" t="str">
        <x:v>未检索到</x:v>
      </x:c>
      <x:c r="T28" s="42" t="n">
        <x:v>0</x:v>
      </x:c>
      <x:c r="U28" s="42"/>
      <x:c r="V28" s="42"/>
      <x:c r="W28" s="33" t="str">
        <x:v>C</x:v>
      </x:c>
      <x:c r="X28" s="33" t="str">
        <x:v>compendium_needs_independent_verification</x:v>
      </x:c>
      <x:c r="Y28" s="33" t="str">
        <x:v>专题汇编记录</x:v>
      </x:c>
      <x:c r="Z28" s="21" t="str">
        <x:v>Wikipedia高层建筑专题表；需补充独立来源核验</x:v>
      </x:c>
      <x:c r="AA28" s="21" t="str">
        <x:v>List of fires in high-rise buildings | Wikipedia dynamic high-rise list (candidate discovery)</x:v>
      </x:c>
      <x:c r="AB28" s="21" t="str">
        <x:v>Wikipedia专题列表 | 批量来源代理</x:v>
      </x:c>
      <x:c r="AC28" s="21" t="str">
        <x:v>https://en.wikipedia.org/wiki/List_of_fires_in_high-rise_buildings</x:v>
      </x:c>
      <x:c r="AD28" s="21" t="n">
        <x:v>2</x:v>
      </x:c>
      <x:c r="AE28" s="21" t="str">
        <x:v>可访问(200)</x:v>
      </x:c>
      <x:c r="AF28" s="21" t="str">
        <x:v>https://en.wikipedia.org/wiki/List_of_fires_in_high-rise_buildings =&gt; 可访问(200)</x:v>
      </x:c>
      <x:c r="AG28" s="24" t="n">
        <x:v>46260</x:v>
      </x:c>
      <x:c r="AH28" s="21" t="str"/>
      <x:c r="AI28" s="21" t="n">
        <x:v>1</x:v>
      </x:c>
      <x:c r="AJ28" s="21" t="str">
        <x:v>未评估（本事件表不建立热浪因果关系）</x:v>
      </x:c>
      <x:c r="AK28" s="21" t="str">
        <x:v>缺失/待核实</x:v>
      </x:c>
    </x:row>
    <x:row r="29" ht="42" customHeight="1">
      <x:c r="A29" s="33" t="n">
        <x:v>28</x:v>
      </x:c>
      <x:c r="B29" s="33" t="str">
        <x:v>HRF-0028</x:v>
      </x:c>
      <x:c r="C29" s="36" t="str">
        <x:v>亚洲</x:v>
      </x:c>
      <x:c r="D29" s="36" t="str">
        <x:v>Azerbaijan</x:v>
      </x:c>
      <x:c r="E29" s="21" t="str">
        <x:v>Baku</x:v>
      </x:c>
      <x:c r="F29" s="21" t="str">
        <x:v>2015 Baku residence high-rise fire</x:v>
      </x:c>
      <x:c r="G29" s="39" t="n">
        <x:v>42143</x:v>
      </x:c>
      <x:c r="H29" s="21" t="str">
        <x:v>Unnamed Highrise高层建筑火灾；建筑高度记录为 未列明。死亡人数：16。See 2015 Baku residence building fire</x:v>
      </x:c>
      <x:c r="I29" s="21" t="str">
        <x:v>未检索到/待核实</x:v>
      </x:c>
      <x:c r="J29" s="21" t="str">
        <x:v>死亡人数：16。See 2015 Baku residence building fire</x:v>
      </x:c>
      <x:c r="K29" s="21" t="str">
        <x:v>https://en.wikipedia.org/wiki/2015_Baku_residence_building_fire</x:v>
      </x:c>
      <x:c r="L29" s="27" t="n">
        <x:v>40.37767</x:v>
      </x:c>
      <x:c r="M29" s="27" t="n">
        <x:v>49.89201</x:v>
      </x:c>
      <x:c r="N29" s="21" t="str">
        <x:v>城市代表点（来源明确说明不是火场坐标）</x:v>
      </x:c>
      <x:c r="O29" s="21" t="str">
        <x:v>高层建筑火灾</x:v>
      </x:c>
      <x:c r="P29" s="21" t="str">
        <x:v>residential</x:v>
      </x:c>
      <x:c r="Q29" s="21" t="str">
        <x:v>未检索到</x:v>
      </x:c>
      <x:c r="R29" s="21" t="str">
        <x:v>1</x:v>
      </x:c>
      <x:c r="S29" s="21" t="str">
        <x:v>未检索到</x:v>
      </x:c>
      <x:c r="T29" s="42" t="n">
        <x:v>16</x:v>
      </x:c>
      <x:c r="U29" s="42" t="n">
        <x:v>63</x:v>
      </x:c>
      <x:c r="V29" s="42"/>
      <x:c r="W29" s="33" t="str">
        <x:v>B</x:v>
      </x:c>
      <x:c r="X29" s="33" t="str">
        <x:v>compendium_needs_independent_verification</x:v>
      </x:c>
      <x:c r="Y29" s="33" t="str">
        <x:v>专题汇编记录</x:v>
      </x:c>
      <x:c r="Z29" s="21" t="str">
        <x:v>Wikipedia具名事件页+高层建筑专题表</x:v>
      </x:c>
      <x:c r="AA29" s="21" t="str">
        <x:v>List of fires in high-rise buildings | List of high-rise façade fires | Wikipedia dynamic high-rise list (candidate discovery) | Wikipedia high-rise façade list; derived from Bonner et al./news (candidate discovery)</x:v>
      </x:c>
      <x:c r="AB29" s="21" t="str">
        <x:v>Wikipedia专题列表 | 批量来源代理</x:v>
      </x:c>
      <x:c r="AC29" s="21" t="str">
        <x:v>https://en.wikipedia.org/wiki/List_of_fires_in_high-rise_buildings | https://en.wikipedia.org/wiki/List_of_high-rise_fa%C3%A7ade_fires</x:v>
      </x:c>
      <x:c r="AD29" s="21" t="n">
        <x:v>3</x:v>
      </x:c>
      <x:c r="AE29" s="21" t="str">
        <x:v>可访问(200)</x:v>
      </x:c>
      <x:c r="AF29" s="21" t="str">
        <x:v>https://en.wikipedia.org/wiki/List_of_fires_in_high-rise_buildings =&gt; 可访问(200) | https://en.wikipedia.org/wiki/List_of_high-rise_fa%C3%A7ade_fires =&gt; 可访问(200)</x:v>
      </x:c>
      <x:c r="AG29" s="24" t="n">
        <x:v>46260</x:v>
      </x:c>
      <x:c r="AH29" s="21" t="str"/>
      <x:c r="AI29" s="21" t="n">
        <x:v>1</x:v>
      </x:c>
      <x:c r="AJ29" s="21" t="str">
        <x:v>未评估（本事件表不建立热浪因果关系）</x:v>
      </x:c>
      <x:c r="AK29" s="21" t="str">
        <x:v>缺失/待核实</x:v>
      </x:c>
    </x:row>
    <x:row r="30" ht="42" customHeight="1">
      <x:c r="A30" s="33" t="n">
        <x:v>29</x:v>
      </x:c>
      <x:c r="B30" s="33" t="str">
        <x:v>HRF-0029</x:v>
      </x:c>
      <x:c r="C30" s="36" t="str">
        <x:v>亚洲</x:v>
      </x:c>
      <x:c r="D30" s="36" t="str">
        <x:v>United Arab Emirates</x:v>
      </x:c>
      <x:c r="E30" s="21" t="str">
        <x:v>Sharjah</x:v>
      </x:c>
      <x:c r="F30" s="21" t="str">
        <x:v>Al Nasser Tower fire</x:v>
      </x:c>
      <x:c r="G30" s="39" t="n">
        <x:v>42278</x:v>
      </x:c>
      <x:c r="H30" s="21" t="str">
        <x:v>Al Nasser Tower高层建筑外立面火灾。死亡 0，受伤 40；表中记录的受影响楼层为 26。</x:v>
      </x:c>
      <x:c r="I30" s="21" t="str">
        <x:v>未检索到/待核实</x:v>
      </x:c>
      <x:c r="J30" s="21" t="str">
        <x:v>死亡 0，受伤 40；表中记录的受影响楼层为 26。</x:v>
      </x:c>
      <x:c r="K30" s="21" t="str">
        <x:v>https://thepawprintdaa.com/2015/10/08/major-fire-in-sharjah-residential-tower/</x:v>
      </x:c>
      <x:c r="L30" s="27" t="n">
        <x:v>25.3342</x:v>
      </x:c>
      <x:c r="M30" s="27" t="n">
        <x:v>55.41221</x:v>
      </x:c>
      <x:c r="N30" s="21" t="str">
        <x:v>城市代表点（来源明确说明不是火场坐标）</x:v>
      </x:c>
      <x:c r="O30" s="21" t="str">
        <x:v>高层建筑外立面火灾</x:v>
      </x:c>
      <x:c r="P30" s="21" t="str">
        <x:v>residential</x:v>
      </x:c>
      <x:c r="Q30" s="21" t="str">
        <x:v>未检索到</x:v>
      </x:c>
      <x:c r="R30" s="21" t="str">
        <x:v>26</x:v>
      </x:c>
      <x:c r="S30" s="21" t="str">
        <x:v>未检索到</x:v>
      </x:c>
      <x:c r="T30" s="42" t="n">
        <x:v>0</x:v>
      </x:c>
      <x:c r="U30" s="42" t="n">
        <x:v>40</x:v>
      </x:c>
      <x:c r="V30" s="42"/>
      <x:c r="W30" s="33" t="str">
        <x:v>C</x:v>
      </x:c>
      <x:c r="X30" s="33" t="str">
        <x:v>compendium_needs_independent_verification</x:v>
      </x:c>
      <x:c r="Y30" s="33" t="str">
        <x:v>专题汇编记录</x:v>
      </x:c>
      <x:c r="Z30" s="21" t="str">
        <x:v>Wikipedia高层专题表；需补充独立来源核验</x:v>
      </x:c>
      <x:c r="AA30" s="21" t="str">
        <x:v>List of fires in high-rise buildings | List of high-rise façade fires | Wikipedia dynamic high-rise list (candidate discovery) | Wikipedia high-rise façade list; derived from Bonner et al./news (candidate discovery)</x:v>
      </x:c>
      <x:c r="AB30" s="21" t="str">
        <x:v>Wikipedia专题列表 | 批量来源代理</x:v>
      </x:c>
      <x:c r="AC30" s="21" t="str">
        <x:v>https://en.wikipedia.org/wiki/List_of_fires_in_high-rise_buildings | https://en.wikipedia.org/wiki/List_of_high-rise_fa%C3%A7ade_fires</x:v>
      </x:c>
      <x:c r="AD30" s="21" t="n">
        <x:v>3</x:v>
      </x:c>
      <x:c r="AE30" s="21" t="str">
        <x:v>访问失败(URLError)</x:v>
      </x:c>
      <x:c r="AF30" s="21" t="str">
        <x:v>https://en.wikipedia.org/wiki/List_of_fires_in_high-rise_buildings =&gt; 可访问(200) | https://en.wikipedia.org/wiki/List_of_high-rise_fa%C3%A7ade_fires =&gt; 可访问(200)</x:v>
      </x:c>
      <x:c r="AG30" s="24" t="n">
        <x:v>46260</x:v>
      </x:c>
      <x:c r="AH30" s="21" t="str"/>
      <x:c r="AI30" s="21" t="n">
        <x:v>1</x:v>
      </x:c>
      <x:c r="AJ30" s="21" t="str">
        <x:v>未评估（本事件表不建立热浪因果关系）</x:v>
      </x:c>
      <x:c r="AK30" s="21" t="str">
        <x:v>缺失/待核实</x:v>
      </x:c>
    </x:row>
    <x:row r="31" ht="42" customHeight="1">
      <x:c r="A31" s="33" t="n">
        <x:v>30</x:v>
      </x:c>
      <x:c r="B31" s="33" t="str">
        <x:v>HRF-0030</x:v>
      </x:c>
      <x:c r="C31" s="36" t="str">
        <x:v>亚洲</x:v>
      </x:c>
      <x:c r="D31" s="36" t="str">
        <x:v>United Arab Emirates</x:v>
      </x:c>
      <x:c r="E31" s="21" t="str">
        <x:v>Dubai</x:v>
      </x:c>
      <x:c r="F31" s="21" t="str">
        <x:v>Address Downtown Hotel fire</x:v>
      </x:c>
      <x:c r="G31" s="39" t="n">
        <x:v>42369</x:v>
      </x:c>
      <x:c r="H31" s="21" t="str">
        <x:v>Address Downtown Hotel高层建筑外立面火灾。死亡 0，受伤 15；表中记录的受影响楼层为 1。</x:v>
      </x:c>
      <x:c r="I31" s="21" t="str">
        <x:v>未检索到/待核实</x:v>
      </x:c>
      <x:c r="J31" s="21" t="str">
        <x:v>死亡 0，受伤 15；表中记录的受影响楼层为 1。</x:v>
      </x:c>
      <x:c r="K31" s="21" t="str">
        <x:v>http://www.independent.co.uk/news/world/middle-east/dubai-skyscraper-hotel-engulfed-in-huge-fire-a6792356.html</x:v>
      </x:c>
      <x:c r="L31" s="27" t="n">
        <x:v>25.07725</x:v>
      </x:c>
      <x:c r="M31" s="27" t="n">
        <x:v>55.30927</x:v>
      </x:c>
      <x:c r="N31" s="21" t="str">
        <x:v>城市代表点（来源明确说明不是火场坐标）</x:v>
      </x:c>
      <x:c r="O31" s="21" t="str">
        <x:v>高层建筑外立面火灾</x:v>
      </x:c>
      <x:c r="P31" s="21" t="str">
        <x:v>hotel</x:v>
      </x:c>
      <x:c r="Q31" s="21" t="str">
        <x:v>306.2 m</x:v>
      </x:c>
      <x:c r="R31" s="21" t="str">
        <x:v>1</x:v>
      </x:c>
      <x:c r="S31" s="21" t="str">
        <x:v>未检索到</x:v>
      </x:c>
      <x:c r="T31" s="42" t="n">
        <x:v>0</x:v>
      </x:c>
      <x:c r="U31" s="42" t="n">
        <x:v>15</x:v>
      </x:c>
      <x:c r="V31" s="42"/>
      <x:c r="W31" s="33" t="str">
        <x:v>C</x:v>
      </x:c>
      <x:c r="X31" s="33" t="str">
        <x:v>compendium_needs_independent_verification</x:v>
      </x:c>
      <x:c r="Y31" s="33" t="str">
        <x:v>专题汇编记录</x:v>
      </x:c>
      <x:c r="Z31" s="21" t="str">
        <x:v>Wikipedia高层专题表；需补充独立来源核验</x:v>
      </x:c>
      <x:c r="AA31" s="21" t="str">
        <x:v>List of fires in high-rise buildings | List of high-rise façade fires | Wikipedia dynamic high-rise list (candidate discovery) | Wikipedia high-rise façade list; derived from Bonner et al./news (candidate discovery)</x:v>
      </x:c>
      <x:c r="AB31" s="21" t="str">
        <x:v>Wikipedia专题列表 | 批量来源代理</x:v>
      </x:c>
      <x:c r="AC31" s="21" t="str">
        <x:v>https://en.wikipedia.org/wiki/List_of_fires_in_high-rise_buildings | https://en.wikipedia.org/wiki/List_of_high-rise_fa%C3%A7ade_fires | https://www.bbc.com/news/world-middle-east-35207451</x:v>
      </x:c>
      <x:c r="AD31" s="21" t="n">
        <x:v>4</x:v>
      </x:c>
      <x:c r="AE31" s="21" t="str">
        <x:v>可访问(200)</x:v>
      </x:c>
      <x:c r="AF31" s="21" t="str">
        <x:v>https://en.wikipedia.org/wiki/List_of_fires_in_high-rise_buildings =&gt; 可访问(200) | https://en.wikipedia.org/wiki/List_of_high-rise_fa%C3%A7ade_fires =&gt; 可访问(200) | https://www.bbc.com/news/world-middle-east-35207451 =&gt; 可访问(200)</x:v>
      </x:c>
      <x:c r="AG31" s="24" t="n">
        <x:v>46260</x:v>
      </x:c>
      <x:c r="AH31" s="21" t="str"/>
      <x:c r="AI31" s="21" t="n">
        <x:v>1</x:v>
      </x:c>
      <x:c r="AJ31" s="21" t="str">
        <x:v>未评估（本事件表不建立热浪因果关系）</x:v>
      </x:c>
      <x:c r="AK31" s="21" t="str">
        <x:v>缺失/待核实</x:v>
      </x:c>
    </x:row>
    <x:row r="32" ht="42" customHeight="1">
      <x:c r="A32" s="33" t="n">
        <x:v>31</x:v>
      </x:c>
      <x:c r="B32" s="33" t="str">
        <x:v>HRF-0031</x:v>
      </x:c>
      <x:c r="C32" s="36" t="str">
        <x:v>亚洲</x:v>
      </x:c>
      <x:c r="D32" s="36" t="str">
        <x:v>United Arab Emirates</x:v>
      </x:c>
      <x:c r="E32" s="21" t="str">
        <x:v>Ajman</x:v>
      </x:c>
      <x:c r="F32" s="21" t="str">
        <x:v>Ajman One Complex fire</x:v>
      </x:c>
      <x:c r="G32" s="39" t="n">
        <x:v>42457</x:v>
      </x:c>
      <x:c r="H32" s="21" t="str">
        <x:v>Ajman One Complex高层建筑外立面火灾。死亡 0，受伤 0；表中记录的受影响楼层为 1。</x:v>
      </x:c>
      <x:c r="I32" s="21" t="str">
        <x:v>未检索到/待核实</x:v>
      </x:c>
      <x:c r="J32" s="21" t="str">
        <x:v>死亡 0，受伤 0；表中记录的受影响楼层为 1。</x:v>
      </x:c>
      <x:c r="K32" s="21" t="str">
        <x:v>https://www.bbc.com/news/world-middle-east-35913988</x:v>
      </x:c>
      <x:c r="L32" s="27" t="n">
        <x:v>25.40177</x:v>
      </x:c>
      <x:c r="M32" s="27" t="n">
        <x:v>55.47878</x:v>
      </x:c>
      <x:c r="N32" s="21" t="str">
        <x:v>城市代表点（来源明确说明不是火场坐标）</x:v>
      </x:c>
      <x:c r="O32" s="21" t="str">
        <x:v>高层建筑外立面火灾</x:v>
      </x:c>
      <x:c r="P32" s="21" t="str">
        <x:v>未检索到</x:v>
      </x:c>
      <x:c r="Q32" s="21" t="str">
        <x:v>未检索到</x:v>
      </x:c>
      <x:c r="R32" s="21" t="str">
        <x:v>1</x:v>
      </x:c>
      <x:c r="S32" s="21" t="str">
        <x:v>未检索到</x:v>
      </x:c>
      <x:c r="T32" s="42" t="n">
        <x:v>0</x:v>
      </x:c>
      <x:c r="U32" s="42" t="n">
        <x:v>0</x:v>
      </x:c>
      <x:c r="V32" s="42"/>
      <x:c r="W32" s="33" t="str">
        <x:v>C</x:v>
      </x:c>
      <x:c r="X32" s="33" t="str">
        <x:v>compendium_needs_independent_verification</x:v>
      </x:c>
      <x:c r="Y32" s="33" t="str">
        <x:v>专题汇编记录</x:v>
      </x:c>
      <x:c r="Z32" s="21" t="str">
        <x:v>Wikipedia高层专题表；需补充独立来源核验</x:v>
      </x:c>
      <x:c r="AA32" s="21" t="str">
        <x:v>List of high-rise façade fires | Wikipedia high-rise façade list; derived from Bonner et al./news (candidate discovery)</x:v>
      </x:c>
      <x:c r="AB32" s="21" t="str">
        <x:v>Wikipedia专题列表 | 批量来源代理</x:v>
      </x:c>
      <x:c r="AC32" s="21" t="str">
        <x:v>https://en.wikipedia.org/wiki/List_of_high-rise_fa%C3%A7ade_fires</x:v>
      </x:c>
      <x:c r="AD32" s="21" t="n">
        <x:v>2</x:v>
      </x:c>
      <x:c r="AE32" s="21" t="str">
        <x:v>可访问(200)</x:v>
      </x:c>
      <x:c r="AF32" s="21" t="str">
        <x:v>https://en.wikipedia.org/wiki/List_of_high-rise_fa%C3%A7ade_fires =&gt; 可访问(200)</x:v>
      </x:c>
      <x:c r="AG32" s="24" t="n">
        <x:v>46260</x:v>
      </x:c>
      <x:c r="AH32" s="21" t="str"/>
      <x:c r="AI32" s="21" t="n">
        <x:v>1</x:v>
      </x:c>
      <x:c r="AJ32" s="21" t="str">
        <x:v>未评估（本事件表不建立热浪因果关系）</x:v>
      </x:c>
      <x:c r="AK32" s="21" t="str">
        <x:v>缺失/待核实</x:v>
      </x:c>
    </x:row>
    <x:row r="33" ht="42" customHeight="1">
      <x:c r="A33" s="33" t="n">
        <x:v>32</x:v>
      </x:c>
      <x:c r="B33" s="33" t="str">
        <x:v>HRF-0032</x:v>
      </x:c>
      <x:c r="C33" s="36" t="str">
        <x:v>亚洲</x:v>
      </x:c>
      <x:c r="D33" s="36" t="str">
        <x:v>China</x:v>
      </x:c>
      <x:c r="E33" s="21" t="str">
        <x:v>Nanjing</x:v>
      </x:c>
      <x:c r="F33" s="21" t="str">
        <x:v>Longsheng Building fire</x:v>
      </x:c>
      <x:c r="G33" s="39" t="n">
        <x:v>42493</x:v>
      </x:c>
      <x:c r="H33" s="21" t="str">
        <x:v>Longsheng Building高层建筑外立面火灾。死亡 0，受伤 0；表中记录的受影响楼层为 1。</x:v>
      </x:c>
      <x:c r="I33" s="21" t="str">
        <x:v>未检索到/待核实</x:v>
      </x:c>
      <x:c r="J33" s="21" t="str">
        <x:v>死亡 0，受伤 0；表中记录的受影响楼层为 1。</x:v>
      </x:c>
      <x:c r="K33" s="21" t="str">
        <x:v>http://www.mirror.co.uk/news/world-news/longsheng-building-fire-terror-skyscraper-7885245</x:v>
      </x:c>
      <x:c r="L33" s="27" t="n">
        <x:v>32.06167</x:v>
      </x:c>
      <x:c r="M33" s="27" t="n">
        <x:v>118.77778</x:v>
      </x:c>
      <x:c r="N33" s="21" t="str">
        <x:v>城市代表点（来源明确说明不是火场坐标）</x:v>
      </x:c>
      <x:c r="O33" s="21" t="str">
        <x:v>高层建筑外立面火灾</x:v>
      </x:c>
      <x:c r="P33" s="21" t="str">
        <x:v>未检索到</x:v>
      </x:c>
      <x:c r="Q33" s="21" t="str">
        <x:v>未检索到</x:v>
      </x:c>
      <x:c r="R33" s="21" t="str">
        <x:v>1</x:v>
      </x:c>
      <x:c r="S33" s="21" t="str">
        <x:v>未检索到</x:v>
      </x:c>
      <x:c r="T33" s="42" t="n">
        <x:v>0</x:v>
      </x:c>
      <x:c r="U33" s="42" t="n">
        <x:v>0</x:v>
      </x:c>
      <x:c r="V33" s="42"/>
      <x:c r="W33" s="33" t="str">
        <x:v>C</x:v>
      </x:c>
      <x:c r="X33" s="33" t="str">
        <x:v>compendium_needs_independent_verification</x:v>
      </x:c>
      <x:c r="Y33" s="33" t="str">
        <x:v>专题汇编记录</x:v>
      </x:c>
      <x:c r="Z33" s="21" t="str">
        <x:v>Wikipedia高层专题表；需补充独立来源核验</x:v>
      </x:c>
      <x:c r="AA33" s="21" t="str">
        <x:v>List of high-rise façade fires | Wikipedia high-rise façade list; derived from Bonner et al./news (candidate discovery)</x:v>
      </x:c>
      <x:c r="AB33" s="21" t="str">
        <x:v>Wikipedia专题列表 | 批量来源代理</x:v>
      </x:c>
      <x:c r="AC33" s="21" t="str">
        <x:v>https://en.wikipedia.org/wiki/List_of_high-rise_fa%C3%A7ade_fires</x:v>
      </x:c>
      <x:c r="AD33" s="21" t="n">
        <x:v>2</x:v>
      </x:c>
      <x:c r="AE33" s="21" t="str">
        <x:v>可访问(200)</x:v>
      </x:c>
      <x:c r="AF33" s="21" t="str">
        <x:v>https://en.wikipedia.org/wiki/List_of_high-rise_fa%C3%A7ade_fires =&gt; 可访问(200)</x:v>
      </x:c>
      <x:c r="AG33" s="24" t="n">
        <x:v>46260</x:v>
      </x:c>
      <x:c r="AH33" s="21" t="str"/>
      <x:c r="AI33" s="21" t="n">
        <x:v>1</x:v>
      </x:c>
      <x:c r="AJ33" s="21" t="str">
        <x:v>未评估（本事件表不建立热浪因果关系）</x:v>
      </x:c>
      <x:c r="AK33" s="21" t="str">
        <x:v>缺失/待核实</x:v>
      </x:c>
    </x:row>
    <x:row r="34" ht="42" customHeight="1">
      <x:c r="A34" s="33" t="n">
        <x:v>33</x:v>
      </x:c>
      <x:c r="B34" s="33" t="str">
        <x:v>HRF-0033</x:v>
      </x:c>
      <x:c r="C34" s="36" t="str">
        <x:v>亚洲</x:v>
      </x:c>
      <x:c r="D34" s="36" t="str">
        <x:v>United Arab Emirates</x:v>
      </x:c>
      <x:c r="E34" s="21" t="str">
        <x:v>Dubai</x:v>
      </x:c>
      <x:c r="F34" s="21" t="str">
        <x:v>Sulafa Tower fire</x:v>
      </x:c>
      <x:c r="G34" s="39" t="n">
        <x:v>42571</x:v>
      </x:c>
      <x:c r="H34" s="21" t="str">
        <x:v>Sulafa Tower高层建筑外立面火灾。死亡 0，受伤 0；表中记录的受影响楼层为 30。</x:v>
      </x:c>
      <x:c r="I34" s="21" t="str">
        <x:v>未检索到/待核实</x:v>
      </x:c>
      <x:c r="J34" s="21" t="str">
        <x:v>死亡 0，受伤 0；表中记录的受影响楼层为 30。</x:v>
      </x:c>
      <x:c r="K34" s="21" t="str">
        <x:v>https://www.bbc.com/news/world-middle-east-36848521</x:v>
      </x:c>
      <x:c r="L34" s="27" t="n">
        <x:v>25.07725</x:v>
      </x:c>
      <x:c r="M34" s="27" t="n">
        <x:v>55.30927</x:v>
      </x:c>
      <x:c r="N34" s="21" t="str">
        <x:v>城市代表点（来源明确说明不是火场坐标）</x:v>
      </x:c>
      <x:c r="O34" s="21" t="str">
        <x:v>高层建筑外立面火灾</x:v>
      </x:c>
      <x:c r="P34" s="21" t="str">
        <x:v>未检索到</x:v>
      </x:c>
      <x:c r="Q34" s="21" t="str">
        <x:v>288 m</x:v>
      </x:c>
      <x:c r="R34" s="21" t="str">
        <x:v>30</x:v>
      </x:c>
      <x:c r="S34" s="21" t="str">
        <x:v>未检索到</x:v>
      </x:c>
      <x:c r="T34" s="42" t="n">
        <x:v>0</x:v>
      </x:c>
      <x:c r="U34" s="42"/>
      <x:c r="V34" s="42"/>
      <x:c r="W34" s="33" t="str">
        <x:v>C</x:v>
      </x:c>
      <x:c r="X34" s="33" t="str">
        <x:v>compendium_needs_independent_verification</x:v>
      </x:c>
      <x:c r="Y34" s="33" t="str">
        <x:v>专题汇编记录</x:v>
      </x:c>
      <x:c r="Z34" s="21" t="str">
        <x:v>Wikipedia高层专题表；需补充独立来源核验</x:v>
      </x:c>
      <x:c r="AA34" s="21" t="str">
        <x:v>List of fires in high-rise buildings | List of high-rise façade fires | Wikipedia dynamic high-rise list (candidate discovery)</x:v>
      </x:c>
      <x:c r="AB34" s="21" t="str">
        <x:v>Wikipedia专题列表 | 批量来源代理</x:v>
      </x:c>
      <x:c r="AC34" s="21" t="str">
        <x:v>https://en.wikipedia.org/wiki/List_of_fires_in_high-rise_buildings</x:v>
      </x:c>
      <x:c r="AD34" s="21" t="n">
        <x:v>2</x:v>
      </x:c>
      <x:c r="AE34" s="21" t="str">
        <x:v>可访问(200)</x:v>
      </x:c>
      <x:c r="AF34" s="21" t="str">
        <x:v>https://en.wikipedia.org/wiki/List_of_fires_in_high-rise_buildings =&gt; 可访问(200)</x:v>
      </x:c>
      <x:c r="AG34" s="24" t="n">
        <x:v>46260</x:v>
      </x:c>
      <x:c r="AH34" s="21" t="str"/>
      <x:c r="AI34" s="21" t="n">
        <x:v>1</x:v>
      </x:c>
      <x:c r="AJ34" s="21" t="str">
        <x:v>未评估（本事件表不建立热浪因果关系）</x:v>
      </x:c>
      <x:c r="AK34" s="21" t="str">
        <x:v>缺失/待核实</x:v>
      </x:c>
    </x:row>
    <x:row r="35" ht="42" customHeight="1">
      <x:c r="A35" s="33" t="n">
        <x:v>34</x:v>
      </x:c>
      <x:c r="B35" s="33" t="str">
        <x:v>HRF-0034</x:v>
      </x:c>
      <x:c r="C35" s="36" t="str">
        <x:v>亚洲</x:v>
      </x:c>
      <x:c r="D35" s="36" t="str">
        <x:v>Indonesia</x:v>
      </x:c>
      <x:c r="E35" s="21" t="str">
        <x:v>Jakarta</x:v>
      </x:c>
      <x:c r="F35" s="21" t="str">
        <x:v>Neo Soho Project fire</x:v>
      </x:c>
      <x:c r="G35" s="39" t="n">
        <x:v>42683</x:v>
      </x:c>
      <x:c r="H35" s="21" t="str">
        <x:v>Neo Soho Project高层建筑外立面火灾。死亡 0，受伤 0；表中记录的受影响楼层为 7。</x:v>
      </x:c>
      <x:c r="I35" s="21" t="str">
        <x:v>未检索到/待核实</x:v>
      </x:c>
      <x:c r="J35" s="21" t="str">
        <x:v>死亡 0，受伤 0；表中记录的受影响楼层为 7。</x:v>
      </x:c>
      <x:c r="K35" s="21" t="str">
        <x:v>https://apfmag.mdmpublishing.com/a-perspective-on-high-rise-building-fires-involving-the-facade/</x:v>
      </x:c>
      <x:c r="L35" s="27" t="n">
        <x:v>-6.21462</x:v>
      </x:c>
      <x:c r="M35" s="27" t="n">
        <x:v>106.84513</x:v>
      </x:c>
      <x:c r="N35" s="21" t="str">
        <x:v>城市代表点（来源明确说明不是火场坐标）</x:v>
      </x:c>
      <x:c r="O35" s="21" t="str">
        <x:v>高层建筑外立面火灾</x:v>
      </x:c>
      <x:c r="P35" s="21" t="str">
        <x:v>未检索到</x:v>
      </x:c>
      <x:c r="Q35" s="21" t="str">
        <x:v>未检索到</x:v>
      </x:c>
      <x:c r="R35" s="21" t="str">
        <x:v>7</x:v>
      </x:c>
      <x:c r="S35" s="21" t="str">
        <x:v>未检索到</x:v>
      </x:c>
      <x:c r="T35" s="42" t="n">
        <x:v>0</x:v>
      </x:c>
      <x:c r="U35" s="42" t="n">
        <x:v>0</x:v>
      </x:c>
      <x:c r="V35" s="42"/>
      <x:c r="W35" s="33" t="str">
        <x:v>C</x:v>
      </x:c>
      <x:c r="X35" s="33" t="str">
        <x:v>compendium_needs_independent_verification</x:v>
      </x:c>
      <x:c r="Y35" s="33" t="str">
        <x:v>专题汇编记录</x:v>
      </x:c>
      <x:c r="Z35" s="21" t="str">
        <x:v>Wikipedia高层专题表；需补充独立来源核验</x:v>
      </x:c>
      <x:c r="AA35" s="21" t="str">
        <x:v>List of high-rise façade fires | Wikipedia high-rise façade list; derived from Bonner et al./news (candidate discovery)</x:v>
      </x:c>
      <x:c r="AB35" s="21" t="str">
        <x:v>Wikipedia专题列表 | 批量来源代理</x:v>
      </x:c>
      <x:c r="AC35" s="21" t="str">
        <x:v>https://en.wikipedia.org/wiki/List_of_high-rise_fa%C3%A7ade_fires</x:v>
      </x:c>
      <x:c r="AD35" s="21" t="n">
        <x:v>2</x:v>
      </x:c>
      <x:c r="AE35" s="21" t="str">
        <x:v>可访问(200)</x:v>
      </x:c>
      <x:c r="AF35" s="21" t="str">
        <x:v>https://en.wikipedia.org/wiki/List_of_high-rise_fa%C3%A7ade_fires =&gt; 可访问(200)</x:v>
      </x:c>
      <x:c r="AG35" s="24" t="n">
        <x:v>46260</x:v>
      </x:c>
      <x:c r="AH35" s="21" t="str"/>
      <x:c r="AI35" s="21" t="n">
        <x:v>1</x:v>
      </x:c>
      <x:c r="AJ35" s="21" t="str">
        <x:v>未评估（本事件表不建立热浪因果关系）</x:v>
      </x:c>
      <x:c r="AK35" s="21" t="str">
        <x:v>缺失/待核实</x:v>
      </x:c>
    </x:row>
    <x:row r="36" ht="42" customHeight="1">
      <x:c r="A36" s="33" t="n">
        <x:v>35</x:v>
      </x:c>
      <x:c r="B36" s="33" t="str">
        <x:v>HRF-0035</x:v>
      </x:c>
      <x:c r="C36" s="36" t="str">
        <x:v>亚洲</x:v>
      </x:c>
      <x:c r="D36" s="36" t="str">
        <x:v>United Arab Emirates</x:v>
      </x:c>
      <x:c r="E36" s="21" t="str">
        <x:v>Sharjah</x:v>
      </x:c>
      <x:c r="F36" s="21" t="str">
        <x:v>Al Bandary Tower B fire</x:v>
      </x:c>
      <x:c r="G36" s="39" t="n">
        <x:v>42705</x:v>
      </x:c>
      <x:c r="H36" s="21" t="str">
        <x:v>Al Bandary Tower B高层建筑外立面火灾。死亡 0，受伤 4；表中记录的受影响楼层为 1。</x:v>
      </x:c>
      <x:c r="I36" s="21" t="str">
        <x:v>未检索到/待核实</x:v>
      </x:c>
      <x:c r="J36" s="21" t="str">
        <x:v>死亡 0，受伤 4；表中记录的受影响楼层为 1。</x:v>
      </x:c>
      <x:c r="K36" s="21" t="str">
        <x:v>https://gulfnews.com/uae/sharjah-fire-tenants-move-into-tower-a-1.1938866</x:v>
      </x:c>
      <x:c r="L36" s="27" t="n">
        <x:v>25.3342</x:v>
      </x:c>
      <x:c r="M36" s="27" t="n">
        <x:v>55.41221</x:v>
      </x:c>
      <x:c r="N36" s="21" t="str">
        <x:v>城市代表点（来源明确说明不是火场坐标）</x:v>
      </x:c>
      <x:c r="O36" s="21" t="str">
        <x:v>高层建筑外立面火灾</x:v>
      </x:c>
      <x:c r="P36" s="21" t="str">
        <x:v>未检索到</x:v>
      </x:c>
      <x:c r="Q36" s="21" t="str">
        <x:v>未检索到</x:v>
      </x:c>
      <x:c r="R36" s="21" t="str">
        <x:v>1</x:v>
      </x:c>
      <x:c r="S36" s="21" t="str">
        <x:v>未检索到</x:v>
      </x:c>
      <x:c r="T36" s="42" t="n">
        <x:v>0</x:v>
      </x:c>
      <x:c r="U36" s="42" t="n">
        <x:v>4</x:v>
      </x:c>
      <x:c r="V36" s="42"/>
      <x:c r="W36" s="33" t="str">
        <x:v>C</x:v>
      </x:c>
      <x:c r="X36" s="33" t="str">
        <x:v>compendium_needs_independent_verification</x:v>
      </x:c>
      <x:c r="Y36" s="33" t="str">
        <x:v>专题汇编记录</x:v>
      </x:c>
      <x:c r="Z36" s="21" t="str">
        <x:v>Wikipedia高层专题表；需补充独立来源核验</x:v>
      </x:c>
      <x:c r="AA36" s="21" t="str">
        <x:v>List of high-rise façade fires | Wikipedia high-rise façade list; derived from Bonner et al./news (candidate discovery)</x:v>
      </x:c>
      <x:c r="AB36" s="21" t="str">
        <x:v>Wikipedia专题列表 | 批量来源代理</x:v>
      </x:c>
      <x:c r="AC36" s="21" t="str">
        <x:v>https://en.wikipedia.org/wiki/List_of_high-rise_fa%C3%A7ade_fires</x:v>
      </x:c>
      <x:c r="AD36" s="21" t="n">
        <x:v>2</x:v>
      </x:c>
      <x:c r="AE36" s="21" t="str">
        <x:v>可访问(200)</x:v>
      </x:c>
      <x:c r="AF36" s="21" t="str">
        <x:v>https://en.wikipedia.org/wiki/List_of_high-rise_fa%C3%A7ade_fires =&gt; 可访问(200)</x:v>
      </x:c>
      <x:c r="AG36" s="24" t="n">
        <x:v>46260</x:v>
      </x:c>
      <x:c r="AH36" s="21" t="str"/>
      <x:c r="AI36" s="21" t="n">
        <x:v>1</x:v>
      </x:c>
      <x:c r="AJ36" s="21" t="str">
        <x:v>未评估（本事件表不建立热浪因果关系）</x:v>
      </x:c>
      <x:c r="AK36" s="21" t="str">
        <x:v>缺失/待核实</x:v>
      </x:c>
    </x:row>
    <x:row r="37" ht="42" customHeight="1">
      <x:c r="A37" s="33" t="n">
        <x:v>36</x:v>
      </x:c>
      <x:c r="B37" s="33" t="str">
        <x:v>HRF-0036</x:v>
      </x:c>
      <x:c r="C37" s="36" t="str">
        <x:v>亚洲</x:v>
      </x:c>
      <x:c r="D37" s="36" t="str">
        <x:v>United Arab Emirates</x:v>
      </x:c>
      <x:c r="E37" s="21" t="str">
        <x:v>Dubai</x:v>
      </x:c>
      <x:c r="F37" s="21" t="str">
        <x:v>Oceana Adriatic Building fire</x:v>
      </x:c>
      <x:c r="G37" s="39" t="n">
        <x:v>42717</x:v>
      </x:c>
      <x:c r="H37" s="21" t="str">
        <x:v>Oceana Adriatic Building高层建筑外立面火灾。死亡 0，受伤 0；表中记录的受影响楼层为 1。</x:v>
      </x:c>
      <x:c r="I37" s="21" t="str">
        <x:v>未检索到/待核实</x:v>
      </x:c>
      <x:c r="J37" s="21" t="str">
        <x:v>死亡 0，受伤 0；表中记录的受影响楼层为 1。</x:v>
      </x:c>
      <x:c r="K37" s="21" t="str">
        <x:v>https://www.khaleejtimes.com/nation/dubai/update-fire-put-out-at-dubais-palm-jumeirah-building</x:v>
      </x:c>
      <x:c r="L37" s="27" t="n">
        <x:v>25.07725</x:v>
      </x:c>
      <x:c r="M37" s="27" t="n">
        <x:v>55.30927</x:v>
      </x:c>
      <x:c r="N37" s="21" t="str">
        <x:v>城市代表点（来源明确说明不是火场坐标）</x:v>
      </x:c>
      <x:c r="O37" s="21" t="str">
        <x:v>高层建筑外立面火灾</x:v>
      </x:c>
      <x:c r="P37" s="21" t="str">
        <x:v>未检索到</x:v>
      </x:c>
      <x:c r="Q37" s="21" t="str">
        <x:v>未检索到</x:v>
      </x:c>
      <x:c r="R37" s="21" t="str">
        <x:v>1</x:v>
      </x:c>
      <x:c r="S37" s="21" t="str">
        <x:v>未检索到</x:v>
      </x:c>
      <x:c r="T37" s="42" t="n">
        <x:v>0</x:v>
      </x:c>
      <x:c r="U37" s="42" t="n">
        <x:v>0</x:v>
      </x:c>
      <x:c r="V37" s="42"/>
      <x:c r="W37" s="33" t="str">
        <x:v>C</x:v>
      </x:c>
      <x:c r="X37" s="33" t="str">
        <x:v>compendium_needs_independent_verification</x:v>
      </x:c>
      <x:c r="Y37" s="33" t="str">
        <x:v>专题汇编记录</x:v>
      </x:c>
      <x:c r="Z37" s="21" t="str">
        <x:v>Wikipedia高层专题表；需补充独立来源核验</x:v>
      </x:c>
      <x:c r="AA37" s="21" t="str">
        <x:v>List of high-rise façade fires | Wikipedia high-rise façade list; derived from Bonner et al./news (candidate discovery)</x:v>
      </x:c>
      <x:c r="AB37" s="21" t="str">
        <x:v>Wikipedia专题列表 | 批量来源代理</x:v>
      </x:c>
      <x:c r="AC37" s="21" t="str">
        <x:v>https://en.wikipedia.org/wiki/List_of_high-rise_fa%C3%A7ade_fires</x:v>
      </x:c>
      <x:c r="AD37" s="21" t="n">
        <x:v>2</x:v>
      </x:c>
      <x:c r="AE37" s="21" t="str">
        <x:v>可访问(200)</x:v>
      </x:c>
      <x:c r="AF37" s="21" t="str">
        <x:v>https://en.wikipedia.org/wiki/List_of_high-rise_fa%C3%A7ade_fires =&gt; 可访问(200)</x:v>
      </x:c>
      <x:c r="AG37" s="24" t="n">
        <x:v>46260</x:v>
      </x:c>
      <x:c r="AH37" s="21" t="str"/>
      <x:c r="AI37" s="21" t="n">
        <x:v>1</x:v>
      </x:c>
      <x:c r="AJ37" s="21" t="str">
        <x:v>未评估（本事件表不建立热浪因果关系）</x:v>
      </x:c>
      <x:c r="AK37" s="21" t="str">
        <x:v>缺失/待核实</x:v>
      </x:c>
    </x:row>
    <x:row r="38" ht="42" customHeight="1">
      <x:c r="A38" s="33" t="n">
        <x:v>37</x:v>
      </x:c>
      <x:c r="B38" s="33" t="str">
        <x:v>HRF-0037</x:v>
      </x:c>
      <x:c r="C38" s="36" t="str">
        <x:v>亚洲</x:v>
      </x:c>
      <x:c r="D38" s="36" t="str">
        <x:v>Iran</x:v>
      </x:c>
      <x:c r="E38" s="21" t="str">
        <x:v>Tehran</x:v>
      </x:c>
      <x:c r="F38" s="21" t="str">
        <x:v>Plasco Building fire</x:v>
      </x:c>
      <x:c r="G38" s="39" t="n">
        <x:v>42754</x:v>
      </x:c>
      <x:c r="H38" s="21" t="str">
        <x:v>Plasco Building高层建筑火灾；建筑高度记录为 42 m。死亡人数：21。The 17-story building collapsed after a fire started on the ninth floor. Seventy injured.</x:v>
      </x:c>
      <x:c r="I38" s="21" t="str">
        <x:v>The 17-story building collapsed after a fire started on the ninth floor.</x:v>
      </x:c>
      <x:c r="J38" s="21" t="str">
        <x:v>死亡人数：21。The 17-story building collapsed after a fire started on the ninth floor. Seventy injured.</x:v>
      </x:c>
      <x:c r="K38" s="21" t="str">
        <x:v>https://www.bbc.co.uk/news/world-middle-east-38675628</x:v>
      </x:c>
      <x:c r="L38" s="27" t="n">
        <x:v>35.69439</x:v>
      </x:c>
      <x:c r="M38" s="27" t="n">
        <x:v>51.42151</x:v>
      </x:c>
      <x:c r="N38" s="21" t="str">
        <x:v>城市代表点（来源明确说明不是火场坐标）</x:v>
      </x:c>
      <x:c r="O38" s="21" t="str">
        <x:v>高层建筑火灾</x:v>
      </x:c>
      <x:c r="P38" s="21" t="str">
        <x:v>未检索到</x:v>
      </x:c>
      <x:c r="Q38" s="21" t="str">
        <x:v>42 m</x:v>
      </x:c>
      <x:c r="R38" s="21" t="str">
        <x:v>未检索到</x:v>
      </x:c>
      <x:c r="S38" s="21" t="str">
        <x:v>未检索到</x:v>
      </x:c>
      <x:c r="T38" s="42" t="n">
        <x:v>21</x:v>
      </x:c>
      <x:c r="U38" s="42"/>
      <x:c r="V38" s="42"/>
      <x:c r="W38" s="33" t="str">
        <x:v>C</x:v>
      </x:c>
      <x:c r="X38" s="33" t="str">
        <x:v>compendium_needs_independent_verification</x:v>
      </x:c>
      <x:c r="Y38" s="33" t="str">
        <x:v>专题汇编记录</x:v>
      </x:c>
      <x:c r="Z38" s="21" t="str">
        <x:v>Wikipedia高层建筑专题表；需补充独立来源核验</x:v>
      </x:c>
      <x:c r="AA38" s="21" t="str">
        <x:v>List of fires in high-rise buildings | Wikipedia dynamic high-rise list (candidate discovery)</x:v>
      </x:c>
      <x:c r="AB38" s="21" t="str">
        <x:v>Wikipedia专题列表 | 批量来源代理</x:v>
      </x:c>
      <x:c r="AC38" s="21" t="str">
        <x:v>https://en.wikipedia.org/wiki/List_of_fires_in_high-rise_buildings</x:v>
      </x:c>
      <x:c r="AD38" s="21" t="n">
        <x:v>2</x:v>
      </x:c>
      <x:c r="AE38" s="21" t="str">
        <x:v>可访问(200)</x:v>
      </x:c>
      <x:c r="AF38" s="21" t="str">
        <x:v>https://en.wikipedia.org/wiki/List_of_fires_in_high-rise_buildings =&gt; 可访问(200)</x:v>
      </x:c>
      <x:c r="AG38" s="24" t="n">
        <x:v>46260</x:v>
      </x:c>
      <x:c r="AH38" s="21" t="str"/>
      <x:c r="AI38" s="21" t="n">
        <x:v>1</x:v>
      </x:c>
      <x:c r="AJ38" s="21" t="str">
        <x:v>未评估（本事件表不建立热浪因果关系）</x:v>
      </x:c>
      <x:c r="AK38" s="21" t="str">
        <x:v>已有来源描述</x:v>
      </x:c>
    </x:row>
    <x:row r="39" ht="42" customHeight="1">
      <x:c r="A39" s="33" t="n">
        <x:v>38</x:v>
      </x:c>
      <x:c r="B39" s="33" t="str">
        <x:v>HRF-0038</x:v>
      </x:c>
      <x:c r="C39" s="36" t="str">
        <x:v>亚洲</x:v>
      </x:c>
      <x:c r="D39" s="36" t="str">
        <x:v>United Arab Emirates</x:v>
      </x:c>
      <x:c r="E39" s="21" t="str">
        <x:v>Dubai</x:v>
      </x:c>
      <x:c r="F39" s="21" t="str">
        <x:v>Address Residences Fountain Views fire</x:v>
      </x:c>
      <x:c r="G39" s="39" t="n">
        <x:v>42796</x:v>
      </x:c>
      <x:c r="H39" s="21" t="str">
        <x:v>Address Residences Fountain Views高层建筑外立面火灾。死亡 0，受伤 0；表中记录的受影响楼层为 3。</x:v>
      </x:c>
      <x:c r="I39" s="21" t="str">
        <x:v>未检索到/待核实</x:v>
      </x:c>
      <x:c r="J39" s="21" t="str">
        <x:v>死亡 0，受伤 0；表中记录的受影响楼层为 3。</x:v>
      </x:c>
      <x:c r="K39" s="21" t="str">
        <x:v>https://www.telegraph.co.uk/news/2017/04/02/dramatic-scenes-fire-engulfs-skyscraper-downtown-dubai/</x:v>
      </x:c>
      <x:c r="L39" s="27" t="n">
        <x:v>25.07725</x:v>
      </x:c>
      <x:c r="M39" s="27" t="n">
        <x:v>55.30927</x:v>
      </x:c>
      <x:c r="N39" s="21" t="str">
        <x:v>城市代表点（来源明确说明不是火场坐标）</x:v>
      </x:c>
      <x:c r="O39" s="21" t="str">
        <x:v>高层建筑外立面火灾</x:v>
      </x:c>
      <x:c r="P39" s="21" t="str">
        <x:v>未检索到</x:v>
      </x:c>
      <x:c r="Q39" s="21" t="str">
        <x:v>未检索到</x:v>
      </x:c>
      <x:c r="R39" s="21" t="str">
        <x:v>3</x:v>
      </x:c>
      <x:c r="S39" s="21" t="str">
        <x:v>未检索到</x:v>
      </x:c>
      <x:c r="T39" s="42" t="n">
        <x:v>0</x:v>
      </x:c>
      <x:c r="U39" s="42" t="n">
        <x:v>0</x:v>
      </x:c>
      <x:c r="V39" s="42"/>
      <x:c r="W39" s="33" t="str">
        <x:v>C</x:v>
      </x:c>
      <x:c r="X39" s="33" t="str">
        <x:v>compendium_needs_independent_verification</x:v>
      </x:c>
      <x:c r="Y39" s="33" t="str">
        <x:v>专题汇编记录</x:v>
      </x:c>
      <x:c r="Z39" s="21" t="str">
        <x:v>Wikipedia高层专题表；需补充独立来源核验</x:v>
      </x:c>
      <x:c r="AA39" s="21" t="str">
        <x:v>List of high-rise façade fires | Wikipedia high-rise façade list; derived from Bonner et al./news (candidate discovery)</x:v>
      </x:c>
      <x:c r="AB39" s="21" t="str">
        <x:v>Wikipedia专题列表 | 批量来源代理</x:v>
      </x:c>
      <x:c r="AC39" s="21" t="str">
        <x:v>https://en.wikipedia.org/wiki/List_of_high-rise_fa%C3%A7ade_fires</x:v>
      </x:c>
      <x:c r="AD39" s="21" t="n">
        <x:v>2</x:v>
      </x:c>
      <x:c r="AE39" s="21" t="str">
        <x:v>可访问(206)</x:v>
      </x:c>
      <x:c r="AF39" s="21" t="str">
        <x:v>https://en.wikipedia.org/wiki/List_of_high-rise_fa%C3%A7ade_fires =&gt; 可访问(200)</x:v>
      </x:c>
      <x:c r="AG39" s="24" t="n">
        <x:v>46260</x:v>
      </x:c>
      <x:c r="AH39" s="21" t="str"/>
      <x:c r="AI39" s="21" t="n">
        <x:v>1</x:v>
      </x:c>
      <x:c r="AJ39" s="21" t="str">
        <x:v>未评估（本事件表不建立热浪因果关系）</x:v>
      </x:c>
      <x:c r="AK39" s="21" t="str">
        <x:v>缺失/待核实</x:v>
      </x:c>
    </x:row>
    <x:row r="40" ht="42" customHeight="1">
      <x:c r="A40" s="33" t="n">
        <x:v>39</x:v>
      </x:c>
      <x:c r="B40" s="33" t="str">
        <x:v>HRF-0039</x:v>
      </x:c>
      <x:c r="C40" s="36" t="str">
        <x:v>亚洲</x:v>
      </x:c>
      <x:c r="D40" s="36" t="str">
        <x:v>Iran</x:v>
      </x:c>
      <x:c r="E40" s="21" t="str">
        <x:v>Tehran</x:v>
      </x:c>
      <x:c r="F40" s="21" t="str">
        <x:v>Pamchal Chitgar Building fire</x:v>
      </x:c>
      <x:c r="G40" s="39" t="n">
        <x:v>42900</x:v>
      </x:c>
      <x:c r="H40" s="21" t="str">
        <x:v>Pamchal Chitgar Building高层建筑火灾；建筑高度记录为 66 m。死亡人数：0。The residential 20-storey tower – four injured</x:v>
      </x:c>
      <x:c r="I40" s="21" t="str">
        <x:v>未检索到/待核实</x:v>
      </x:c>
      <x:c r="J40" s="21" t="str">
        <x:v>死亡人数：0。The residential 20-storey tower – four injured</x:v>
      </x:c>
      <x:c r="K40" s="21" t="str">
        <x:v>https://en.wikipedia.org/wiki/List_of_fires_in_high-rise_buildings</x:v>
      </x:c>
      <x:c r="L40" s="27" t="n">
        <x:v>35.69439</x:v>
      </x:c>
      <x:c r="M40" s="27" t="n">
        <x:v>51.42151</x:v>
      </x:c>
      <x:c r="N40" s="21" t="str">
        <x:v>城市代表点（来源明确说明不是火场坐标）</x:v>
      </x:c>
      <x:c r="O40" s="21" t="str">
        <x:v>高层建筑火灾</x:v>
      </x:c>
      <x:c r="P40" s="21" t="str">
        <x:v>residential</x:v>
      </x:c>
      <x:c r="Q40" s="21" t="str">
        <x:v>66 m</x:v>
      </x:c>
      <x:c r="R40" s="21" t="str">
        <x:v>未检索到</x:v>
      </x:c>
      <x:c r="S40" s="21" t="str">
        <x:v>未检索到</x:v>
      </x:c>
      <x:c r="T40" s="42" t="n">
        <x:v>0</x:v>
      </x:c>
      <x:c r="U40" s="42"/>
      <x:c r="V40" s="42"/>
      <x:c r="W40" s="33" t="str">
        <x:v>C</x:v>
      </x:c>
      <x:c r="X40" s="33" t="str">
        <x:v>compendium_needs_independent_verification</x:v>
      </x:c>
      <x:c r="Y40" s="33" t="str">
        <x:v>专题汇编记录</x:v>
      </x:c>
      <x:c r="Z40" s="21" t="str">
        <x:v>Wikipedia高层建筑专题表；需补充独立来源核验</x:v>
      </x:c>
      <x:c r="AA40" s="21" t="str">
        <x:v>List of fires in high-rise buildings | Wikipedia dynamic high-rise list (candidate discovery)</x:v>
      </x:c>
      <x:c r="AB40" s="21" t="str">
        <x:v>Wikipedia专题列表 | 批量来源代理</x:v>
      </x:c>
      <x:c r="AC40" s="21" t="str"/>
      <x:c r="AD40" s="21" t="n">
        <x:v>1</x:v>
      </x:c>
      <x:c r="AE40" s="21" t="str">
        <x:v>可访问(200)</x:v>
      </x:c>
      <x:c r="AF40" s="21" t="str"/>
      <x:c r="AG40" s="24" t="n">
        <x:v>46260</x:v>
      </x:c>
      <x:c r="AH40" s="21" t="str"/>
      <x:c r="AI40" s="21" t="n">
        <x:v>1</x:v>
      </x:c>
      <x:c r="AJ40" s="21" t="str">
        <x:v>未评估（本事件表不建立热浪因果关系）</x:v>
      </x:c>
      <x:c r="AK40" s="21" t="str">
        <x:v>缺失/待核实</x:v>
      </x:c>
    </x:row>
    <x:row r="41" ht="42" customHeight="1">
      <x:c r="A41" s="33" t="n">
        <x:v>40</x:v>
      </x:c>
      <x:c r="B41" s="33" t="str">
        <x:v>HRF-0040</x:v>
      </x:c>
      <x:c r="C41" s="36" t="str">
        <x:v>亚洲</x:v>
      </x:c>
      <x:c r="D41" s="36" t="str">
        <x:v>Iran</x:v>
      </x:c>
      <x:c r="E41" s="21" t="str">
        <x:v>Mashhad</x:v>
      </x:c>
      <x:c r="F41" s="21" t="str">
        <x:v>Rotana Hotel Building fire</x:v>
      </x:c>
      <x:c r="G41" s="39" t="n">
        <x:v>42938</x:v>
      </x:c>
      <x:c r="H41" s="21" t="str">
        <x:v>Rotana Hotel Building高层建筑火灾；建筑高度记录为 66 m。死亡人数：0。Under construction 20-storey hotel</x:v>
      </x:c>
      <x:c r="I41" s="21" t="str">
        <x:v>未检索到/待核实</x:v>
      </x:c>
      <x:c r="J41" s="21" t="str">
        <x:v>死亡人数：0。Under construction 20-storey hotel</x:v>
      </x:c>
      <x:c r="K41" s="21" t="str">
        <x:v>https://en.wikipedia.org/wiki/List_of_fires_in_high-rise_buildings</x:v>
      </x:c>
      <x:c r="L41" s="27" t="n">
        <x:v>36.29807</x:v>
      </x:c>
      <x:c r="M41" s="27" t="n">
        <x:v>59.60567</x:v>
      </x:c>
      <x:c r="N41" s="21" t="str">
        <x:v>城市代表点（来源明确说明不是火场坐标）</x:v>
      </x:c>
      <x:c r="O41" s="21" t="str">
        <x:v>高层建筑火灾</x:v>
      </x:c>
      <x:c r="P41" s="21" t="str">
        <x:v>hotel</x:v>
      </x:c>
      <x:c r="Q41" s="21" t="str">
        <x:v>66 m</x:v>
      </x:c>
      <x:c r="R41" s="21" t="str">
        <x:v>未检索到</x:v>
      </x:c>
      <x:c r="S41" s="21" t="str">
        <x:v>未检索到</x:v>
      </x:c>
      <x:c r="T41" s="42" t="n">
        <x:v>0</x:v>
      </x:c>
      <x:c r="U41" s="42"/>
      <x:c r="V41" s="42"/>
      <x:c r="W41" s="33" t="str">
        <x:v>C</x:v>
      </x:c>
      <x:c r="X41" s="33" t="str">
        <x:v>compendium_needs_independent_verification</x:v>
      </x:c>
      <x:c r="Y41" s="33" t="str">
        <x:v>专题汇编记录</x:v>
      </x:c>
      <x:c r="Z41" s="21" t="str">
        <x:v>Wikipedia高层建筑专题表；需补充独立来源核验</x:v>
      </x:c>
      <x:c r="AA41" s="21" t="str">
        <x:v>List of fires in high-rise buildings | Wikipedia dynamic high-rise list (candidate discovery)</x:v>
      </x:c>
      <x:c r="AB41" s="21" t="str">
        <x:v>Wikipedia专题列表 | 批量来源代理</x:v>
      </x:c>
      <x:c r="AC41" s="21" t="str"/>
      <x:c r="AD41" s="21" t="n">
        <x:v>1</x:v>
      </x:c>
      <x:c r="AE41" s="21" t="str">
        <x:v>可访问(200)</x:v>
      </x:c>
      <x:c r="AF41" s="21" t="str"/>
      <x:c r="AG41" s="24" t="n">
        <x:v>46260</x:v>
      </x:c>
      <x:c r="AH41" s="21" t="str"/>
      <x:c r="AI41" s="21" t="n">
        <x:v>1</x:v>
      </x:c>
      <x:c r="AJ41" s="21" t="str">
        <x:v>未评估（本事件表不建立热浪因果关系）</x:v>
      </x:c>
      <x:c r="AK41" s="21" t="str">
        <x:v>缺失/待核实</x:v>
      </x:c>
    </x:row>
    <x:row r="42" ht="42" customHeight="1">
      <x:c r="A42" s="33" t="n">
        <x:v>41</x:v>
      </x:c>
      <x:c r="B42" s="33" t="str">
        <x:v>HRF-0041</x:v>
      </x:c>
      <x:c r="C42" s="36" t="str">
        <x:v>亚洲</x:v>
      </x:c>
      <x:c r="D42" s="36" t="str">
        <x:v>United Arab Emirates</x:v>
      </x:c>
      <x:c r="E42" s="21" t="str">
        <x:v>Dubai</x:v>
      </x:c>
      <x:c r="F42" s="21" t="str">
        <x:v>The Marina Torch fire</x:v>
      </x:c>
      <x:c r="G42" s="39" t="n">
        <x:v>42951</x:v>
      </x:c>
      <x:c r="H42" s="21" t="str">
        <x:v>The Marina Torch高层建筑外立面火灾。死亡 0，受伤 0；表中记录的受影响楼层为 64/87。</x:v>
      </x:c>
      <x:c r="I42" s="21" t="str">
        <x:v>未检索到/待核实</x:v>
      </x:c>
      <x:c r="J42" s="21" t="str">
        <x:v>死亡 0，受伤 0；表中记录的受影响楼层为 64/87。</x:v>
      </x:c>
      <x:c r="K42" s="21" t="str">
        <x:v>https://www.bbc.com/news/world-middle-east-40822269</x:v>
      </x:c>
      <x:c r="L42" s="27" t="n">
        <x:v>25.07725</x:v>
      </x:c>
      <x:c r="M42" s="27" t="n">
        <x:v>55.30927</x:v>
      </x:c>
      <x:c r="N42" s="21" t="str">
        <x:v>城市代表点（来源明确说明不是火场坐标）</x:v>
      </x:c>
      <x:c r="O42" s="21" t="str">
        <x:v>高层建筑外立面火灾</x:v>
      </x:c>
      <x:c r="P42" s="21" t="str">
        <x:v>未检索到</x:v>
      </x:c>
      <x:c r="Q42" s="21" t="str">
        <x:v>336.8 m</x:v>
      </x:c>
      <x:c r="R42" s="21" t="str">
        <x:v>64/87</x:v>
      </x:c>
      <x:c r="S42" s="21" t="str">
        <x:v>未检索到</x:v>
      </x:c>
      <x:c r="T42" s="42" t="n">
        <x:v>0</x:v>
      </x:c>
      <x:c r="U42" s="42" t="n">
        <x:v>0</x:v>
      </x:c>
      <x:c r="V42" s="42"/>
      <x:c r="W42" s="33" t="str">
        <x:v>C</x:v>
      </x:c>
      <x:c r="X42" s="33" t="str">
        <x:v>compendium_needs_independent_verification</x:v>
      </x:c>
      <x:c r="Y42" s="33" t="str">
        <x:v>专题汇编记录</x:v>
      </x:c>
      <x:c r="Z42" s="21" t="str">
        <x:v>Wikipedia高层专题表；需补充独立来源核验</x:v>
      </x:c>
      <x:c r="AA42" s="21" t="str">
        <x:v>List of fires in high-rise buildings | List of high-rise façade fires | Wikipedia high-rise façade list; derived from Bonner et al./news (candidate discovery)</x:v>
      </x:c>
      <x:c r="AB42" s="21" t="str">
        <x:v>Wikipedia专题列表 | 批量来源代理</x:v>
      </x:c>
      <x:c r="AC42" s="21" t="str">
        <x:v>https://en.wikipedia.org/wiki/List_of_fires_in_high-rise_buildings | https://en.wikipedia.org/wiki/List_of_high-rise_fa%C3%A7ade_fires</x:v>
      </x:c>
      <x:c r="AD42" s="21" t="n">
        <x:v>3</x:v>
      </x:c>
      <x:c r="AE42" s="21" t="str">
        <x:v>可访问(200)</x:v>
      </x:c>
      <x:c r="AF42" s="21" t="str">
        <x:v>https://en.wikipedia.org/wiki/List_of_fires_in_high-rise_buildings =&gt; 可访问(200) | https://en.wikipedia.org/wiki/List_of_high-rise_fa%C3%A7ade_fires =&gt; 可访问(200)</x:v>
      </x:c>
      <x:c r="AG42" s="24" t="n">
        <x:v>46260</x:v>
      </x:c>
      <x:c r="AH42" s="21" t="str"/>
      <x:c r="AI42" s="21" t="n">
        <x:v>1</x:v>
      </x:c>
      <x:c r="AJ42" s="21" t="str">
        <x:v>未评估（本事件表不建立热浪因果关系）</x:v>
      </x:c>
      <x:c r="AK42" s="21" t="str">
        <x:v>缺失/待核实</x:v>
      </x:c>
    </x:row>
    <x:row r="43" ht="42" customHeight="1">
      <x:c r="A43" s="33" t="n">
        <x:v>42</x:v>
      </x:c>
      <x:c r="B43" s="33" t="str">
        <x:v>HRF-0042</x:v>
      </x:c>
      <x:c r="C43" s="36" t="str">
        <x:v>亚洲</x:v>
      </x:c>
      <x:c r="D43" s="36" t="str">
        <x:v>China</x:v>
      </x:c>
      <x:c r="E43" s="21" t="str">
        <x:v>Zhengzhou</x:v>
      </x:c>
      <x:c r="F43" s="21" t="str">
        <x:v>Yuansheng International fire</x:v>
      </x:c>
      <x:c r="G43" s="39" t="n">
        <x:v>43132</x:v>
      </x:c>
      <x:c r="H43" s="21" t="str">
        <x:v>Yuansheng International高层建筑外立面火灾。死亡 0，受伤 0；表中记录的受影响楼层为 20。</x:v>
      </x:c>
      <x:c r="I43" s="21" t="str">
        <x:v>未检索到/待核实</x:v>
      </x:c>
      <x:c r="J43" s="21" t="str">
        <x:v>死亡 0，受伤 0；表中记录的受影响楼层为 20。</x:v>
      </x:c>
      <x:c r="K43" s="21" t="str">
        <x:v>http://www.ecns.cn/news/society/2018-02-02/detail-ifysszkh2352510.shtml</x:v>
      </x:c>
      <x:c r="L43" s="27" t="n">
        <x:v>34.75778</x:v>
      </x:c>
      <x:c r="M43" s="27" t="n">
        <x:v>113.64861</x:v>
      </x:c>
      <x:c r="N43" s="21" t="str">
        <x:v>城市代表点（来源明确说明不是火场坐标）</x:v>
      </x:c>
      <x:c r="O43" s="21" t="str">
        <x:v>高层建筑外立面火灾</x:v>
      </x:c>
      <x:c r="P43" s="21" t="str">
        <x:v>未检索到</x:v>
      </x:c>
      <x:c r="Q43" s="21" t="str">
        <x:v>未检索到</x:v>
      </x:c>
      <x:c r="R43" s="21" t="str">
        <x:v>20</x:v>
      </x:c>
      <x:c r="S43" s="21" t="str">
        <x:v>未检索到</x:v>
      </x:c>
      <x:c r="T43" s="42" t="n">
        <x:v>0</x:v>
      </x:c>
      <x:c r="U43" s="42" t="n">
        <x:v>0</x:v>
      </x:c>
      <x:c r="V43" s="42"/>
      <x:c r="W43" s="33" t="str">
        <x:v>C</x:v>
      </x:c>
      <x:c r="X43" s="33" t="str">
        <x:v>compendium_needs_independent_verification</x:v>
      </x:c>
      <x:c r="Y43" s="33" t="str">
        <x:v>专题汇编记录</x:v>
      </x:c>
      <x:c r="Z43" s="21" t="str">
        <x:v>Wikipedia高层专题表；需补充独立来源核验</x:v>
      </x:c>
      <x:c r="AA43" s="21" t="str">
        <x:v>List of high-rise façade fires | Wikipedia high-rise façade list; derived from Bonner et al./news (candidate discovery)</x:v>
      </x:c>
      <x:c r="AB43" s="21" t="str">
        <x:v>Wikipedia专题列表 | 批量来源代理</x:v>
      </x:c>
      <x:c r="AC43" s="21" t="str">
        <x:v>https://en.wikipedia.org/wiki/List_of_high-rise_fa%C3%A7ade_fires</x:v>
      </x:c>
      <x:c r="AD43" s="21" t="n">
        <x:v>2</x:v>
      </x:c>
      <x:c r="AE43" s="21" t="str">
        <x:v>可访问(200)</x:v>
      </x:c>
      <x:c r="AF43" s="21" t="str">
        <x:v>https://en.wikipedia.org/wiki/List_of_high-rise_fa%C3%A7ade_fires =&gt; 可访问(200)</x:v>
      </x:c>
      <x:c r="AG43" s="24" t="n">
        <x:v>46260</x:v>
      </x:c>
      <x:c r="AH43" s="21" t="str"/>
      <x:c r="AI43" s="21" t="n">
        <x:v>1</x:v>
      </x:c>
      <x:c r="AJ43" s="21" t="str">
        <x:v>未评估（本事件表不建立热浪因果关系）</x:v>
      </x:c>
      <x:c r="AK43" s="21" t="str">
        <x:v>缺失/待核实</x:v>
      </x:c>
    </x:row>
    <x:row r="44" ht="42" customHeight="1">
      <x:c r="A44" s="33" t="n">
        <x:v>43</x:v>
      </x:c>
      <x:c r="B44" s="33" t="str">
        <x:v>HRF-0043</x:v>
      </x:c>
      <x:c r="C44" s="36" t="str">
        <x:v>亚洲</x:v>
      </x:c>
      <x:c r="D44" s="36" t="str">
        <x:v>Turkey</x:v>
      </x:c>
      <x:c r="E44" s="21" t="str">
        <x:v>Istanbul</x:v>
      </x:c>
      <x:c r="F44" s="21" t="str">
        <x:v>Taksim Ilk Yardim Hospital fire</x:v>
      </x:c>
      <x:c r="G44" s="39" t="n">
        <x:v>43195</x:v>
      </x:c>
      <x:c r="H44" s="21" t="str">
        <x:v>Taksim Ilk Yardim Hospital高层建筑外立面火灾。死亡 0，受伤 0；表中记录的受影响楼层为 14。</x:v>
      </x:c>
      <x:c r="I44" s="21" t="str">
        <x:v>未检索到/待核实</x:v>
      </x:c>
      <x:c r="J44" s="21" t="str">
        <x:v>死亡 0，受伤 0；表中记录的受影响楼层为 14。</x:v>
      </x:c>
      <x:c r="K44" s="21" t="str">
        <x:v>http://www.middleeasteye.net/news/istanbuls-grenfell-hospital-fire-brings-city-safety-stark-relief</x:v>
      </x:c>
      <x:c r="L44" s="27" t="n">
        <x:v>41.01384</x:v>
      </x:c>
      <x:c r="M44" s="27" t="n">
        <x:v>28.94966</x:v>
      </x:c>
      <x:c r="N44" s="21" t="str">
        <x:v>城市代表点（GeoNames；不是建筑精确坐标）</x:v>
      </x:c>
      <x:c r="O44" s="21" t="str">
        <x:v>高层建筑外立面火灾</x:v>
      </x:c>
      <x:c r="P44" s="21" t="str">
        <x:v>healthcare/care</x:v>
      </x:c>
      <x:c r="Q44" s="21" t="str">
        <x:v>未检索到</x:v>
      </x:c>
      <x:c r="R44" s="21" t="str">
        <x:v>14</x:v>
      </x:c>
      <x:c r="S44" s="21" t="str">
        <x:v>未检索到</x:v>
      </x:c>
      <x:c r="T44" s="42" t="n">
        <x:v>0</x:v>
      </x:c>
      <x:c r="U44" s="42" t="n">
        <x:v>0</x:v>
      </x:c>
      <x:c r="V44" s="42"/>
      <x:c r="W44" s="33" t="str">
        <x:v>C</x:v>
      </x:c>
      <x:c r="X44" s="33" t="str">
        <x:v>compendium_needs_independent_verification</x:v>
      </x:c>
      <x:c r="Y44" s="33" t="str">
        <x:v>专题汇编记录</x:v>
      </x:c>
      <x:c r="Z44" s="21" t="str">
        <x:v>Wikipedia高层专题表；需补充独立来源核验</x:v>
      </x:c>
      <x:c r="AA44" s="21" t="str">
        <x:v>List of high-rise façade fires | Wikipedia high-rise façade list; derived from Bonner et al./news (candidate discovery)</x:v>
      </x:c>
      <x:c r="AB44" s="21" t="str">
        <x:v>Wikipedia专题列表 | 批量来源代理</x:v>
      </x:c>
      <x:c r="AC44" s="21" t="str">
        <x:v>https://en.wikipedia.org/wiki/List_of_high-rise_fa%C3%A7ade_fires</x:v>
      </x:c>
      <x:c r="AD44" s="21" t="n">
        <x:v>2</x:v>
      </x:c>
      <x:c r="AE44" s="21" t="str">
        <x:v>可访问(200)</x:v>
      </x:c>
      <x:c r="AF44" s="21" t="str">
        <x:v>https://en.wikipedia.org/wiki/List_of_high-rise_fa%C3%A7ade_fires =&gt; 可访问(200)</x:v>
      </x:c>
      <x:c r="AG44" s="24" t="n">
        <x:v>46260</x:v>
      </x:c>
      <x:c r="AH44" s="21" t="str"/>
      <x:c r="AI44" s="21" t="n">
        <x:v>1</x:v>
      </x:c>
      <x:c r="AJ44" s="21" t="str">
        <x:v>未评估（本事件表不建立热浪因果关系）</x:v>
      </x:c>
      <x:c r="AK44" s="21" t="str">
        <x:v>缺失/待核实</x:v>
      </x:c>
    </x:row>
    <x:row r="45" ht="42" customHeight="1">
      <x:c r="A45" s="33" t="n">
        <x:v>44</x:v>
      </x:c>
      <x:c r="B45" s="33" t="str">
        <x:v>HRF-0044</x:v>
      </x:c>
      <x:c r="C45" s="36" t="str">
        <x:v>亚洲</x:v>
      </x:c>
      <x:c r="D45" s="36" t="str">
        <x:v>Azerbaijan</x:v>
      </x:c>
      <x:c r="E45" s="21" t="str">
        <x:v>Baku</x:v>
      </x:c>
      <x:c r="F45" s="21" t="str">
        <x:v>Trump International Hotel and Tower (Baku) fire</x:v>
      </x:c>
      <x:c r="G45" s="39" t="n">
        <x:v>43220</x:v>
      </x:c>
      <x:c r="H45" s="21" t="str">
        <x:v>Trump International Hotel and Tower (Baku)高层建筑火灾；建筑高度记录为 108.9 m。死亡人数：0。Involved two separate fires the same day</x:v>
      </x:c>
      <x:c r="I45" s="21" t="str">
        <x:v>未检索到/待核实</x:v>
      </x:c>
      <x:c r="J45" s="21" t="str">
        <x:v>死亡人数：0。Involved two separate fires the same day</x:v>
      </x:c>
      <x:c r="K45" s="21" t="str">
        <x:v>https://en.wikipedia.org/wiki/List_of_fires_in_high-rise_buildings</x:v>
      </x:c>
      <x:c r="L45" s="27" t="n">
        <x:v>40.37767</x:v>
      </x:c>
      <x:c r="M45" s="27" t="n">
        <x:v>49.89201</x:v>
      </x:c>
      <x:c r="N45" s="21" t="str">
        <x:v>城市代表点（来源明确说明不是火场坐标）</x:v>
      </x:c>
      <x:c r="O45" s="21" t="str">
        <x:v>高层建筑火灾</x:v>
      </x:c>
      <x:c r="P45" s="21" t="str">
        <x:v>hotel</x:v>
      </x:c>
      <x:c r="Q45" s="21" t="str">
        <x:v>108.9 m</x:v>
      </x:c>
      <x:c r="R45" s="21" t="str">
        <x:v>未检索到</x:v>
      </x:c>
      <x:c r="S45" s="21" t="str">
        <x:v>未检索到</x:v>
      </x:c>
      <x:c r="T45" s="42" t="n">
        <x:v>0</x:v>
      </x:c>
      <x:c r="U45" s="42"/>
      <x:c r="V45" s="42"/>
      <x:c r="W45" s="33" t="str">
        <x:v>C</x:v>
      </x:c>
      <x:c r="X45" s="33" t="str">
        <x:v>compendium_needs_independent_verification</x:v>
      </x:c>
      <x:c r="Y45" s="33" t="str">
        <x:v>专题汇编记录</x:v>
      </x:c>
      <x:c r="Z45" s="21" t="str">
        <x:v>Wikipedia高层建筑专题表；需补充独立来源核验</x:v>
      </x:c>
      <x:c r="AA45" s="21" t="str">
        <x:v>List of fires in high-rise buildings | Wikipedia dynamic high-rise list (candidate discovery)</x:v>
      </x:c>
      <x:c r="AB45" s="21" t="str">
        <x:v>Wikipedia专题列表 | 批量来源代理</x:v>
      </x:c>
      <x:c r="AC45" s="21" t="str"/>
      <x:c r="AD45" s="21" t="n">
        <x:v>1</x:v>
      </x:c>
      <x:c r="AE45" s="21" t="str">
        <x:v>可访问(200)</x:v>
      </x:c>
      <x:c r="AF45" s="21" t="str"/>
      <x:c r="AG45" s="24" t="n">
        <x:v>46260</x:v>
      </x:c>
      <x:c r="AH45" s="21" t="str"/>
      <x:c r="AI45" s="21" t="n">
        <x:v>1</x:v>
      </x:c>
      <x:c r="AJ45" s="21" t="str">
        <x:v>未评估（本事件表不建立热浪因果关系）</x:v>
      </x:c>
      <x:c r="AK45" s="21" t="str">
        <x:v>缺失/待核实</x:v>
      </x:c>
    </x:row>
    <x:row r="46" ht="42" customHeight="1">
      <x:c r="A46" s="33" t="n">
        <x:v>45</x:v>
      </x:c>
      <x:c r="B46" s="33" t="str">
        <x:v>HRF-0045</x:v>
      </x:c>
      <x:c r="C46" s="36" t="str">
        <x:v>亚洲</x:v>
      </x:c>
      <x:c r="D46" s="36" t="str">
        <x:v>United Arab Emirates</x:v>
      </x:c>
      <x:c r="E46" s="21" t="str">
        <x:v>Dubai</x:v>
      </x:c>
      <x:c r="F46" s="21" t="str">
        <x:v>Almas Tower fire</x:v>
      </x:c>
      <x:c r="G46" s="39" t="n">
        <x:v>43220</x:v>
      </x:c>
      <x:c r="H46" s="21" t="str">
        <x:v>Almas Tower高层建筑火灾；建筑高度记录为 360 m。死亡人数：0。</x:v>
      </x:c>
      <x:c r="I46" s="21" t="str">
        <x:v>未检索到/待核实</x:v>
      </x:c>
      <x:c r="J46" s="21" t="str">
        <x:v>死亡人数：0。</x:v>
      </x:c>
      <x:c r="K46" s="21" t="str">
        <x:v>https://en.wikipedia.org/wiki/List_of_fires_in_high-rise_buildings</x:v>
      </x:c>
      <x:c r="L46" s="27" t="n">
        <x:v>25.07725</x:v>
      </x:c>
      <x:c r="M46" s="27" t="n">
        <x:v>55.30927</x:v>
      </x:c>
      <x:c r="N46" s="21" t="str">
        <x:v>城市代表点（来源明确说明不是火场坐标）</x:v>
      </x:c>
      <x:c r="O46" s="21" t="str">
        <x:v>高层建筑火灾</x:v>
      </x:c>
      <x:c r="P46" s="21" t="str">
        <x:v>未检索到</x:v>
      </x:c>
      <x:c r="Q46" s="21" t="str">
        <x:v>360 m</x:v>
      </x:c>
      <x:c r="R46" s="21" t="str">
        <x:v>未检索到</x:v>
      </x:c>
      <x:c r="S46" s="21" t="str">
        <x:v>未检索到</x:v>
      </x:c>
      <x:c r="T46" s="42" t="n">
        <x:v>0</x:v>
      </x:c>
      <x:c r="U46" s="42"/>
      <x:c r="V46" s="42"/>
      <x:c r="W46" s="33" t="str">
        <x:v>C</x:v>
      </x:c>
      <x:c r="X46" s="33" t="str">
        <x:v>compendium_needs_independent_verification</x:v>
      </x:c>
      <x:c r="Y46" s="33" t="str">
        <x:v>专题汇编记录</x:v>
      </x:c>
      <x:c r="Z46" s="21" t="str">
        <x:v>Wikipedia高层建筑专题表；需补充独立来源核验</x:v>
      </x:c>
      <x:c r="AA46" s="21" t="str">
        <x:v>List of fires in high-rise buildings | Wikipedia dynamic high-rise list (candidate discovery)</x:v>
      </x:c>
      <x:c r="AB46" s="21" t="str">
        <x:v>Wikipedia专题列表 | 批量来源代理</x:v>
      </x:c>
      <x:c r="AC46" s="21" t="str"/>
      <x:c r="AD46" s="21" t="n">
        <x:v>1</x:v>
      </x:c>
      <x:c r="AE46" s="21" t="str">
        <x:v>可访问(200)</x:v>
      </x:c>
      <x:c r="AF46" s="21" t="str"/>
      <x:c r="AG46" s="24" t="n">
        <x:v>46260</x:v>
      </x:c>
      <x:c r="AH46" s="21" t="str"/>
      <x:c r="AI46" s="21" t="n">
        <x:v>1</x:v>
      </x:c>
      <x:c r="AJ46" s="21" t="str">
        <x:v>未评估（本事件表不建立热浪因果关系）</x:v>
      </x:c>
      <x:c r="AK46" s="21" t="str">
        <x:v>缺失/待核实</x:v>
      </x:c>
    </x:row>
    <x:row r="47" ht="42" customHeight="1">
      <x:c r="A47" s="33" t="n">
        <x:v>46</x:v>
      </x:c>
      <x:c r="B47" s="33" t="str">
        <x:v>HRF-0046</x:v>
      </x:c>
      <x:c r="C47" s="36" t="str">
        <x:v>亚洲</x:v>
      </x:c>
      <x:c r="D47" s="36" t="str">
        <x:v>United Arab Emirates</x:v>
      </x:c>
      <x:c r="E47" s="21" t="str">
        <x:v>Dubai</x:v>
      </x:c>
      <x:c r="F47" s="21" t="str">
        <x:v>Zen Tower fire</x:v>
      </x:c>
      <x:c r="G47" s="39" t="n">
        <x:v>43235</x:v>
      </x:c>
      <x:c r="H47" s="21" t="str">
        <x:v>Zen Tower高层建筑外立面火灾。死亡 0，受伤 0；表中记录的受影响楼层为 15。</x:v>
      </x:c>
      <x:c r="I47" s="21" t="str">
        <x:v>未检索到/待核实</x:v>
      </x:c>
      <x:c r="J47" s="21" t="str">
        <x:v>死亡 0，受伤 0；表中记录的受影响楼层为 15。</x:v>
      </x:c>
      <x:c r="K47" s="21" t="str">
        <x:v>https://www.khaleejtimes.com/nation/dubai/15-floors-gutted-in-Dubai-Marina-fire-</x:v>
      </x:c>
      <x:c r="L47" s="27" t="n">
        <x:v>25.07725</x:v>
      </x:c>
      <x:c r="M47" s="27" t="n">
        <x:v>55.30927</x:v>
      </x:c>
      <x:c r="N47" s="21" t="str">
        <x:v>城市代表点（来源明确说明不是火场坐标）</x:v>
      </x:c>
      <x:c r="O47" s="21" t="str">
        <x:v>高层建筑外立面火灾</x:v>
      </x:c>
      <x:c r="P47" s="21" t="str">
        <x:v>未检索到</x:v>
      </x:c>
      <x:c r="Q47" s="21" t="str">
        <x:v>未检索到</x:v>
      </x:c>
      <x:c r="R47" s="21" t="str">
        <x:v>15</x:v>
      </x:c>
      <x:c r="S47" s="21" t="str">
        <x:v>未检索到</x:v>
      </x:c>
      <x:c r="T47" s="42" t="n">
        <x:v>0</x:v>
      </x:c>
      <x:c r="U47" s="42" t="n">
        <x:v>0</x:v>
      </x:c>
      <x:c r="V47" s="42"/>
      <x:c r="W47" s="33" t="str">
        <x:v>C</x:v>
      </x:c>
      <x:c r="X47" s="33" t="str">
        <x:v>compendium_needs_independent_verification</x:v>
      </x:c>
      <x:c r="Y47" s="33" t="str">
        <x:v>专题汇编记录</x:v>
      </x:c>
      <x:c r="Z47" s="21" t="str">
        <x:v>Wikipedia高层专题表；需补充独立来源核验</x:v>
      </x:c>
      <x:c r="AA47" s="21" t="str">
        <x:v>List of high-rise façade fires | Wikipedia high-rise façade list; derived from Bonner et al./news (candidate discovery)</x:v>
      </x:c>
      <x:c r="AB47" s="21" t="str">
        <x:v>Wikipedia专题列表 | 批量来源代理</x:v>
      </x:c>
      <x:c r="AC47" s="21" t="str">
        <x:v>https://en.wikipedia.org/wiki/List_of_high-rise_fa%C3%A7ade_fires</x:v>
      </x:c>
      <x:c r="AD47" s="21" t="n">
        <x:v>2</x:v>
      </x:c>
      <x:c r="AE47" s="21" t="str">
        <x:v>HTTP错误(404)</x:v>
      </x:c>
      <x:c r="AF47" s="21" t="str">
        <x:v>https://en.wikipedia.org/wiki/List_of_high-rise_fa%C3%A7ade_fires =&gt; 可访问(200)</x:v>
      </x:c>
      <x:c r="AG47" s="24" t="n">
        <x:v>46260</x:v>
      </x:c>
      <x:c r="AH47" s="21" t="str"/>
      <x:c r="AI47" s="21" t="n">
        <x:v>1</x:v>
      </x:c>
      <x:c r="AJ47" s="21" t="str">
        <x:v>未评估（本事件表不建立热浪因果关系）</x:v>
      </x:c>
      <x:c r="AK47" s="21" t="str">
        <x:v>缺失/待核实</x:v>
      </x:c>
    </x:row>
    <x:row r="48" ht="42" customHeight="1">
      <x:c r="A48" s="33" t="n">
        <x:v>47</x:v>
      </x:c>
      <x:c r="B48" s="33" t="str">
        <x:v>HRF-0047</x:v>
      </x:c>
      <x:c r="C48" s="36" t="str">
        <x:v>亚洲</x:v>
      </x:c>
      <x:c r="D48" s="36" t="str">
        <x:v>Iran</x:v>
      </x:c>
      <x:c r="E48" s="21" t="str">
        <x:v>Tehran</x:v>
      </x:c>
      <x:c r="F48" s="21" t="str">
        <x:v>Paramis Building fire</x:v>
      </x:c>
      <x:c r="G48" s="39" t="n">
        <x:v>43303</x:v>
      </x:c>
      <x:c r="H48" s="21" t="str">
        <x:v>Paramis Building高层建筑火灾；建筑高度记录为 69.3 m。死亡人数：0。21-storey residential building</x:v>
      </x:c>
      <x:c r="I48" s="21" t="str">
        <x:v>未检索到/待核实</x:v>
      </x:c>
      <x:c r="J48" s="21" t="str">
        <x:v>死亡人数：0。21-storey residential building</x:v>
      </x:c>
      <x:c r="K48" s="21" t="str">
        <x:v>https://en.wikipedia.org/wiki/List_of_fires_in_high-rise_buildings</x:v>
      </x:c>
      <x:c r="L48" s="27" t="n">
        <x:v>35.69439</x:v>
      </x:c>
      <x:c r="M48" s="27" t="n">
        <x:v>51.42151</x:v>
      </x:c>
      <x:c r="N48" s="21" t="str">
        <x:v>城市代表点（来源明确说明不是火场坐标）</x:v>
      </x:c>
      <x:c r="O48" s="21" t="str">
        <x:v>高层建筑火灾</x:v>
      </x:c>
      <x:c r="P48" s="21" t="str">
        <x:v>residential</x:v>
      </x:c>
      <x:c r="Q48" s="21" t="str">
        <x:v>69.3 m</x:v>
      </x:c>
      <x:c r="R48" s="21" t="str">
        <x:v>未检索到</x:v>
      </x:c>
      <x:c r="S48" s="21" t="str">
        <x:v>未检索到</x:v>
      </x:c>
      <x:c r="T48" s="42" t="n">
        <x:v>0</x:v>
      </x:c>
      <x:c r="U48" s="42"/>
      <x:c r="V48" s="42"/>
      <x:c r="W48" s="33" t="str">
        <x:v>C</x:v>
      </x:c>
      <x:c r="X48" s="33" t="str">
        <x:v>compendium_needs_independent_verification</x:v>
      </x:c>
      <x:c r="Y48" s="33" t="str">
        <x:v>专题汇编记录</x:v>
      </x:c>
      <x:c r="Z48" s="21" t="str">
        <x:v>Wikipedia高层建筑专题表；需补充独立来源核验</x:v>
      </x:c>
      <x:c r="AA48" s="21" t="str">
        <x:v>List of fires in high-rise buildings | Wikipedia dynamic high-rise list (candidate discovery)</x:v>
      </x:c>
      <x:c r="AB48" s="21" t="str">
        <x:v>Wikipedia专题列表 | 批量来源代理</x:v>
      </x:c>
      <x:c r="AC48" s="21" t="str"/>
      <x:c r="AD48" s="21" t="n">
        <x:v>1</x:v>
      </x:c>
      <x:c r="AE48" s="21" t="str">
        <x:v>可访问(200)</x:v>
      </x:c>
      <x:c r="AF48" s="21" t="str"/>
      <x:c r="AG48" s="24" t="n">
        <x:v>46260</x:v>
      </x:c>
      <x:c r="AH48" s="21" t="str"/>
      <x:c r="AI48" s="21" t="n">
        <x:v>1</x:v>
      </x:c>
      <x:c r="AJ48" s="21" t="str">
        <x:v>未评估（本事件表不建立热浪因果关系）</x:v>
      </x:c>
      <x:c r="AK48" s="21" t="str">
        <x:v>缺失/待核实</x:v>
      </x:c>
    </x:row>
    <x:row r="49" ht="42" customHeight="1">
      <x:c r="A49" s="33" t="n">
        <x:v>48</x:v>
      </x:c>
      <x:c r="B49" s="33" t="str">
        <x:v>HRF-0048</x:v>
      </x:c>
      <x:c r="C49" s="36" t="str">
        <x:v>亚洲</x:v>
      </x:c>
      <x:c r="D49" s="36" t="str">
        <x:v>China</x:v>
      </x:c>
      <x:c r="E49" s="21" t="str">
        <x:v>Kaifeng</x:v>
      </x:c>
      <x:c r="F49" s="21" t="str">
        <x:v>Kaifeng Apartments[citation needed] fire</x:v>
      </x:c>
      <x:c r="G49" s="39" t="n">
        <x:v>43538</x:v>
      </x:c>
      <x:c r="H49" s="21" t="str">
        <x:v>Kaifeng Apartments[citation needed]高层建筑外立面火灾。死亡 0，受伤 0；表中记录的受影响楼层为 17。</x:v>
      </x:c>
      <x:c r="I49" s="21" t="str">
        <x:v>未检索到/待核实</x:v>
      </x:c>
      <x:c r="J49" s="21" t="str">
        <x:v>死亡 0，受伤 0；表中记录的受影响楼层为 17。</x:v>
      </x:c>
      <x:c r="K49" s="21" t="str">
        <x:v>https://en.wikipedia.org/wiki/List_of_high-rise_fa%C3%A7ade_fires</x:v>
      </x:c>
      <x:c r="L49" s="27" t="n">
        <x:v>34.7986</x:v>
      </x:c>
      <x:c r="M49" s="27" t="n">
        <x:v>114.30742</x:v>
      </x:c>
      <x:c r="N49" s="21" t="str">
        <x:v>城市代表点（来源明确说明不是火场坐标）</x:v>
      </x:c>
      <x:c r="O49" s="21" t="str">
        <x:v>高层建筑外立面火灾</x:v>
      </x:c>
      <x:c r="P49" s="21" t="str">
        <x:v>residential</x:v>
      </x:c>
      <x:c r="Q49" s="21" t="str">
        <x:v>未检索到</x:v>
      </x:c>
      <x:c r="R49" s="21" t="str">
        <x:v>17</x:v>
      </x:c>
      <x:c r="S49" s="21" t="str">
        <x:v>未检索到</x:v>
      </x:c>
      <x:c r="T49" s="42" t="n">
        <x:v>0</x:v>
      </x:c>
      <x:c r="U49" s="42" t="n">
        <x:v>0</x:v>
      </x:c>
      <x:c r="V49" s="42"/>
      <x:c r="W49" s="33" t="str">
        <x:v>C</x:v>
      </x:c>
      <x:c r="X49" s="33" t="str">
        <x:v>compendium_needs_independent_verification</x:v>
      </x:c>
      <x:c r="Y49" s="33" t="str">
        <x:v>专题汇编记录</x:v>
      </x:c>
      <x:c r="Z49" s="21" t="str">
        <x:v>Wikipedia高层专题表；需补充独立来源核验</x:v>
      </x:c>
      <x:c r="AA49" s="21" t="str">
        <x:v>List of high-rise façade fires | Wikipedia high-rise façade list; derived from Bonner et al./news (candidate discovery)</x:v>
      </x:c>
      <x:c r="AB49" s="21" t="str">
        <x:v>Wikipedia专题列表 | 批量来源代理</x:v>
      </x:c>
      <x:c r="AC49" s="21" t="str"/>
      <x:c r="AD49" s="21" t="n">
        <x:v>1</x:v>
      </x:c>
      <x:c r="AE49" s="21" t="str">
        <x:v>可访问(200)</x:v>
      </x:c>
      <x:c r="AF49" s="21" t="str"/>
      <x:c r="AG49" s="24" t="n">
        <x:v>46260</x:v>
      </x:c>
      <x:c r="AH49" s="21" t="str"/>
      <x:c r="AI49" s="21" t="n">
        <x:v>1</x:v>
      </x:c>
      <x:c r="AJ49" s="21" t="str">
        <x:v>未评估（本事件表不建立热浪因果关系）</x:v>
      </x:c>
      <x:c r="AK49" s="21" t="str">
        <x:v>缺失/待核实</x:v>
      </x:c>
    </x:row>
    <x:row r="50" ht="42" customHeight="1">
      <x:c r="A50" s="33" t="n">
        <x:v>49</x:v>
      </x:c>
      <x:c r="B50" s="33" t="str">
        <x:v>HRF-0049</x:v>
      </x:c>
      <x:c r="C50" s="36" t="str">
        <x:v>亚洲</x:v>
      </x:c>
      <x:c r="D50" s="36" t="str">
        <x:v>Bangladesh</x:v>
      </x:c>
      <x:c r="E50" s="21" t="str">
        <x:v>Dhaka</x:v>
      </x:c>
      <x:c r="F50" s="21" t="str">
        <x:v>FR Tower fire</x:v>
      </x:c>
      <x:c r="G50" s="39" t="n">
        <x:v>43552</x:v>
      </x:c>
      <x:c r="H50" s="21" t="str">
        <x:v>FR Tower高层建筑火灾；建筑高度记录为 未列明。死亡人数：25。FR Tower fire</x:v>
      </x:c>
      <x:c r="I50" s="21" t="str">
        <x:v>未检索到/待核实</x:v>
      </x:c>
      <x:c r="J50" s="21" t="str">
        <x:v>死亡人数：25。FR Tower fire</x:v>
      </x:c>
      <x:c r="K50" s="21" t="str">
        <x:v>https://en.wikipedia.org/wiki/FR_Tower_fire</x:v>
      </x:c>
      <x:c r="L50" s="27" t="n">
        <x:v>23.7104</x:v>
      </x:c>
      <x:c r="M50" s="27" t="n">
        <x:v>90.40744</x:v>
      </x:c>
      <x:c r="N50" s="21" t="str">
        <x:v>城市代表点（来源明确说明不是火场坐标）</x:v>
      </x:c>
      <x:c r="O50" s="21" t="str">
        <x:v>高层建筑火灾</x:v>
      </x:c>
      <x:c r="P50" s="21" t="str">
        <x:v>未检索到</x:v>
      </x:c>
      <x:c r="Q50" s="21" t="str">
        <x:v>未检索到</x:v>
      </x:c>
      <x:c r="R50" s="21" t="str">
        <x:v>未检索到</x:v>
      </x:c>
      <x:c r="S50" s="21" t="str">
        <x:v>未检索到</x:v>
      </x:c>
      <x:c r="T50" s="42" t="n">
        <x:v>25</x:v>
      </x:c>
      <x:c r="U50" s="42"/>
      <x:c r="V50" s="42"/>
      <x:c r="W50" s="33" t="str">
        <x:v>B</x:v>
      </x:c>
      <x:c r="X50" s="33" t="str">
        <x:v>compendium_needs_independent_verification</x:v>
      </x:c>
      <x:c r="Y50" s="33" t="str">
        <x:v>专题汇编记录</x:v>
      </x:c>
      <x:c r="Z50" s="21" t="str">
        <x:v>Wikipedia具名事件页+高层建筑专题表</x:v>
      </x:c>
      <x:c r="AA50" s="21" t="str">
        <x:v>List of fires in high-rise buildings | Wikipedia dynamic high-rise list (candidate discovery)</x:v>
      </x:c>
      <x:c r="AB50" s="21" t="str">
        <x:v>Wikipedia专题列表 | 批量来源代理</x:v>
      </x:c>
      <x:c r="AC50" s="21" t="str">
        <x:v>https://en.wikipedia.org/wiki/List_of_fires_in_high-rise_buildings</x:v>
      </x:c>
      <x:c r="AD50" s="21" t="n">
        <x:v>2</x:v>
      </x:c>
      <x:c r="AE50" s="21" t="str">
        <x:v>可访问(200)</x:v>
      </x:c>
      <x:c r="AF50" s="21" t="str">
        <x:v>https://en.wikipedia.org/wiki/List_of_fires_in_high-rise_buildings =&gt; 可访问(200)</x:v>
      </x:c>
      <x:c r="AG50" s="24" t="n">
        <x:v>46260</x:v>
      </x:c>
      <x:c r="AH50" s="21" t="str"/>
      <x:c r="AI50" s="21" t="n">
        <x:v>1</x:v>
      </x:c>
      <x:c r="AJ50" s="21" t="str">
        <x:v>未评估（本事件表不建立热浪因果关系）</x:v>
      </x:c>
      <x:c r="AK50" s="21" t="str">
        <x:v>缺失/待核实</x:v>
      </x:c>
    </x:row>
    <x:row r="51" ht="42" customHeight="1">
      <x:c r="A51" s="33" t="n">
        <x:v>50</x:v>
      </x:c>
      <x:c r="B51" s="33" t="str">
        <x:v>HRF-0050</x:v>
      </x:c>
      <x:c r="C51" s="36" t="str">
        <x:v>亚洲</x:v>
      </x:c>
      <x:c r="D51" s="36" t="str">
        <x:v>China</x:v>
      </x:c>
      <x:c r="E51" s="21" t="str">
        <x:v>Nanjing</x:v>
      </x:c>
      <x:c r="F51" s="21" t="str">
        <x:v>Golden Eagle Shopping Mall fire</x:v>
      </x:c>
      <x:c r="G51" s="39" t="n">
        <x:v>43612</x:v>
      </x:c>
      <x:c r="H51" s="21" t="str">
        <x:v>Golden Eagle Shopping Mall高层建筑外立面火灾。死亡 0，受伤 0；表中记录的受影响楼层为 1。</x:v>
      </x:c>
      <x:c r="I51" s="21" t="str">
        <x:v>未检索到/待核实</x:v>
      </x:c>
      <x:c r="J51" s="21" t="str">
        <x:v>死亡 0，受伤 0；表中记录的受影响楼层为 1。</x:v>
      </x:c>
      <x:c r="K51" s="21" t="str">
        <x:v>https://www.chinadaily.com.cn/a/201905/25/WS5ce816f5a3104842260bdb05.html</x:v>
      </x:c>
      <x:c r="L51" s="27" t="n">
        <x:v>32.06167</x:v>
      </x:c>
      <x:c r="M51" s="27" t="n">
        <x:v>118.77778</x:v>
      </x:c>
      <x:c r="N51" s="21" t="str">
        <x:v>城市代表点（来源明确说明不是火场坐标）</x:v>
      </x:c>
      <x:c r="O51" s="21" t="str">
        <x:v>高层建筑外立面火灾</x:v>
      </x:c>
      <x:c r="P51" s="21" t="str">
        <x:v>commercial/retail</x:v>
      </x:c>
      <x:c r="Q51" s="21" t="str">
        <x:v>未检索到</x:v>
      </x:c>
      <x:c r="R51" s="21" t="str">
        <x:v>1</x:v>
      </x:c>
      <x:c r="S51" s="21" t="str">
        <x:v>未检索到</x:v>
      </x:c>
      <x:c r="T51" s="42" t="n">
        <x:v>0</x:v>
      </x:c>
      <x:c r="U51" s="42" t="n">
        <x:v>0</x:v>
      </x:c>
      <x:c r="V51" s="42"/>
      <x:c r="W51" s="33" t="str">
        <x:v>C</x:v>
      </x:c>
      <x:c r="X51" s="33" t="str">
        <x:v>compendium_needs_independent_verification</x:v>
      </x:c>
      <x:c r="Y51" s="33" t="str">
        <x:v>专题汇编记录</x:v>
      </x:c>
      <x:c r="Z51" s="21" t="str">
        <x:v>Wikipedia高层专题表；需补充独立来源核验</x:v>
      </x:c>
      <x:c r="AA51" s="21" t="str">
        <x:v>List of high-rise façade fires | Wikipedia high-rise façade list; derived from Bonner et al./news (candidate discovery)</x:v>
      </x:c>
      <x:c r="AB51" s="21" t="str">
        <x:v>Wikipedia专题列表 | 批量来源代理</x:v>
      </x:c>
      <x:c r="AC51" s="21" t="str">
        <x:v>https://en.wikipedia.org/wiki/List_of_high-rise_fa%C3%A7ade_fires</x:v>
      </x:c>
      <x:c r="AD51" s="21" t="n">
        <x:v>2</x:v>
      </x:c>
      <x:c r="AE51" s="21" t="str">
        <x:v>可访问(200)</x:v>
      </x:c>
      <x:c r="AF51" s="21" t="str">
        <x:v>https://en.wikipedia.org/wiki/List_of_high-rise_fa%C3%A7ade_fires =&gt; 可访问(200)</x:v>
      </x:c>
      <x:c r="AG51" s="24" t="n">
        <x:v>46260</x:v>
      </x:c>
      <x:c r="AH51" s="21" t="str"/>
      <x:c r="AI51" s="21" t="n">
        <x:v>1</x:v>
      </x:c>
      <x:c r="AJ51" s="21" t="str">
        <x:v>未评估（本事件表不建立热浪因果关系）</x:v>
      </x:c>
      <x:c r="AK51" s="21" t="str">
        <x:v>缺失/待核实</x:v>
      </x:c>
    </x:row>
    <x:row r="52" ht="42" customHeight="1">
      <x:c r="A52" s="33" t="n">
        <x:v>51</x:v>
      </x:c>
      <x:c r="B52" s="33" t="str">
        <x:v>HRF-0051</x:v>
      </x:c>
      <x:c r="C52" s="36" t="str">
        <x:v>亚洲</x:v>
      </x:c>
      <x:c r="D52" s="36" t="str">
        <x:v>China</x:v>
      </x:c>
      <x:c r="E52" s="21" t="str">
        <x:v>Luoyang</x:v>
      </x:c>
      <x:c r="F52" s="21" t="str">
        <x:v>Commercial Building fire</x:v>
      </x:c>
      <x:c r="G52" s="39" t="n">
        <x:v>43614</x:v>
      </x:c>
      <x:c r="H52" s="21" t="str">
        <x:v>Commercial Building高层建筑外立面火灾。死亡 0，受伤 0；表中记录的受影响楼层为 1。</x:v>
      </x:c>
      <x:c r="I52" s="21" t="str">
        <x:v>未检索到/待核实</x:v>
      </x:c>
      <x:c r="J52" s="21" t="str">
        <x:v>死亡 0，受伤 0；表中记录的受影响楼层为 1。</x:v>
      </x:c>
      <x:c r="K52" s="21" t="str">
        <x:v>https://news.sina.com.cn/o/2019-05-29/doc-ihvhiqay2320153.shtml</x:v>
      </x:c>
      <x:c r="L52" s="27" t="n">
        <x:v>34.67345</x:v>
      </x:c>
      <x:c r="M52" s="27" t="n">
        <x:v>112.43684</x:v>
      </x:c>
      <x:c r="N52" s="21" t="str">
        <x:v>城市代表点（来源明确说明不是火场坐标）</x:v>
      </x:c>
      <x:c r="O52" s="21" t="str">
        <x:v>高层建筑外立面火灾</x:v>
      </x:c>
      <x:c r="P52" s="21" t="str">
        <x:v>未检索到</x:v>
      </x:c>
      <x:c r="Q52" s="21" t="str">
        <x:v>未检索到</x:v>
      </x:c>
      <x:c r="R52" s="21" t="str">
        <x:v>1</x:v>
      </x:c>
      <x:c r="S52" s="21" t="str">
        <x:v>未检索到</x:v>
      </x:c>
      <x:c r="T52" s="42" t="n">
        <x:v>0</x:v>
      </x:c>
      <x:c r="U52" s="42" t="n">
        <x:v>0</x:v>
      </x:c>
      <x:c r="V52" s="42"/>
      <x:c r="W52" s="33" t="str">
        <x:v>C</x:v>
      </x:c>
      <x:c r="X52" s="33" t="str">
        <x:v>compendium_needs_independent_verification</x:v>
      </x:c>
      <x:c r="Y52" s="33" t="str">
        <x:v>专题汇编记录</x:v>
      </x:c>
      <x:c r="Z52" s="21" t="str">
        <x:v>Wikipedia高层专题表；需补充独立来源核验</x:v>
      </x:c>
      <x:c r="AA52" s="21" t="str">
        <x:v>List of high-rise façade fires | Wikipedia high-rise façade list; derived from Bonner et al./news (candidate discovery)</x:v>
      </x:c>
      <x:c r="AB52" s="21" t="str">
        <x:v>Wikipedia专题列表 | 批量来源代理</x:v>
      </x:c>
      <x:c r="AC52" s="21" t="str">
        <x:v>https://en.wikipedia.org/wiki/List_of_high-rise_fa%C3%A7ade_fires</x:v>
      </x:c>
      <x:c r="AD52" s="21" t="n">
        <x:v>2</x:v>
      </x:c>
      <x:c r="AE52" s="21" t="str">
        <x:v>可访问(200)</x:v>
      </x:c>
      <x:c r="AF52" s="21" t="str">
        <x:v>https://en.wikipedia.org/wiki/List_of_high-rise_fa%C3%A7ade_fires =&gt; 可访问(200)</x:v>
      </x:c>
      <x:c r="AG52" s="24" t="n">
        <x:v>46260</x:v>
      </x:c>
      <x:c r="AH52" s="21" t="str"/>
      <x:c r="AI52" s="21" t="n">
        <x:v>1</x:v>
      </x:c>
      <x:c r="AJ52" s="21" t="str">
        <x:v>未评估（本事件表不建立热浪因果关系）</x:v>
      </x:c>
      <x:c r="AK52" s="21" t="str">
        <x:v>缺失/待核实</x:v>
      </x:c>
    </x:row>
    <x:row r="53" ht="42" customHeight="1">
      <x:c r="A53" s="33" t="n">
        <x:v>52</x:v>
      </x:c>
      <x:c r="B53" s="33" t="str">
        <x:v>HRF-0052</x:v>
      </x:c>
      <x:c r="C53" s="36" t="str">
        <x:v>亚洲</x:v>
      </x:c>
      <x:c r="D53" s="36" t="str">
        <x:v>United Arab Emirates</x:v>
      </x:c>
      <x:c r="E53" s="21" t="str">
        <x:v>Sharjah</x:v>
      </x:c>
      <x:c r="F53" s="21" t="str">
        <x:v>Abbco Tower fire</x:v>
      </x:c>
      <x:c r="G53" s="39" t="n">
        <x:v>43956</x:v>
      </x:c>
      <x:c r="H53" s="21" t="str">
        <x:v>Abbco Tower高层建筑火灾；建筑高度记录为 190 m。死亡人数：1。25 injuries, likely started by a discarded cigarette or shisha coals</x:v>
      </x:c>
      <x:c r="I53" s="21" t="str">
        <x:v>25 injuries, likely started by a discarded cigarette or shisha coals</x:v>
      </x:c>
      <x:c r="J53" s="21" t="str">
        <x:v>死亡人数：1。25 injuries, likely started by a discarded cigarette or shisha coals</x:v>
      </x:c>
      <x:c r="K53" s="21" t="str">
        <x:v>https://gulfnews.com/uae/sharjah-fire-probable-cause-found-150-buildings-to-have-cladding-changed-1.71423621</x:v>
      </x:c>
      <x:c r="L53" s="27" t="n">
        <x:v>25.3342</x:v>
      </x:c>
      <x:c r="M53" s="27" t="n">
        <x:v>55.41221</x:v>
      </x:c>
      <x:c r="N53" s="21" t="str">
        <x:v>城市代表点（来源明确说明不是火场坐标）</x:v>
      </x:c>
      <x:c r="O53" s="21" t="str">
        <x:v>高层建筑火灾</x:v>
      </x:c>
      <x:c r="P53" s="21" t="str">
        <x:v>未检索到</x:v>
      </x:c>
      <x:c r="Q53" s="21" t="str">
        <x:v>190 m</x:v>
      </x:c>
      <x:c r="R53" s="21" t="str">
        <x:v>48</x:v>
      </x:c>
      <x:c r="S53" s="21" t="str">
        <x:v>未检索到</x:v>
      </x:c>
      <x:c r="T53" s="42" t="n">
        <x:v>1</x:v>
      </x:c>
      <x:c r="U53" s="42" t="n">
        <x:v>12</x:v>
      </x:c>
      <x:c r="V53" s="42"/>
      <x:c r="W53" s="33" t="str">
        <x:v>C</x:v>
      </x:c>
      <x:c r="X53" s="33" t="str">
        <x:v>compendium_needs_independent_verification</x:v>
      </x:c>
      <x:c r="Y53" s="33" t="str">
        <x:v>专题汇编记录</x:v>
      </x:c>
      <x:c r="Z53" s="21" t="str">
        <x:v>Wikipedia高层建筑专题表；需补充独立来源核验</x:v>
      </x:c>
      <x:c r="AA53" s="21" t="str">
        <x:v>List of fires in high-rise buildings | List of high-rise façade fires | Wikipedia high-rise façade list; derived from Bonner et al./news (candidate discovery)</x:v>
      </x:c>
      <x:c r="AB53" s="21" t="str">
        <x:v>Wikipedia专题列表 | 批量来源代理</x:v>
      </x:c>
      <x:c r="AC53" s="21" t="str">
        <x:v>https://en.wikipedia.org/wiki/List_of_high-rise_fa%C3%A7ade_fires | https://www.bbc.com/news/world-middle-east-52553429</x:v>
      </x:c>
      <x:c r="AD53" s="21" t="n">
        <x:v>3</x:v>
      </x:c>
      <x:c r="AE53" s="21" t="str">
        <x:v>可访问(200)</x:v>
      </x:c>
      <x:c r="AF53" s="21" t="str">
        <x:v>https://en.wikipedia.org/wiki/List_of_high-rise_fa%C3%A7ade_fires =&gt; 可访问(200) | https://www.bbc.com/news/world-middle-east-52553429 =&gt; 可访问(200)</x:v>
      </x:c>
      <x:c r="AG53" s="24" t="n">
        <x:v>46260</x:v>
      </x:c>
      <x:c r="AH53" s="21" t="str"/>
      <x:c r="AI53" s="21" t="n">
        <x:v>1</x:v>
      </x:c>
      <x:c r="AJ53" s="21" t="str">
        <x:v>未评估（本事件表不建立热浪因果关系）</x:v>
      </x:c>
      <x:c r="AK53" s="21" t="str">
        <x:v>已有来源描述</x:v>
      </x:c>
    </x:row>
    <x:row r="54" ht="42" customHeight="1">
      <x:c r="A54" s="33" t="n">
        <x:v>53</x:v>
      </x:c>
      <x:c r="B54" s="33" t="str">
        <x:v>HRF-0053</x:v>
      </x:c>
      <x:c r="C54" s="36" t="str">
        <x:v>亚洲</x:v>
      </x:c>
      <x:c r="D54" s="36" t="str">
        <x:v>Turkey</x:v>
      </x:c>
      <x:c r="E54" s="21" t="str">
        <x:v>Ankara</x:v>
      </x:c>
      <x:c r="F54" s="21" t="str">
        <x:v>Business Centre fire</x:v>
      </x:c>
      <x:c r="G54" s="39" t="n">
        <x:v>44039</x:v>
      </x:c>
      <x:c r="H54" s="21" t="str">
        <x:v>Business Centre高层建筑外立面火灾。死亡 0，受伤 0；表中记录的受影响楼层为 1。</x:v>
      </x:c>
      <x:c r="I54" s="21" t="str">
        <x:v>未检索到/待核实</x:v>
      </x:c>
      <x:c r="J54" s="21" t="str">
        <x:v>死亡 0，受伤 0；表中记录的受影响楼层为 1。</x:v>
      </x:c>
      <x:c r="K54" s="21" t="str">
        <x:v>https://www.dailysabah.com/turkey/fire-breaks-out-in-business-center-in-turkish-capital-ankara/news</x:v>
      </x:c>
      <x:c r="L54" s="27" t="n">
        <x:v>39.91987</x:v>
      </x:c>
      <x:c r="M54" s="27" t="n">
        <x:v>32.85427</x:v>
      </x:c>
      <x:c r="N54" s="21" t="str">
        <x:v>城市代表点（GeoNames；不是建筑精确坐标）</x:v>
      </x:c>
      <x:c r="O54" s="21" t="str">
        <x:v>高层建筑外立面火灾</x:v>
      </x:c>
      <x:c r="P54" s="21" t="str">
        <x:v>未检索到</x:v>
      </x:c>
      <x:c r="Q54" s="21" t="str">
        <x:v>未检索到</x:v>
      </x:c>
      <x:c r="R54" s="21" t="str">
        <x:v>1</x:v>
      </x:c>
      <x:c r="S54" s="21" t="str">
        <x:v>未检索到</x:v>
      </x:c>
      <x:c r="T54" s="42" t="n">
        <x:v>0</x:v>
      </x:c>
      <x:c r="U54" s="42" t="n">
        <x:v>0</x:v>
      </x:c>
      <x:c r="V54" s="42"/>
      <x:c r="W54" s="33" t="str">
        <x:v>C</x:v>
      </x:c>
      <x:c r="X54" s="33" t="str">
        <x:v>compendium_needs_independent_verification</x:v>
      </x:c>
      <x:c r="Y54" s="33" t="str">
        <x:v>专题汇编记录</x:v>
      </x:c>
      <x:c r="Z54" s="21" t="str">
        <x:v>Wikipedia高层专题表；需补充独立来源核验</x:v>
      </x:c>
      <x:c r="AA54" s="21" t="str">
        <x:v>List of high-rise façade fires | Wikipedia high-rise façade list; derived from Bonner et al./news (candidate discovery)</x:v>
      </x:c>
      <x:c r="AB54" s="21" t="str">
        <x:v>Wikipedia专题列表 | 批量来源代理</x:v>
      </x:c>
      <x:c r="AC54" s="21" t="str">
        <x:v>https://en.wikipedia.org/wiki/List_of_high-rise_fa%C3%A7ade_fires</x:v>
      </x:c>
      <x:c r="AD54" s="21" t="n">
        <x:v>2</x:v>
      </x:c>
      <x:c r="AE54" s="21" t="str">
        <x:v>可访问(200)</x:v>
      </x:c>
      <x:c r="AF54" s="21" t="str">
        <x:v>https://en.wikipedia.org/wiki/List_of_high-rise_fa%C3%A7ade_fires =&gt; 可访问(200)</x:v>
      </x:c>
      <x:c r="AG54" s="24" t="n">
        <x:v>46260</x:v>
      </x:c>
      <x:c r="AH54" s="21" t="str"/>
      <x:c r="AI54" s="21" t="n">
        <x:v>1</x:v>
      </x:c>
      <x:c r="AJ54" s="21" t="str">
        <x:v>未评估（本事件表不建立热浪因果关系）</x:v>
      </x:c>
      <x:c r="AK54" s="21" t="str">
        <x:v>缺失/待核实</x:v>
      </x:c>
    </x:row>
    <x:row r="55" ht="42" customHeight="1">
      <x:c r="A55" s="33" t="n">
        <x:v>54</x:v>
      </x:c>
      <x:c r="B55" s="33" t="str">
        <x:v>HRF-0054</x:v>
      </x:c>
      <x:c r="C55" s="36" t="str">
        <x:v>亚洲</x:v>
      </x:c>
      <x:c r="D55" s="36" t="str">
        <x:v>South Korea</x:v>
      </x:c>
      <x:c r="E55" s="21" t="str">
        <x:v>Ulsan</x:v>
      </x:c>
      <x:c r="F55" s="21" t="str">
        <x:v>Apartment Block fire</x:v>
      </x:c>
      <x:c r="G55" s="39" t="n">
        <x:v>44112</x:v>
      </x:c>
      <x:c r="H55" s="21" t="str">
        <x:v>Apartment Block高层建筑外立面火灾。死亡 0，受伤 91；表中记录的受影响楼层为 33。</x:v>
      </x:c>
      <x:c r="I55" s="21" t="str">
        <x:v>未检索到/待核实</x:v>
      </x:c>
      <x:c r="J55" s="21" t="str">
        <x:v>死亡 0，受伤 91；表中记录的受影响楼层为 33。</x:v>
      </x:c>
      <x:c r="K55" s="21" t="str">
        <x:v>https://www.bbc.com/news/world-asia-54470378</x:v>
      </x:c>
      <x:c r="L55" s="27" t="n">
        <x:v>35.53722</x:v>
      </x:c>
      <x:c r="M55" s="27" t="n">
        <x:v>129.31667</x:v>
      </x:c>
      <x:c r="N55" s="21" t="str">
        <x:v>城市代表点（来源明确说明不是火场坐标）</x:v>
      </x:c>
      <x:c r="O55" s="21" t="str">
        <x:v>高层建筑外立面火灾</x:v>
      </x:c>
      <x:c r="P55" s="21" t="str">
        <x:v>residential</x:v>
      </x:c>
      <x:c r="Q55" s="21" t="str">
        <x:v>未检索到</x:v>
      </x:c>
      <x:c r="R55" s="21" t="str">
        <x:v>33</x:v>
      </x:c>
      <x:c r="S55" s="21" t="str">
        <x:v>未检索到</x:v>
      </x:c>
      <x:c r="T55" s="42" t="n">
        <x:v>0</x:v>
      </x:c>
      <x:c r="U55" s="42" t="n">
        <x:v>91</x:v>
      </x:c>
      <x:c r="V55" s="42"/>
      <x:c r="W55" s="33" t="str">
        <x:v>C</x:v>
      </x:c>
      <x:c r="X55" s="33" t="str">
        <x:v>compendium_needs_independent_verification</x:v>
      </x:c>
      <x:c r="Y55" s="33" t="str">
        <x:v>专题汇编记录</x:v>
      </x:c>
      <x:c r="Z55" s="21" t="str">
        <x:v>Wikipedia高层专题表；需补充独立来源核验</x:v>
      </x:c>
      <x:c r="AA55" s="21" t="str">
        <x:v>List of high-rise façade fires | Wikipedia high-rise façade list; derived from Bonner et al./news (candidate discovery)</x:v>
      </x:c>
      <x:c r="AB55" s="21" t="str">
        <x:v>Wikipedia专题列表 | 批量来源代理</x:v>
      </x:c>
      <x:c r="AC55" s="21" t="str">
        <x:v>https://en.wikipedia.org/wiki/List_of_high-rise_fa%C3%A7ade_fires</x:v>
      </x:c>
      <x:c r="AD55" s="21" t="n">
        <x:v>2</x:v>
      </x:c>
      <x:c r="AE55" s="21" t="str">
        <x:v>可访问(200)</x:v>
      </x:c>
      <x:c r="AF55" s="21" t="str">
        <x:v>https://en.wikipedia.org/wiki/List_of_high-rise_fa%C3%A7ade_fires =&gt; 可访问(200)</x:v>
      </x:c>
      <x:c r="AG55" s="24" t="n">
        <x:v>46260</x:v>
      </x:c>
      <x:c r="AH55" s="21" t="str"/>
      <x:c r="AI55" s="21" t="n">
        <x:v>1</x:v>
      </x:c>
      <x:c r="AJ55" s="21" t="str">
        <x:v>未评估（本事件表不建立热浪因果关系）</x:v>
      </x:c>
      <x:c r="AK55" s="21" t="str">
        <x:v>缺失/待核实</x:v>
      </x:c>
    </x:row>
    <x:row r="56" ht="42" customHeight="1">
      <x:c r="A56" s="33" t="n">
        <x:v>55</x:v>
      </x:c>
      <x:c r="B56" s="33" t="str">
        <x:v>HRF-0055</x:v>
      </x:c>
      <x:c r="C56" s="36" t="str">
        <x:v>亚洲</x:v>
      </x:c>
      <x:c r="D56" s="36" t="str">
        <x:v>South Korea</x:v>
      </x:c>
      <x:c r="E56" s="21" t="str">
        <x:v>South Korea</x:v>
      </x:c>
      <x:c r="F56" s="21" t="str">
        <x:v>Ulsan Samhwan Art Nouveau Fire</x:v>
      </x:c>
      <x:c r="G56" s="39" t="n">
        <x:v>44113</x:v>
      </x:c>
      <x:c r="H56" s="21" t="str">
        <x:v>Ulsan Samhwan Art Nouveau apartment building高层建筑火灾；建筑高度记录为 108.9 m。死亡人数：0。92 residents and 1 firefighter injured. Ulsan Samhwan Art Nouveau Fire [ko]</x:v>
      </x:c>
      <x:c r="I56" s="21" t="str">
        <x:v>未检索到/待核实</x:v>
      </x:c>
      <x:c r="J56" s="21" t="str">
        <x:v>死亡人数：0。92 residents and 1 firefighter injured. Ulsan Samhwan Art Nouveau Fire [ko]</x:v>
      </x:c>
      <x:c r="K56" s="21" t="str">
        <x:v>https://en.wikipedia.org/wiki/Ulsan_Samhwan_Art_Nouveau_Fire?action=edit&amp;redlink=1</x:v>
      </x:c>
      <x:c r="L56" s="27" t="n">
        <x:v>36.5</x:v>
      </x:c>
      <x:c r="M56" s="27" t="n">
        <x:v>127.75</x:v>
      </x:c>
      <x:c r="N56" s="21" t="str">
        <x:v>城市代表点（来源明确说明不是火场坐标）</x:v>
      </x:c>
      <x:c r="O56" s="21" t="str">
        <x:v>高层建筑火灾</x:v>
      </x:c>
      <x:c r="P56" s="21" t="str">
        <x:v>residential</x:v>
      </x:c>
      <x:c r="Q56" s="21" t="str">
        <x:v>108.9 m</x:v>
      </x:c>
      <x:c r="R56" s="21" t="str">
        <x:v>未检索到</x:v>
      </x:c>
      <x:c r="S56" s="21" t="str">
        <x:v>未检索到</x:v>
      </x:c>
      <x:c r="T56" s="42" t="n">
        <x:v>0</x:v>
      </x:c>
      <x:c r="U56" s="42"/>
      <x:c r="V56" s="42"/>
      <x:c r="W56" s="33" t="str">
        <x:v>B</x:v>
      </x:c>
      <x:c r="X56" s="33" t="str">
        <x:v>compendium_needs_independent_verification</x:v>
      </x:c>
      <x:c r="Y56" s="33" t="str">
        <x:v>专题汇编记录</x:v>
      </x:c>
      <x:c r="Z56" s="21" t="str">
        <x:v>Wikipedia具名事件页+高层建筑专题表</x:v>
      </x:c>
      <x:c r="AA56" s="21" t="str">
        <x:v>List of fires in high-rise buildings | Wikipedia dynamic high-rise list (candidate discovery)</x:v>
      </x:c>
      <x:c r="AB56" s="21" t="str">
        <x:v>Wikipedia专题列表 | 批量来源代理</x:v>
      </x:c>
      <x:c r="AC56" s="21" t="str">
        <x:v>https://en.wikipedia.org/wiki/List_of_fires_in_high-rise_buildings</x:v>
      </x:c>
      <x:c r="AD56" s="21" t="n">
        <x:v>2</x:v>
      </x:c>
      <x:c r="AE56" s="21" t="str">
        <x:v>HTTP错误(404)</x:v>
      </x:c>
      <x:c r="AF56" s="21" t="str">
        <x:v>https://en.wikipedia.org/wiki/List_of_fires_in_high-rise_buildings =&gt; 可访问(200)</x:v>
      </x:c>
      <x:c r="AG56" s="24" t="n">
        <x:v>46260</x:v>
      </x:c>
      <x:c r="AH56" s="21" t="str"/>
      <x:c r="AI56" s="21" t="n">
        <x:v>1</x:v>
      </x:c>
      <x:c r="AJ56" s="21" t="str">
        <x:v>未评估（本事件表不建立热浪因果关系）</x:v>
      </x:c>
      <x:c r="AK56" s="21" t="str">
        <x:v>缺失/待核实</x:v>
      </x:c>
    </x:row>
    <x:row r="57" ht="42" customHeight="1">
      <x:c r="A57" s="33" t="n">
        <x:v>56</x:v>
      </x:c>
      <x:c r="B57" s="33" t="str">
        <x:v>HRF-0056</x:v>
      </x:c>
      <x:c r="C57" s="36" t="str">
        <x:v>亚洲</x:v>
      </x:c>
      <x:c r="D57" s="36" t="str">
        <x:v>China</x:v>
      </x:c>
      <x:c r="E57" s="21" t="str">
        <x:v>Shijiazhuang</x:v>
      </x:c>
      <x:c r="F57" s="21" t="str">
        <x:v>Apartment Building[citation needed] fire</x:v>
      </x:c>
      <x:c r="G57" s="39" t="n">
        <x:v>44264</x:v>
      </x:c>
      <x:c r="H57" s="21" t="str">
        <x:v>Apartment Building[citation needed]高层建筑外立面火灾。死亡 0，受伤 0；表中记录的受影响楼层为 26。</x:v>
      </x:c>
      <x:c r="I57" s="21" t="str">
        <x:v>未检索到/待核实</x:v>
      </x:c>
      <x:c r="J57" s="21" t="str">
        <x:v>死亡 0，受伤 0；表中记录的受影响楼层为 26。</x:v>
      </x:c>
      <x:c r="K57" s="21" t="str">
        <x:v>https://en.wikipedia.org/wiki/List_of_high-rise_fa%C3%A7ade_fires</x:v>
      </x:c>
      <x:c r="L57" s="27" t="n">
        <x:v>38.04139</x:v>
      </x:c>
      <x:c r="M57" s="27" t="n">
        <x:v>114.47861</x:v>
      </x:c>
      <x:c r="N57" s="21" t="str">
        <x:v>城市代表点（来源明确说明不是火场坐标）</x:v>
      </x:c>
      <x:c r="O57" s="21" t="str">
        <x:v>高层建筑外立面火灾</x:v>
      </x:c>
      <x:c r="P57" s="21" t="str">
        <x:v>residential</x:v>
      </x:c>
      <x:c r="Q57" s="21" t="str">
        <x:v>未检索到</x:v>
      </x:c>
      <x:c r="R57" s="21" t="str">
        <x:v>26</x:v>
      </x:c>
      <x:c r="S57" s="21" t="str">
        <x:v>未检索到</x:v>
      </x:c>
      <x:c r="T57" s="42" t="n">
        <x:v>0</x:v>
      </x:c>
      <x:c r="U57" s="42" t="n">
        <x:v>0</x:v>
      </x:c>
      <x:c r="V57" s="42"/>
      <x:c r="W57" s="33" t="str">
        <x:v>C</x:v>
      </x:c>
      <x:c r="X57" s="33" t="str">
        <x:v>compendium_needs_independent_verification</x:v>
      </x:c>
      <x:c r="Y57" s="33" t="str">
        <x:v>专题汇编记录</x:v>
      </x:c>
      <x:c r="Z57" s="21" t="str">
        <x:v>Wikipedia高层专题表；需补充独立来源核验</x:v>
      </x:c>
      <x:c r="AA57" s="21" t="str">
        <x:v>List of high-rise façade fires | Wikipedia high-rise façade list; derived from Bonner et al./news (candidate discovery)</x:v>
      </x:c>
      <x:c r="AB57" s="21" t="str">
        <x:v>Wikipedia专题列表 | 批量来源代理</x:v>
      </x:c>
      <x:c r="AC57" s="21" t="str"/>
      <x:c r="AD57" s="21" t="n">
        <x:v>1</x:v>
      </x:c>
      <x:c r="AE57" s="21" t="str">
        <x:v>可访问(200)</x:v>
      </x:c>
      <x:c r="AF57" s="21" t="str"/>
      <x:c r="AG57" s="24" t="n">
        <x:v>46260</x:v>
      </x:c>
      <x:c r="AH57" s="21" t="str"/>
      <x:c r="AI57" s="21" t="n">
        <x:v>1</x:v>
      </x:c>
      <x:c r="AJ57" s="21" t="str">
        <x:v>未评估（本事件表不建立热浪因果关系）</x:v>
      </x:c>
      <x:c r="AK57" s="21" t="str">
        <x:v>缺失/待核实</x:v>
      </x:c>
    </x:row>
    <x:row r="58" ht="42" customHeight="1">
      <x:c r="A58" s="33" t="n">
        <x:v>57</x:v>
      </x:c>
      <x:c r="B58" s="33" t="str">
        <x:v>HRF-0057</x:v>
      </x:c>
      <x:c r="C58" s="36" t="str">
        <x:v>亚洲</x:v>
      </x:c>
      <x:c r="D58" s="36" t="str">
        <x:v>Taiwan</x:v>
      </x:c>
      <x:c r="E58" s="21" t="str">
        <x:v>Kaohsiung</x:v>
      </x:c>
      <x:c r="F58" s="21" t="str">
        <x:v>2021 Kaohsiung Cheng Chung Cheng Building fire</x:v>
      </x:c>
      <x:c r="G58" s="39" t="n">
        <x:v>44483</x:v>
      </x:c>
      <x:c r="H58" s="21" t="str">
        <x:v>Cheng Chung Cheng Building高层建筑火灾；建筑高度记录为 未列明。死亡人数：46。2021 Kaohsiung tower fire</x:v>
      </x:c>
      <x:c r="I58" s="21" t="str">
        <x:v>未检索到/待核实</x:v>
      </x:c>
      <x:c r="J58" s="21" t="str">
        <x:v>死亡人数：46。2021 Kaohsiung tower fire</x:v>
      </x:c>
      <x:c r="K58" s="21" t="str">
        <x:v>https://en.wikipedia.org/wiki/2021_Kaohsiung_tower_fire</x:v>
      </x:c>
      <x:c r="L58" s="27" t="n">
        <x:v>22.61626</x:v>
      </x:c>
      <x:c r="M58" s="27" t="n">
        <x:v>120.31333</x:v>
      </x:c>
      <x:c r="N58" s="21" t="str">
        <x:v>城市代表点（来源明确说明不是火场坐标）</x:v>
      </x:c>
      <x:c r="O58" s="21" t="str">
        <x:v>高层建筑火灾</x:v>
      </x:c>
      <x:c r="P58" s="21" t="str">
        <x:v>未检索到</x:v>
      </x:c>
      <x:c r="Q58" s="21" t="str">
        <x:v>未检索到</x:v>
      </x:c>
      <x:c r="R58" s="21" t="str">
        <x:v>未检索到</x:v>
      </x:c>
      <x:c r="S58" s="21" t="str">
        <x:v>未检索到</x:v>
      </x:c>
      <x:c r="T58" s="42" t="n">
        <x:v>46</x:v>
      </x:c>
      <x:c r="U58" s="42"/>
      <x:c r="V58" s="42"/>
      <x:c r="W58" s="33" t="str">
        <x:v>B</x:v>
      </x:c>
      <x:c r="X58" s="33" t="str">
        <x:v>compendium_needs_independent_verification</x:v>
      </x:c>
      <x:c r="Y58" s="33" t="str">
        <x:v>专题汇编记录</x:v>
      </x:c>
      <x:c r="Z58" s="21" t="str">
        <x:v>Wikipedia具名事件页+高层建筑专题表</x:v>
      </x:c>
      <x:c r="AA58" s="21" t="str">
        <x:v>List of fires in high-rise buildings | Wikipedia dynamic high-rise list (candidate discovery)</x:v>
      </x:c>
      <x:c r="AB58" s="21" t="str">
        <x:v>Wikipedia专题列表 | 批量来源代理</x:v>
      </x:c>
      <x:c r="AC58" s="21" t="str">
        <x:v>https://en.wikipedia.org/wiki/List_of_fires_in_high-rise_buildings</x:v>
      </x:c>
      <x:c r="AD58" s="21" t="n">
        <x:v>2</x:v>
      </x:c>
      <x:c r="AE58" s="21" t="str">
        <x:v>可访问(200)</x:v>
      </x:c>
      <x:c r="AF58" s="21" t="str">
        <x:v>https://en.wikipedia.org/wiki/List_of_fires_in_high-rise_buildings =&gt; 可访问(200)</x:v>
      </x:c>
      <x:c r="AG58" s="24" t="n">
        <x:v>46260</x:v>
      </x:c>
      <x:c r="AH58" s="21" t="str"/>
      <x:c r="AI58" s="21" t="n">
        <x:v>1</x:v>
      </x:c>
      <x:c r="AJ58" s="21" t="str">
        <x:v>未评估（本事件表不建立热浪因果关系）</x:v>
      </x:c>
      <x:c r="AK58" s="21" t="str">
        <x:v>缺失/待核实</x:v>
      </x:c>
    </x:row>
    <x:row r="59" ht="42" customHeight="1">
      <x:c r="A59" s="33" t="n">
        <x:v>58</x:v>
      </x:c>
      <x:c r="B59" s="33" t="str">
        <x:v>HRF-0058</x:v>
      </x:c>
      <x:c r="C59" s="36" t="str">
        <x:v>亚洲</x:v>
      </x:c>
      <x:c r="D59" s="36" t="str">
        <x:v>Hong Kong</x:v>
      </x:c>
      <x:c r="E59" s="21" t="str">
        <x:v>Hong Kong</x:v>
      </x:c>
      <x:c r="F59" s="21" t="str">
        <x:v>World Trade Centre Hong Kong fire</x:v>
      </x:c>
      <x:c r="G59" s="39" t="n">
        <x:v>44545</x:v>
      </x:c>
      <x:c r="H59" s="21" t="str">
        <x:v>World Trade Centre Hong Kong高层建筑火灾；建筑高度记录为 未列明。死亡人数：0。13 injured, over 300 trapped on roof</x:v>
      </x:c>
      <x:c r="I59" s="21" t="str">
        <x:v>未检索到/待核实</x:v>
      </x:c>
      <x:c r="J59" s="21" t="str">
        <x:v>死亡人数：0。13 injured, over 300 trapped on roof</x:v>
      </x:c>
      <x:c r="K59" s="21" t="str">
        <x:v>https://www.bbc.co.uk/news/world-asia-china-59663826</x:v>
      </x:c>
      <x:c r="L59" s="27" t="n">
        <x:v>22.27832</x:v>
      </x:c>
      <x:c r="M59" s="27" t="n">
        <x:v>114.17469</x:v>
      </x:c>
      <x:c r="N59" s="21" t="str">
        <x:v>城市代表点（来源明确说明不是火场坐标）</x:v>
      </x:c>
      <x:c r="O59" s="21" t="str">
        <x:v>高层建筑火灾</x:v>
      </x:c>
      <x:c r="P59" s="21" t="str">
        <x:v>office/government</x:v>
      </x:c>
      <x:c r="Q59" s="21" t="str">
        <x:v>未检索到</x:v>
      </x:c>
      <x:c r="R59" s="21" t="str">
        <x:v>未检索到</x:v>
      </x:c>
      <x:c r="S59" s="21" t="str">
        <x:v>未检索到</x:v>
      </x:c>
      <x:c r="T59" s="42" t="n">
        <x:v>0</x:v>
      </x:c>
      <x:c r="U59" s="42" t="n">
        <x:v>13</x:v>
      </x:c>
      <x:c r="V59" s="42"/>
      <x:c r="W59" s="33" t="str">
        <x:v>C</x:v>
      </x:c>
      <x:c r="X59" s="33" t="str">
        <x:v>compendium_needs_independent_verification</x:v>
      </x:c>
      <x:c r="Y59" s="33" t="str">
        <x:v>专题汇编记录</x:v>
      </x:c>
      <x:c r="Z59" s="21" t="str">
        <x:v>Wikipedia高层建筑专题表；需补充独立来源核验</x:v>
      </x:c>
      <x:c r="AA59" s="21" t="str">
        <x:v>List of fires in high-rise buildings | Wikipedia dynamic high-rise list (candidate discovery)</x:v>
      </x:c>
      <x:c r="AB59" s="21" t="str">
        <x:v>Wikipedia专题列表 | 批量来源代理</x:v>
      </x:c>
      <x:c r="AC59" s="21" t="str">
        <x:v>https://en.wikipedia.org/wiki/List_of_fires_in_high-rise_buildings</x:v>
      </x:c>
      <x:c r="AD59" s="21" t="n">
        <x:v>2</x:v>
      </x:c>
      <x:c r="AE59" s="21" t="str">
        <x:v>可访问(200)</x:v>
      </x:c>
      <x:c r="AF59" s="21" t="str">
        <x:v>https://en.wikipedia.org/wiki/List_of_fires_in_high-rise_buildings =&gt; 可访问(200)</x:v>
      </x:c>
      <x:c r="AG59" s="24" t="n">
        <x:v>46260</x:v>
      </x:c>
      <x:c r="AH59" s="21" t="str"/>
      <x:c r="AI59" s="21" t="n">
        <x:v>1</x:v>
      </x:c>
      <x:c r="AJ59" s="21" t="str">
        <x:v>未评估（本事件表不建立热浪因果关系）</x:v>
      </x:c>
      <x:c r="AK59" s="21" t="str">
        <x:v>缺失/待核实</x:v>
      </x:c>
    </x:row>
    <x:row r="60" ht="42" customHeight="1">
      <x:c r="A60" s="33" t="n">
        <x:v>59</x:v>
      </x:c>
      <x:c r="B60" s="33" t="str">
        <x:v>HRF-0059</x:v>
      </x:c>
      <x:c r="C60" s="36" t="str">
        <x:v>亚洲</x:v>
      </x:c>
      <x:c r="D60" s="36" t="str">
        <x:v>China</x:v>
      </x:c>
      <x:c r="E60" s="21" t="str">
        <x:v>Changsha, Hunan</x:v>
      </x:c>
      <x:c r="F60" s="21" t="str">
        <x:v>Lotus Garden China Telecom Building fire</x:v>
      </x:c>
      <x:c r="G60" s="39" t="n">
        <x:v>44820</x:v>
      </x:c>
      <x:c r="H60" s="21" t="str">
        <x:v>Lotus Garden China Telecom Building高层建筑外立面火灾。死亡 0，受伤 0；表中记录的受影响楼层为 42。</x:v>
      </x:c>
      <x:c r="I60" s="21" t="str">
        <x:v>未检索到/待核实</x:v>
      </x:c>
      <x:c r="J60" s="21" t="str">
        <x:v>死亡 0，受伤 0；表中记录的受影响楼层为 42。</x:v>
      </x:c>
      <x:c r="K60" s="21" t="str">
        <x:v>https://en.wikipedia.org/wiki/List_of_high-rise_fa%C3%A7ade_fires</x:v>
      </x:c>
      <x:c r="L60" s="27" t="n">
        <x:v>28.19874</x:v>
      </x:c>
      <x:c r="M60" s="27" t="n">
        <x:v>112.97087</x:v>
      </x:c>
      <x:c r="N60" s="21" t="str">
        <x:v>城市代表点（来源明确说明不是火场坐标）</x:v>
      </x:c>
      <x:c r="O60" s="21" t="str">
        <x:v>高层建筑外立面火灾</x:v>
      </x:c>
      <x:c r="P60" s="21" t="str">
        <x:v>office/government</x:v>
      </x:c>
      <x:c r="Q60" s="21" t="str">
        <x:v>218 m</x:v>
      </x:c>
      <x:c r="R60" s="21" t="str">
        <x:v>42</x:v>
      </x:c>
      <x:c r="S60" s="21" t="str">
        <x:v>未检索到</x:v>
      </x:c>
      <x:c r="T60" s="42" t="n">
        <x:v>0</x:v>
      </x:c>
      <x:c r="U60" s="42"/>
      <x:c r="V60" s="42"/>
      <x:c r="W60" s="33" t="str">
        <x:v>C</x:v>
      </x:c>
      <x:c r="X60" s="33" t="str">
        <x:v>compendium_needs_independent_verification</x:v>
      </x:c>
      <x:c r="Y60" s="33" t="str">
        <x:v>专题汇编记录</x:v>
      </x:c>
      <x:c r="Z60" s="21" t="str">
        <x:v>Wikipedia高层专题表；需补充独立来源核验</x:v>
      </x:c>
      <x:c r="AA60" s="21" t="str">
        <x:v>List of fires in high-rise buildings | List of high-rise façade fires | Wikipedia dynamic high-rise list (candidate discovery)</x:v>
      </x:c>
      <x:c r="AB60" s="21" t="str">
        <x:v>Wikipedia专题列表 | 批量来源代理</x:v>
      </x:c>
      <x:c r="AC60" s="21" t="str">
        <x:v>https://en.wikipedia.org/wiki/List_of_fires_in_high-rise_buildings</x:v>
      </x:c>
      <x:c r="AD60" s="21" t="n">
        <x:v>2</x:v>
      </x:c>
      <x:c r="AE60" s="21" t="str">
        <x:v>可访问(200)</x:v>
      </x:c>
      <x:c r="AF60" s="21" t="str">
        <x:v>https://en.wikipedia.org/wiki/List_of_fires_in_high-rise_buildings =&gt; 可访问(200)</x:v>
      </x:c>
      <x:c r="AG60" s="24" t="n">
        <x:v>46260</x:v>
      </x:c>
      <x:c r="AH60" s="21" t="str"/>
      <x:c r="AI60" s="21" t="n">
        <x:v>1</x:v>
      </x:c>
      <x:c r="AJ60" s="21" t="str">
        <x:v>未评估（本事件表不建立热浪因果关系）</x:v>
      </x:c>
      <x:c r="AK60" s="21" t="str">
        <x:v>缺失/待核实</x:v>
      </x:c>
    </x:row>
    <x:row r="61" ht="42" customHeight="1">
      <x:c r="A61" s="33" t="n">
        <x:v>60</x:v>
      </x:c>
      <x:c r="B61" s="33" t="str">
        <x:v>HRF-0060</x:v>
      </x:c>
      <x:c r="C61" s="36" t="str">
        <x:v>亚洲</x:v>
      </x:c>
      <x:c r="D61" s="36" t="str">
        <x:v>Pakistan</x:v>
      </x:c>
      <x:c r="E61" s="21" t="str">
        <x:v>Islamabad</x:v>
      </x:c>
      <x:c r="F61" s="21" t="str">
        <x:v>2022 The Centaurus Mall Fire Incident</x:v>
      </x:c>
      <x:c r="G61" s="39" t="n">
        <x:v>44843</x:v>
      </x:c>
      <x:c r="H61" s="21" t="str">
        <x:v>The Centaurus高层建筑火灾；建筑高度记录为 110 m。死亡人数：0。2022 The Centaurus Mall Fire Incident</x:v>
      </x:c>
      <x:c r="I61" s="21" t="str">
        <x:v>未检索到/待核实</x:v>
      </x:c>
      <x:c r="J61" s="21" t="str">
        <x:v>死亡人数：0。2022 The Centaurus Mall Fire Incident</x:v>
      </x:c>
      <x:c r="K61" s="21" t="str">
        <x:v>https://en.wikipedia.org/wiki/2022_The_Centaurus_Mall_Fire_Incident</x:v>
      </x:c>
      <x:c r="L61" s="27" t="n">
        <x:v>33.72148</x:v>
      </x:c>
      <x:c r="M61" s="27" t="n">
        <x:v>73.04329</x:v>
      </x:c>
      <x:c r="N61" s="21" t="str">
        <x:v>城市代表点（来源明确说明不是火场坐标）</x:v>
      </x:c>
      <x:c r="O61" s="21" t="str">
        <x:v>高层建筑火灾</x:v>
      </x:c>
      <x:c r="P61" s="21" t="str">
        <x:v>commercial/retail</x:v>
      </x:c>
      <x:c r="Q61" s="21" t="str">
        <x:v>110 m</x:v>
      </x:c>
      <x:c r="R61" s="21" t="str">
        <x:v>未检索到</x:v>
      </x:c>
      <x:c r="S61" s="21" t="str">
        <x:v>未检索到</x:v>
      </x:c>
      <x:c r="T61" s="42" t="n">
        <x:v>0</x:v>
      </x:c>
      <x:c r="U61" s="42"/>
      <x:c r="V61" s="42"/>
      <x:c r="W61" s="33" t="str">
        <x:v>B</x:v>
      </x:c>
      <x:c r="X61" s="33" t="str">
        <x:v>compendium_needs_independent_verification</x:v>
      </x:c>
      <x:c r="Y61" s="33" t="str">
        <x:v>专题汇编记录</x:v>
      </x:c>
      <x:c r="Z61" s="21" t="str">
        <x:v>Wikipedia具名事件页+高层建筑专题表</x:v>
      </x:c>
      <x:c r="AA61" s="21" t="str">
        <x:v>List of fires in high-rise buildings | Wikipedia dynamic high-rise list (candidate discovery)</x:v>
      </x:c>
      <x:c r="AB61" s="21" t="str">
        <x:v>Wikipedia专题列表 | 批量来源代理</x:v>
      </x:c>
      <x:c r="AC61" s="21" t="str">
        <x:v>https://en.wikipedia.org/wiki/List_of_fires_in_high-rise_buildings</x:v>
      </x:c>
      <x:c r="AD61" s="21" t="n">
        <x:v>2</x:v>
      </x:c>
      <x:c r="AE61" s="21" t="str">
        <x:v>可访问(200)</x:v>
      </x:c>
      <x:c r="AF61" s="21" t="str">
        <x:v>https://en.wikipedia.org/wiki/List_of_fires_in_high-rise_buildings =&gt; 可访问(200)</x:v>
      </x:c>
      <x:c r="AG61" s="24" t="n">
        <x:v>46260</x:v>
      </x:c>
      <x:c r="AH61" s="21" t="str"/>
      <x:c r="AI61" s="21" t="n">
        <x:v>1</x:v>
      </x:c>
      <x:c r="AJ61" s="21" t="str">
        <x:v>未评估（本事件表不建立热浪因果关系）</x:v>
      </x:c>
      <x:c r="AK61" s="21" t="str">
        <x:v>缺失/待核实</x:v>
      </x:c>
    </x:row>
    <x:row r="62" ht="42" customHeight="1">
      <x:c r="A62" s="33" t="n">
        <x:v>61</x:v>
      </x:c>
      <x:c r="B62" s="33" t="str">
        <x:v>HRF-0061</x:v>
      </x:c>
      <x:c r="C62" s="36" t="str">
        <x:v>亚洲</x:v>
      </x:c>
      <x:c r="D62" s="36" t="str">
        <x:v>Turkey</x:v>
      </x:c>
      <x:c r="E62" s="21" t="str">
        <x:v>İstanbul</x:v>
      </x:c>
      <x:c r="F62" s="21" t="str">
        <x:v>Elite Concept fire</x:v>
      </x:c>
      <x:c r="G62" s="39" t="n">
        <x:v>44849</x:v>
      </x:c>
      <x:c r="H62" s="21" t="str">
        <x:v>Elite Concept高层建筑火灾；建筑高度记录为 80 m。死亡人数：0。Originated from external cladding.</x:v>
      </x:c>
      <x:c r="I62" s="21" t="str">
        <x:v>Originated from external cladding.</x:v>
      </x:c>
      <x:c r="J62" s="21" t="str">
        <x:v>死亡人数：0。Originated from external cladding.</x:v>
      </x:c>
      <x:c r="K62" s="21" t="str">
        <x:v>https://en.wikipedia.org/wiki/List_of_fires_in_high-rise_buildings</x:v>
      </x:c>
      <x:c r="L62" s="27" t="n">
        <x:v>41.01384</x:v>
      </x:c>
      <x:c r="M62" s="27" t="n">
        <x:v>28.94966</x:v>
      </x:c>
      <x:c r="N62" s="21" t="str">
        <x:v>城市代表点（GeoNames；不是建筑精确坐标）</x:v>
      </x:c>
      <x:c r="O62" s="21" t="str">
        <x:v>高层建筑火灾</x:v>
      </x:c>
      <x:c r="P62" s="21" t="str">
        <x:v>未检索到</x:v>
      </x:c>
      <x:c r="Q62" s="21" t="str">
        <x:v>80 m</x:v>
      </x:c>
      <x:c r="R62" s="21" t="str">
        <x:v>未检索到</x:v>
      </x:c>
      <x:c r="S62" s="21" t="str">
        <x:v>未检索到</x:v>
      </x:c>
      <x:c r="T62" s="42" t="n">
        <x:v>0</x:v>
      </x:c>
      <x:c r="U62" s="42"/>
      <x:c r="V62" s="42"/>
      <x:c r="W62" s="33" t="str">
        <x:v>C</x:v>
      </x:c>
      <x:c r="X62" s="33" t="str">
        <x:v>compendium_needs_independent_verification</x:v>
      </x:c>
      <x:c r="Y62" s="33" t="str">
        <x:v>专题汇编记录</x:v>
      </x:c>
      <x:c r="Z62" s="21" t="str">
        <x:v>Wikipedia高层建筑专题表；需补充独立来源核验</x:v>
      </x:c>
      <x:c r="AA62" s="21" t="str">
        <x:v>List of fires in high-rise buildings | Wikipedia dynamic high-rise list (candidate discovery)</x:v>
      </x:c>
      <x:c r="AB62" s="21" t="str">
        <x:v>Wikipedia专题列表 | 批量来源代理</x:v>
      </x:c>
      <x:c r="AC62" s="21" t="str"/>
      <x:c r="AD62" s="21" t="n">
        <x:v>1</x:v>
      </x:c>
      <x:c r="AE62" s="21" t="str">
        <x:v>可访问(200)</x:v>
      </x:c>
      <x:c r="AF62" s="21" t="str"/>
      <x:c r="AG62" s="24" t="n">
        <x:v>46260</x:v>
      </x:c>
      <x:c r="AH62" s="21" t="str"/>
      <x:c r="AI62" s="21" t="n">
        <x:v>1</x:v>
      </x:c>
      <x:c r="AJ62" s="21" t="str">
        <x:v>未评估（本事件表不建立热浪因果关系）</x:v>
      </x:c>
      <x:c r="AK62" s="21" t="str">
        <x:v>已有来源描述</x:v>
      </x:c>
    </x:row>
    <x:row r="63" ht="42" customHeight="1">
      <x:c r="A63" s="33" t="n">
        <x:v>62</x:v>
      </x:c>
      <x:c r="B63" s="33" t="str">
        <x:v>HRF-0062</x:v>
      </x:c>
      <x:c r="C63" s="36" t="str">
        <x:v>亚洲</x:v>
      </x:c>
      <x:c r="D63" s="36" t="str">
        <x:v>United Arab Emirates</x:v>
      </x:c>
      <x:c r="E63" s="21" t="str">
        <x:v>Dubai</x:v>
      </x:c>
      <x:c r="F63" s="21" t="str">
        <x:v>2022 8 Boulevard Walk high-rise fire</x:v>
      </x:c>
      <x:c r="G63" s="39" t="n">
        <x:v>44872</x:v>
      </x:c>
      <x:c r="H63" s="21" t="str">
        <x:v>8 Boulevard Walk高层建筑火灾；建筑高度记录为 123 m。死亡人数：0。</x:v>
      </x:c>
      <x:c r="I63" s="21" t="str">
        <x:v>未检索到/待核实</x:v>
      </x:c>
      <x:c r="J63" s="21" t="str">
        <x:v>死亡人数：0。</x:v>
      </x:c>
      <x:c r="K63" s="21" t="str">
        <x:v>https://en.wikipedia.org/wiki/List_of_fires_in_high-rise_buildings</x:v>
      </x:c>
      <x:c r="L63" s="27" t="n">
        <x:v>25.07725</x:v>
      </x:c>
      <x:c r="M63" s="27" t="n">
        <x:v>55.30927</x:v>
      </x:c>
      <x:c r="N63" s="21" t="str">
        <x:v>城市代表点（来源明确说明不是火场坐标）</x:v>
      </x:c>
      <x:c r="O63" s="21" t="str">
        <x:v>高层建筑火灾</x:v>
      </x:c>
      <x:c r="P63" s="21" t="str">
        <x:v>residential</x:v>
      </x:c>
      <x:c r="Q63" s="21" t="str">
        <x:v>123 m</x:v>
      </x:c>
      <x:c r="R63" s="21" t="str">
        <x:v>35</x:v>
      </x:c>
      <x:c r="S63" s="21" t="str">
        <x:v>未检索到</x:v>
      </x:c>
      <x:c r="T63" s="42" t="n">
        <x:v>0</x:v>
      </x:c>
      <x:c r="U63" s="42" t="n">
        <x:v>0</x:v>
      </x:c>
      <x:c r="V63" s="42"/>
      <x:c r="W63" s="33" t="str">
        <x:v>C</x:v>
      </x:c>
      <x:c r="X63" s="33" t="str">
        <x:v>compendium_needs_independent_verification</x:v>
      </x:c>
      <x:c r="Y63" s="33" t="str">
        <x:v>专题汇编记录</x:v>
      </x:c>
      <x:c r="Z63" s="21" t="str">
        <x:v>Wikipedia高层建筑专题表；需补充独立来源核验</x:v>
      </x:c>
      <x:c r="AA63" s="21" t="str">
        <x:v>List of fires in high-rise buildings | List of high-rise façade fires | Wikipedia dynamic high-rise list (candidate discovery) | Wikipedia high-rise façade list; derived from Bonner et al./news (candidate discovery)</x:v>
      </x:c>
      <x:c r="AB63" s="21" t="str">
        <x:v>Wikipedia专题列表 | 批量来源代理</x:v>
      </x:c>
      <x:c r="AC63" s="21" t="str">
        <x:v>https://en.wikipedia.org/wiki/List_of_high-rise_fa%C3%A7ade_fires | https://www.arabianbusiness.com/culture-society/emaar-tower-fire-no-injuries-or-casualties-occurred-residents-hope-to-return-to-homes-soon</x:v>
      </x:c>
      <x:c r="AD63" s="21" t="n">
        <x:v>3</x:v>
      </x:c>
      <x:c r="AE63" s="21" t="str">
        <x:v>可访问(200)</x:v>
      </x:c>
      <x:c r="AF63" s="21" t="str">
        <x:v>https://en.wikipedia.org/wiki/List_of_high-rise_fa%C3%A7ade_fires =&gt; 可访问(200) | https://www.arabianbusiness.com/culture-society/emaar-tower-fire-no-injuries-or-casualties-occurred-residents-hope-to-return-to-homes-soon =&gt; HTTP错误(405)</x:v>
      </x:c>
      <x:c r="AG63" s="24" t="n">
        <x:v>46260</x:v>
      </x:c>
      <x:c r="AH63" s="21" t="str"/>
      <x:c r="AI63" s="21" t="n">
        <x:v>1</x:v>
      </x:c>
      <x:c r="AJ63" s="21" t="str">
        <x:v>未评估（本事件表不建立热浪因果关系）</x:v>
      </x:c>
      <x:c r="AK63" s="21" t="str">
        <x:v>缺失/待核实</x:v>
      </x:c>
    </x:row>
    <x:row r="64" ht="42" customHeight="1">
      <x:c r="A64" s="33" t="n">
        <x:v>63</x:v>
      </x:c>
      <x:c r="B64" s="33" t="str">
        <x:v>HRF-0063</x:v>
      </x:c>
      <x:c r="C64" s="36" t="str">
        <x:v>亚洲</x:v>
      </x:c>
      <x:c r="D64" s="36" t="str">
        <x:v>China</x:v>
      </x:c>
      <x:c r="E64" s="21" t="str">
        <x:v>Ürümqi</x:v>
      </x:c>
      <x:c r="F64" s="21" t="str">
        <x:v>2022 Ürümqi Jixiangyuan high-rise fire</x:v>
      </x:c>
      <x:c r="G64" s="39" t="n">
        <x:v>44891</x:v>
      </x:c>
      <x:c r="H64" s="21" t="str">
        <x:v>Jixiangyuan community高层建筑火灾；建筑高度记录为 ~60 m (21 floors) m。死亡人数：11。2022 Ürümqi fire</x:v>
      </x:c>
      <x:c r="I64" s="21" t="str">
        <x:v>未检索到/待核实</x:v>
      </x:c>
      <x:c r="J64" s="21" t="str">
        <x:v>死亡人数：11。2022 Ürümqi fire</x:v>
      </x:c>
      <x:c r="K64" s="21" t="str">
        <x:v>https://en.wikipedia.org/wiki/2022_Ürümqi_fire</x:v>
      </x:c>
      <x:c r="L64" s="27" t="n">
        <x:v>43.80096</x:v>
      </x:c>
      <x:c r="M64" s="27" t="n">
        <x:v>87.60046</x:v>
      </x:c>
      <x:c r="N64" s="21" t="str">
        <x:v>城市代表点（来源明确说明不是火场坐标）</x:v>
      </x:c>
      <x:c r="O64" s="21" t="str">
        <x:v>高层建筑火灾</x:v>
      </x:c>
      <x:c r="P64" s="21" t="str">
        <x:v>residential</x:v>
      </x:c>
      <x:c r="Q64" s="21" t="str">
        <x:v>~60 m (21 floors)</x:v>
      </x:c>
      <x:c r="R64" s="21" t="str">
        <x:v>未检索到</x:v>
      </x:c>
      <x:c r="S64" s="21" t="str">
        <x:v>未检索到</x:v>
      </x:c>
      <x:c r="T64" s="42" t="n">
        <x:v>11</x:v>
      </x:c>
      <x:c r="U64" s="42"/>
      <x:c r="V64" s="42"/>
      <x:c r="W64" s="33" t="str">
        <x:v>B</x:v>
      </x:c>
      <x:c r="X64" s="33" t="str">
        <x:v>compendium_needs_independent_verification</x:v>
      </x:c>
      <x:c r="Y64" s="33" t="str">
        <x:v>专题汇编记录</x:v>
      </x:c>
      <x:c r="Z64" s="21" t="str">
        <x:v>Wikipedia具名事件页+高层建筑专题表</x:v>
      </x:c>
      <x:c r="AA64" s="21" t="str">
        <x:v>List of fires in high-rise buildings | Wikipedia dynamic high-rise list (candidate discovery)</x:v>
      </x:c>
      <x:c r="AB64" s="21" t="str">
        <x:v>Wikipedia专题列表 | 批量来源代理</x:v>
      </x:c>
      <x:c r="AC64" s="21" t="str">
        <x:v>https://en.wikipedia.org/wiki/List_of_fires_in_high-rise_buildings</x:v>
      </x:c>
      <x:c r="AD64" s="21" t="n">
        <x:v>2</x:v>
      </x:c>
      <x:c r="AE64" s="21" t="str">
        <x:v>可访问(200)</x:v>
      </x:c>
      <x:c r="AF64" s="21" t="str">
        <x:v>https://en.wikipedia.org/wiki/List_of_fires_in_high-rise_buildings =&gt; 可访问(200)</x:v>
      </x:c>
      <x:c r="AG64" s="24" t="n">
        <x:v>46260</x:v>
      </x:c>
      <x:c r="AH64" s="21" t="str"/>
      <x:c r="AI64" s="21" t="n">
        <x:v>1</x:v>
      </x:c>
      <x:c r="AJ64" s="21" t="str">
        <x:v>未评估（本事件表不建立热浪因果关系）</x:v>
      </x:c>
      <x:c r="AK64" s="21" t="str">
        <x:v>缺失/待核实</x:v>
      </x:c>
    </x:row>
    <x:row r="65" ht="42" customHeight="1">
      <x:c r="A65" s="33" t="n">
        <x:v>64</x:v>
      </x:c>
      <x:c r="B65" s="33" t="str">
        <x:v>HRF-0064</x:v>
      </x:c>
      <x:c r="C65" s="36" t="str">
        <x:v>亚洲</x:v>
      </x:c>
      <x:c r="D65" s="36" t="str">
        <x:v>Hong Kong</x:v>
      </x:c>
      <x:c r="E65" s="21" t="str">
        <x:v>Hong Kong</x:v>
      </x:c>
      <x:c r="F65" s="21" t="str">
        <x:v>2023 Kimpton Hotel construction high-rise fire</x:v>
      </x:c>
      <x:c r="G65" s="39" t="n">
        <x:v>44987</x:v>
      </x:c>
      <x:c r="H65" s="21" t="str">
        <x:v>The Kimpton高层建筑火灾；建筑高度记录为 175 m。死亡人数：0。Occurred during construction</x:v>
      </x:c>
      <x:c r="I65" s="21" t="str">
        <x:v>未检索到/待核实</x:v>
      </x:c>
      <x:c r="J65" s="21" t="str">
        <x:v>死亡人数：0。Occurred during construction</x:v>
      </x:c>
      <x:c r="K65" s="21" t="str">
        <x:v>https://en.wikipedia.org/wiki/List_of_fires_in_high-rise_buildings</x:v>
      </x:c>
      <x:c r="L65" s="27" t="n">
        <x:v>22.27832</x:v>
      </x:c>
      <x:c r="M65" s="27" t="n">
        <x:v>114.17469</x:v>
      </x:c>
      <x:c r="N65" s="21" t="str">
        <x:v>城市代表点（来源明确说明不是火场坐标）</x:v>
      </x:c>
      <x:c r="O65" s="21" t="str">
        <x:v>高层建筑火灾</x:v>
      </x:c>
      <x:c r="P65" s="21" t="str">
        <x:v>hotel</x:v>
      </x:c>
      <x:c r="Q65" s="21" t="str">
        <x:v>175 m</x:v>
      </x:c>
      <x:c r="R65" s="21" t="str">
        <x:v>48</x:v>
      </x:c>
      <x:c r="S65" s="21" t="str">
        <x:v>未检索到</x:v>
      </x:c>
      <x:c r="T65" s="42" t="n">
        <x:v>0</x:v>
      </x:c>
      <x:c r="U65" s="42" t="n">
        <x:v>2</x:v>
      </x:c>
      <x:c r="V65" s="42"/>
      <x:c r="W65" s="33" t="str">
        <x:v>C</x:v>
      </x:c>
      <x:c r="X65" s="33" t="str">
        <x:v>compendium_needs_independent_verification</x:v>
      </x:c>
      <x:c r="Y65" s="33" t="str">
        <x:v>专题汇编记录</x:v>
      </x:c>
      <x:c r="Z65" s="21" t="str">
        <x:v>Wikipedia高层建筑专题表；需补充独立来源核验</x:v>
      </x:c>
      <x:c r="AA65" s="21" t="str">
        <x:v>List of fires in high-rise buildings | List of high-rise façade fires | Wikipedia dynamic high-rise list (candidate discovery) | Wikipedia high-rise façade list; derived from Bonner et al./news (candidate discovery)</x:v>
      </x:c>
      <x:c r="AB65" s="21" t="str">
        <x:v>Wikipedia专题列表 | 批量来源代理</x:v>
      </x:c>
      <x:c r="AC65" s="21" t="str">
        <x:v>https://en.wikipedia.org/wiki/List_of_high-rise_fa%C3%A7ade_fires | https://www.scmp.com/news/hong-kong/society/article/3212594/fire-pump-not-working-order-when-massive-blaze-engulfed-hong-kong-skyscraper-authorities-reveal</x:v>
      </x:c>
      <x:c r="AD65" s="21" t="n">
        <x:v>3</x:v>
      </x:c>
      <x:c r="AE65" s="21" t="str">
        <x:v>可访问(200)</x:v>
      </x:c>
      <x:c r="AF65" s="21" t="str">
        <x:v>https://en.wikipedia.org/wiki/List_of_high-rise_fa%C3%A7ade_fires =&gt; 可访问(200) | https://www.scmp.com/news/hong-kong/society/article/3212594/fire-pump-not-working-order-when-massive-blaze-engulfed-hong-kong-skyscraper-authorities-reveal =&gt; 可访问(200)</x:v>
      </x:c>
      <x:c r="AG65" s="24" t="n">
        <x:v>46260</x:v>
      </x:c>
      <x:c r="AH65" s="21" t="str"/>
      <x:c r="AI65" s="21" t="n">
        <x:v>1</x:v>
      </x:c>
      <x:c r="AJ65" s="21" t="str">
        <x:v>未评估（本事件表不建立热浪因果关系）</x:v>
      </x:c>
      <x:c r="AK65" s="21" t="str">
        <x:v>缺失/待核实</x:v>
      </x:c>
    </x:row>
    <x:row r="66" ht="42" customHeight="1">
      <x:c r="A66" s="33" t="n">
        <x:v>65</x:v>
      </x:c>
      <x:c r="B66" s="33" t="str">
        <x:v>HRF-0065</x:v>
      </x:c>
      <x:c r="C66" s="36" t="str">
        <x:v>亚洲</x:v>
      </x:c>
      <x:c r="D66" s="36" t="str">
        <x:v>Vietnam</x:v>
      </x:c>
      <x:c r="E66" s="21" t="str">
        <x:v>Hanoi</x:v>
      </x:c>
      <x:c r="F66" s="21" t="str">
        <x:v>2023 Hanoi high-rise apartment fire</x:v>
      </x:c>
      <x:c r="G66" s="39" t="n">
        <x:v>45181</x:v>
      </x:c>
      <x:c r="H66" s="21" t="str">
        <x:v>Unnamed Apartment Block高层建筑火灾；建筑高度记录为 未列明。死亡人数：56。2023 Hanoi building fire</x:v>
      </x:c>
      <x:c r="I66" s="21" t="str">
        <x:v>未检索到/待核实</x:v>
      </x:c>
      <x:c r="J66" s="21" t="str">
        <x:v>死亡人数：56。2023 Hanoi building fire</x:v>
      </x:c>
      <x:c r="K66" s="21" t="str">
        <x:v>https://en.wikipedia.org/wiki/2023_Hanoi_building_fire</x:v>
      </x:c>
      <x:c r="L66" s="27" t="n">
        <x:v>21.0245</x:v>
      </x:c>
      <x:c r="M66" s="27" t="n">
        <x:v>105.84117</x:v>
      </x:c>
      <x:c r="N66" s="21" t="str">
        <x:v>城市代表点（来源明确说明不是火场坐标）</x:v>
      </x:c>
      <x:c r="O66" s="21" t="str">
        <x:v>高层建筑火灾</x:v>
      </x:c>
      <x:c r="P66" s="21" t="str">
        <x:v>residential</x:v>
      </x:c>
      <x:c r="Q66" s="21" t="str">
        <x:v>未检索到</x:v>
      </x:c>
      <x:c r="R66" s="21" t="str">
        <x:v>未检索到</x:v>
      </x:c>
      <x:c r="S66" s="21" t="str">
        <x:v>未检索到</x:v>
      </x:c>
      <x:c r="T66" s="42" t="n">
        <x:v>56</x:v>
      </x:c>
      <x:c r="U66" s="42"/>
      <x:c r="V66" s="42"/>
      <x:c r="W66" s="33" t="str">
        <x:v>B</x:v>
      </x:c>
      <x:c r="X66" s="33" t="str">
        <x:v>compendium_needs_independent_verification</x:v>
      </x:c>
      <x:c r="Y66" s="33" t="str">
        <x:v>专题汇编记录</x:v>
      </x:c>
      <x:c r="Z66" s="21" t="str">
        <x:v>Wikipedia具名事件页+高层建筑专题表</x:v>
      </x:c>
      <x:c r="AA66" s="21" t="str">
        <x:v>List of fires in high-rise buildings | Wikipedia dynamic high-rise list (candidate discovery)</x:v>
      </x:c>
      <x:c r="AB66" s="21" t="str">
        <x:v>Wikipedia专题列表 | 批量来源代理</x:v>
      </x:c>
      <x:c r="AC66" s="21" t="str">
        <x:v>https://en.wikipedia.org/wiki/List_of_fires_in_high-rise_buildings</x:v>
      </x:c>
      <x:c r="AD66" s="21" t="n">
        <x:v>2</x:v>
      </x:c>
      <x:c r="AE66" s="21" t="str">
        <x:v>可访问(200)</x:v>
      </x:c>
      <x:c r="AF66" s="21" t="str">
        <x:v>https://en.wikipedia.org/wiki/List_of_fires_in_high-rise_buildings =&gt; 可访问(200)</x:v>
      </x:c>
      <x:c r="AG66" s="24" t="n">
        <x:v>46260</x:v>
      </x:c>
      <x:c r="AH66" s="21" t="str"/>
      <x:c r="AI66" s="21" t="n">
        <x:v>1</x:v>
      </x:c>
      <x:c r="AJ66" s="21" t="str">
        <x:v>未评估（本事件表不建立热浪因果关系）</x:v>
      </x:c>
      <x:c r="AK66" s="21" t="str">
        <x:v>缺失/待核实</x:v>
      </x:c>
    </x:row>
    <x:row r="67" ht="42" customHeight="1">
      <x:c r="A67" s="33" t="n">
        <x:v>66</x:v>
      </x:c>
      <x:c r="B67" s="33" t="str">
        <x:v>HRF-0066</x:v>
      </x:c>
      <x:c r="C67" s="36" t="str">
        <x:v>亚洲</x:v>
      </x:c>
      <x:c r="D67" s="36" t="str">
        <x:v>China</x:v>
      </x:c>
      <x:c r="E67" s="21" t="str">
        <x:v>Hong Kong</x:v>
      </x:c>
      <x:c r="F67" s="21" t="str">
        <x:v>The Kimpton Hotel, formerly the Mariner's Club (Tsim Sha Tsui) fire</x:v>
      </x:c>
      <x:c r="G67" s="39" t="n">
        <x:v>45190</x:v>
      </x:c>
      <x:c r="H67" s="21" t="str">
        <x:v>The Kimpton Hotel, formerly the Mariner's Club (Tsim Sha Tsui)高层建筑外立面火灾。死亡 0，受伤 0；表中记录的受影响楼层为 48。</x:v>
      </x:c>
      <x:c r="I67" s="21" t="str">
        <x:v>未检索到/待核实</x:v>
      </x:c>
      <x:c r="J67" s="21" t="str">
        <x:v>死亡 0，受伤 0；表中记录的受影响楼层为 48。</x:v>
      </x:c>
      <x:c r="K67" s="21" t="str">
        <x:v>https://www.weekendhk.com/weekspecial/%e5%b0%96%e6%b2%99%e5%92%80%e5%a4%a7%e7%81%ab-%e6%b5%b7%e5%93%a1%e4%b9%8b%e5%ae%b6-%e7%81%ab%e8%ad%a6-ctb084-by-1477491/?utm_campaign=WW_Sharing&amp;utm_medium=Message_WW&amp;utm_source=Copy_link</x:v>
      </x:c>
      <x:c r="L67" s="27"/>
      <x:c r="M67" s="27"/>
      <x:c r="N67" s="21" t="str">
        <x:v>未提供坐标</x:v>
      </x:c>
      <x:c r="O67" s="21" t="str">
        <x:v>高层建筑外立面火灾</x:v>
      </x:c>
      <x:c r="P67" s="21" t="str">
        <x:v>hotel</x:v>
      </x:c>
      <x:c r="Q67" s="21" t="str">
        <x:v>未检索到</x:v>
      </x:c>
      <x:c r="R67" s="21" t="str">
        <x:v>48</x:v>
      </x:c>
      <x:c r="S67" s="21" t="str">
        <x:v>未检索到</x:v>
      </x:c>
      <x:c r="T67" s="42" t="n">
        <x:v>0</x:v>
      </x:c>
      <x:c r="U67" s="42" t="n">
        <x:v>0</x:v>
      </x:c>
      <x:c r="V67" s="42"/>
      <x:c r="W67" s="33" t="str">
        <x:v>C</x:v>
      </x:c>
      <x:c r="X67" s="33" t="str">
        <x:v>compendium_needs_independent_verification</x:v>
      </x:c>
      <x:c r="Y67" s="33" t="str">
        <x:v>专题汇编记录</x:v>
      </x:c>
      <x:c r="Z67" s="21" t="str">
        <x:v>Wikipedia高层专题表；需补充独立来源核验</x:v>
      </x:c>
      <x:c r="AA67" s="21" t="str">
        <x:v>List of high-rise façade fires | Wikipedia high-rise façade list; derived from Bonner et al./news (candidate discovery)</x:v>
      </x:c>
      <x:c r="AB67" s="21" t="str">
        <x:v>Wikipedia专题列表 | 批量来源代理</x:v>
      </x:c>
      <x:c r="AC67" s="21" t="str">
        <x:v>https://en.wikipedia.org/wiki/List_of_high-rise_fa%C3%A7ade_fires</x:v>
      </x:c>
      <x:c r="AD67" s="21" t="n">
        <x:v>2</x:v>
      </x:c>
      <x:c r="AE67" s="21" t="str">
        <x:v>可访问(200)</x:v>
      </x:c>
      <x:c r="AF67" s="21" t="str">
        <x:v>https://en.wikipedia.org/wiki/List_of_high-rise_fa%C3%A7ade_fires =&gt; 可访问(200)</x:v>
      </x:c>
      <x:c r="AG67" s="24" t="n">
        <x:v>46260</x:v>
      </x:c>
      <x:c r="AH67" s="21" t="str"/>
      <x:c r="AI67" s="21" t="n">
        <x:v>1</x:v>
      </x:c>
      <x:c r="AJ67" s="21" t="str">
        <x:v>未评估（本事件表不建立热浪因果关系）</x:v>
      </x:c>
      <x:c r="AK67" s="21" t="str">
        <x:v>缺失/待核实</x:v>
      </x:c>
    </x:row>
    <x:row r="68" ht="42" customHeight="1">
      <x:c r="A68" s="33" t="n">
        <x:v>67</x:v>
      </x:c>
      <x:c r="B68" s="33" t="str">
        <x:v>HRF-0067</x:v>
      </x:c>
      <x:c r="C68" s="36" t="str">
        <x:v>亚洲</x:v>
      </x:c>
      <x:c r="D68" s="36" t="str">
        <x:v>China</x:v>
      </x:c>
      <x:c r="E68" s="21" t="str">
        <x:v>Nanjing</x:v>
      </x:c>
      <x:c r="F68" s="21" t="str">
        <x:v>2024 Nanjing Yuhuatai high-rise fire</x:v>
      </x:c>
      <x:c r="G68" s="39" t="n">
        <x:v>45345</x:v>
      </x:c>
      <x:c r="H68" s="21" t="str">
        <x:v>Unnamed Highrise高层建筑火灾；建筑高度记录为 未列明。死亡人数：15。2024 Nanjing building fire</x:v>
      </x:c>
      <x:c r="I68" s="21" t="str">
        <x:v>未检索到/待核实</x:v>
      </x:c>
      <x:c r="J68" s="21" t="str">
        <x:v>死亡人数：15。2024 Nanjing building fire</x:v>
      </x:c>
      <x:c r="K68" s="21" t="str">
        <x:v>https://en.wikipedia.org/wiki/2024_Nanjing_building_fire</x:v>
      </x:c>
      <x:c r="L68" s="27" t="n">
        <x:v>32.06167</x:v>
      </x:c>
      <x:c r="M68" s="27" t="n">
        <x:v>118.77778</x:v>
      </x:c>
      <x:c r="N68" s="21" t="str">
        <x:v>城市代表点（来源明确说明不是火场坐标）</x:v>
      </x:c>
      <x:c r="O68" s="21" t="str">
        <x:v>高层建筑火灾</x:v>
      </x:c>
      <x:c r="P68" s="21" t="str">
        <x:v>未检索到</x:v>
      </x:c>
      <x:c r="Q68" s="21" t="str">
        <x:v>未检索到</x:v>
      </x:c>
      <x:c r="R68" s="21" t="str">
        <x:v>未检索到</x:v>
      </x:c>
      <x:c r="S68" s="21" t="str">
        <x:v>未检索到</x:v>
      </x:c>
      <x:c r="T68" s="42" t="n">
        <x:v>15</x:v>
      </x:c>
      <x:c r="U68" s="42"/>
      <x:c r="V68" s="42"/>
      <x:c r="W68" s="33" t="str">
        <x:v>B</x:v>
      </x:c>
      <x:c r="X68" s="33" t="str">
        <x:v>compendium_needs_independent_verification</x:v>
      </x:c>
      <x:c r="Y68" s="33" t="str">
        <x:v>专题汇编记录</x:v>
      </x:c>
      <x:c r="Z68" s="21" t="str">
        <x:v>Wikipedia具名事件页+高层建筑专题表</x:v>
      </x:c>
      <x:c r="AA68" s="21" t="str">
        <x:v>List of fires in high-rise buildings | Wikipedia dynamic high-rise list (candidate discovery)</x:v>
      </x:c>
      <x:c r="AB68" s="21" t="str">
        <x:v>Wikipedia专题列表 | 批量来源代理</x:v>
      </x:c>
      <x:c r="AC68" s="21" t="str">
        <x:v>https://en.wikipedia.org/wiki/List_of_fires_in_high-rise_buildings</x:v>
      </x:c>
      <x:c r="AD68" s="21" t="n">
        <x:v>2</x:v>
      </x:c>
      <x:c r="AE68" s="21" t="str">
        <x:v>可访问(200)</x:v>
      </x:c>
      <x:c r="AF68" s="21" t="str">
        <x:v>https://en.wikipedia.org/wiki/List_of_fires_in_high-rise_buildings =&gt; 可访问(200)</x:v>
      </x:c>
      <x:c r="AG68" s="24" t="n">
        <x:v>46260</x:v>
      </x:c>
      <x:c r="AH68" s="21" t="str"/>
      <x:c r="AI68" s="21" t="n">
        <x:v>1</x:v>
      </x:c>
      <x:c r="AJ68" s="21" t="str">
        <x:v>未评估（本事件表不建立热浪因果关系）</x:v>
      </x:c>
      <x:c r="AK68" s="21" t="str">
        <x:v>缺失/待核实</x:v>
      </x:c>
    </x:row>
    <x:row r="69" ht="42" customHeight="1">
      <x:c r="A69" s="33" t="n">
        <x:v>68</x:v>
      </x:c>
      <x:c r="B69" s="33" t="str">
        <x:v>HRF-0068</x:v>
      </x:c>
      <x:c r="C69" s="36" t="str">
        <x:v>亚洲</x:v>
      </x:c>
      <x:c r="D69" s="36" t="str">
        <x:v>Bangladesh</x:v>
      </x:c>
      <x:c r="E69" s="21" t="str">
        <x:v>Dhaka</x:v>
      </x:c>
      <x:c r="F69" s="21" t="str">
        <x:v>2024 Dhaka Bailey Road high-rise fire</x:v>
      </x:c>
      <x:c r="G69" s="39" t="n">
        <x:v>45351</x:v>
      </x:c>
      <x:c r="H69" s="21" t="str">
        <x:v>Green Cozy Cottage Shopping Mall高层建筑火灾；建筑高度记录为 未列明。死亡人数：46。2024 Dhaka Bailey Road fire</x:v>
      </x:c>
      <x:c r="I69" s="21" t="str">
        <x:v>未检索到/待核实</x:v>
      </x:c>
      <x:c r="J69" s="21" t="str">
        <x:v>死亡人数：46。2024 Dhaka Bailey Road fire</x:v>
      </x:c>
      <x:c r="K69" s="21" t="str">
        <x:v>https://en.wikipedia.org/wiki/2024_Dhaka_Bailey_Road_fire</x:v>
      </x:c>
      <x:c r="L69" s="27" t="n">
        <x:v>23.7104</x:v>
      </x:c>
      <x:c r="M69" s="27" t="n">
        <x:v>90.40744</x:v>
      </x:c>
      <x:c r="N69" s="21" t="str">
        <x:v>城市代表点（来源明确说明不是火场坐标）</x:v>
      </x:c>
      <x:c r="O69" s="21" t="str">
        <x:v>高层建筑火灾</x:v>
      </x:c>
      <x:c r="P69" s="21" t="str">
        <x:v>commercial/retail</x:v>
      </x:c>
      <x:c r="Q69" s="21" t="str">
        <x:v>未检索到</x:v>
      </x:c>
      <x:c r="R69" s="21" t="str">
        <x:v>未检索到</x:v>
      </x:c>
      <x:c r="S69" s="21" t="str">
        <x:v>未检索到</x:v>
      </x:c>
      <x:c r="T69" s="42" t="n">
        <x:v>46</x:v>
      </x:c>
      <x:c r="U69" s="42"/>
      <x:c r="V69" s="42"/>
      <x:c r="W69" s="33" t="str">
        <x:v>B</x:v>
      </x:c>
      <x:c r="X69" s="33" t="str">
        <x:v>compendium_needs_independent_verification</x:v>
      </x:c>
      <x:c r="Y69" s="33" t="str">
        <x:v>专题汇编记录</x:v>
      </x:c>
      <x:c r="Z69" s="21" t="str">
        <x:v>Wikipedia具名事件页+高层建筑专题表</x:v>
      </x:c>
      <x:c r="AA69" s="21" t="str">
        <x:v>List of fires in high-rise buildings | Wikipedia dynamic high-rise list (candidate discovery)</x:v>
      </x:c>
      <x:c r="AB69" s="21" t="str">
        <x:v>Wikipedia专题列表 | 批量来源代理</x:v>
      </x:c>
      <x:c r="AC69" s="21" t="str">
        <x:v>https://en.wikipedia.org/wiki/List_of_fires_in_high-rise_buildings</x:v>
      </x:c>
      <x:c r="AD69" s="21" t="n">
        <x:v>2</x:v>
      </x:c>
      <x:c r="AE69" s="21" t="str">
        <x:v>可访问(200)</x:v>
      </x:c>
      <x:c r="AF69" s="21" t="str">
        <x:v>https://en.wikipedia.org/wiki/List_of_fires_in_high-rise_buildings =&gt; 可访问(200)</x:v>
      </x:c>
      <x:c r="AG69" s="24" t="n">
        <x:v>46260</x:v>
      </x:c>
      <x:c r="AH69" s="21" t="str"/>
      <x:c r="AI69" s="21" t="n">
        <x:v>1</x:v>
      </x:c>
      <x:c r="AJ69" s="21" t="str">
        <x:v>未评估（本事件表不建立热浪因果关系）</x:v>
      </x:c>
      <x:c r="AK69" s="21" t="str">
        <x:v>缺失/待核实</x:v>
      </x:c>
    </x:row>
    <x:row r="70" ht="42" customHeight="1">
      <x:c r="A70" s="33" t="n">
        <x:v>69</x:v>
      </x:c>
      <x:c r="B70" s="33" t="str">
        <x:v>HRF-0069</x:v>
      </x:c>
      <x:c r="C70" s="36" t="str">
        <x:v>亚洲</x:v>
      </x:c>
      <x:c r="D70" s="36" t="str">
        <x:v>United Arab Emirates</x:v>
      </x:c>
      <x:c r="E70" s="21" t="str">
        <x:v>未检索到</x:v>
      </x:c>
      <x:c r="F70" s="21" t="str">
        <x:v>4 April – A fire at a 39-story residential apartment building in Sharjah, United Arab Emirates, killed five people and i</x:v>
      </x:c>
      <x:c r="G70" s="39" t="n">
        <x:v>45386</x:v>
      </x:c>
      <x:c r="H70" s="21" t="str">
        <x:v>4 April – A fire at a 39-story residential apartment building in Sharjah, United Arab Emirates, killed five people and injured 44 others.</x:v>
      </x:c>
      <x:c r="I70" s="21" t="str">
        <x:v>未检索到/待核实</x:v>
      </x:c>
      <x:c r="J70" s="21" t="str">
        <x:v>4 April – A fire at a 39-story residential apartment building in Sharjah, United Arab Emirates, killed five people and injured 44 others.</x:v>
      </x:c>
      <x:c r="K70" s="21" t="str">
        <x:v>https://english.alarabiya.net/News/gulf/2024/04/06/sharjah-building-fire-leaves-5-dead-dozens-hospitalized</x:v>
      </x:c>
      <x:c r="L70" s="27"/>
      <x:c r="M70" s="27"/>
      <x:c r="N70" s="21" t="str">
        <x:v>未提供坐标</x:v>
      </x:c>
      <x:c r="O70" s="21" t="str">
        <x:v>建筑/结构火灾</x:v>
      </x:c>
      <x:c r="P70" s="21" t="str">
        <x:v>未检索到</x:v>
      </x:c>
      <x:c r="Q70" s="21" t="str">
        <x:v>39-story</x:v>
      </x:c>
      <x:c r="R70" s="21" t="str">
        <x:v>未检索到</x:v>
      </x:c>
      <x:c r="S70" s="21" t="str">
        <x:v>未检索到</x:v>
      </x:c>
      <x:c r="T70" s="42"/>
      <x:c r="U70" s="42"/>
      <x:c r="V70" s="42"/>
      <x:c r="W70" s="33" t="str">
        <x:v>C</x:v>
      </x:c>
      <x:c r="X70" s="33" t="str">
        <x:v>candidate_needs_highrise_confirmation</x:v>
      </x:c>
      <x:c r="Y70" s="33" t="str">
        <x:v>候选待核实</x:v>
      </x:c>
      <x:c r="Z70" s="21" t="str">
        <x:v>候选：Wikipedia列表条目；需确认高层属性及独立来源</x:v>
      </x:c>
      <x:c r="AA70" s="21" t="str">
        <x:v>List of building or structure fires</x:v>
      </x:c>
      <x:c r="AB70" s="21" t="str">
        <x:v>Wikipedia专题列表</x:v>
      </x:c>
      <x:c r="AC70" s="21" t="str"/>
      <x:c r="AD70" s="21" t="n">
        <x:v>1</x:v>
      </x:c>
      <x:c r="AE70" s="21" t="str">
        <x:v>受限(403)</x:v>
      </x:c>
      <x:c r="AF70" s="21" t="str"/>
      <x:c r="AG70" s="24" t="n">
        <x:v>46260</x:v>
      </x:c>
      <x:c r="AH70" s="21" t="str"/>
      <x:c r="AI70" s="21" t="n">
        <x:v>1</x:v>
      </x:c>
      <x:c r="AJ70" s="21" t="str">
        <x:v>未评估（本事件表不建立热浪因果关系）</x:v>
      </x:c>
      <x:c r="AK70" s="21" t="str">
        <x:v>缺失/待核实</x:v>
      </x:c>
    </x:row>
    <x:row r="71" ht="42" customHeight="1">
      <x:c r="A71" s="33" t="n">
        <x:v>70</x:v>
      </x:c>
      <x:c r="B71" s="33" t="str">
        <x:v>HRF-0070</x:v>
      </x:c>
      <x:c r="C71" s="36" t="str">
        <x:v>亚洲</x:v>
      </x:c>
      <x:c r="D71" s="36" t="str">
        <x:v>Turkey</x:v>
      </x:c>
      <x:c r="E71" s="21" t="str">
        <x:v>Bolu</x:v>
      </x:c>
      <x:c r="F71" s="21" t="str">
        <x:v>2025 Kartalkaya hotel fire</x:v>
      </x:c>
      <x:c r="G71" s="39" t="n">
        <x:v>45678</x:v>
      </x:c>
      <x:c r="H71" s="21" t="str">
        <x:v>Grand Kartal Hotel高层建筑火灾；建筑高度记录为 43.50 m。死亡人数：79。2025 Kartalkaya hotel fire</x:v>
      </x:c>
      <x:c r="I71" s="21" t="str">
        <x:v>未检索到/待核实</x:v>
      </x:c>
      <x:c r="J71" s="21" t="str">
        <x:v>死亡人数：79。2025 Kartalkaya hotel fire</x:v>
      </x:c>
      <x:c r="K71" s="21" t="str">
        <x:v>https://en.wikipedia.org/wiki/2025_Kartalkaya_hotel_fire</x:v>
      </x:c>
      <x:c r="L71" s="27" t="n">
        <x:v>40.73583</x:v>
      </x:c>
      <x:c r="M71" s="27" t="n">
        <x:v>31.60611</x:v>
      </x:c>
      <x:c r="N71" s="21" t="str">
        <x:v>城市代表点（GeoNames；不是建筑精确坐标）</x:v>
      </x:c>
      <x:c r="O71" s="21" t="str">
        <x:v>高层建筑火灾</x:v>
      </x:c>
      <x:c r="P71" s="21" t="str">
        <x:v>hotel</x:v>
      </x:c>
      <x:c r="Q71" s="21" t="str">
        <x:v>43.50 m</x:v>
      </x:c>
      <x:c r="R71" s="21" t="str">
        <x:v>未检索到</x:v>
      </x:c>
      <x:c r="S71" s="21" t="str">
        <x:v>未检索到</x:v>
      </x:c>
      <x:c r="T71" s="42" t="n">
        <x:v>79</x:v>
      </x:c>
      <x:c r="U71" s="42"/>
      <x:c r="V71" s="42"/>
      <x:c r="W71" s="33" t="str">
        <x:v>B</x:v>
      </x:c>
      <x:c r="X71" s="33" t="str">
        <x:v>compendium_needs_independent_verification</x:v>
      </x:c>
      <x:c r="Y71" s="33" t="str">
        <x:v>专题汇编记录</x:v>
      </x:c>
      <x:c r="Z71" s="21" t="str">
        <x:v>Wikipedia具名事件页+高层建筑专题表</x:v>
      </x:c>
      <x:c r="AA71" s="21" t="str">
        <x:v>List of fires in high-rise buildings | Wikipedia dynamic high-rise list (candidate discovery)</x:v>
      </x:c>
      <x:c r="AB71" s="21" t="str">
        <x:v>Wikipedia专题列表 | 批量来源代理</x:v>
      </x:c>
      <x:c r="AC71" s="21" t="str">
        <x:v>https://en.wikipedia.org/wiki/List_of_fires_in_high-rise_buildings</x:v>
      </x:c>
      <x:c r="AD71" s="21" t="n">
        <x:v>2</x:v>
      </x:c>
      <x:c r="AE71" s="21" t="str">
        <x:v>可访问(200)</x:v>
      </x:c>
      <x:c r="AF71" s="21" t="str">
        <x:v>https://en.wikipedia.org/wiki/List_of_fires_in_high-rise_buildings =&gt; 可访问(200)</x:v>
      </x:c>
      <x:c r="AG71" s="24" t="n">
        <x:v>46260</x:v>
      </x:c>
      <x:c r="AH71" s="21" t="str"/>
      <x:c r="AI71" s="21" t="n">
        <x:v>1</x:v>
      </x:c>
      <x:c r="AJ71" s="21" t="str">
        <x:v>未评估（本事件表不建立热浪因果关系）</x:v>
      </x:c>
      <x:c r="AK71" s="21" t="str">
        <x:v>缺失/待核实</x:v>
      </x:c>
    </x:row>
    <x:row r="72" ht="42" customHeight="1">
      <x:c r="A72" s="33" t="n">
        <x:v>71</x:v>
      </x:c>
      <x:c r="B72" s="33" t="str">
        <x:v>HRF-0071</x:v>
      </x:c>
      <x:c r="C72" s="36" t="str">
        <x:v>亚洲</x:v>
      </x:c>
      <x:c r="D72" s="36" t="str">
        <x:v>United Arab Emirates</x:v>
      </x:c>
      <x:c r="E72" s="21" t="str">
        <x:v>Dubai</x:v>
      </x:c>
      <x:c r="F72" s="21" t="str">
        <x:v>Marina Pinnacle fire</x:v>
      </x:c>
      <x:c r="G72" s="39" t="n">
        <x:v>45821</x:v>
      </x:c>
      <x:c r="H72" s="21" t="str">
        <x:v>Marina Pinnacle高层建筑火灾；建筑高度记录为 280 m。死亡人数：0。</x:v>
      </x:c>
      <x:c r="I72" s="21" t="str">
        <x:v>未检索到/待核实</x:v>
      </x:c>
      <x:c r="J72" s="21" t="str">
        <x:v>死亡人数：0。</x:v>
      </x:c>
      <x:c r="K72" s="21" t="str">
        <x:v>https://gulfnews.com/uae/dubai-marina-tower-fire-civil-defence-saves-3820-lives-in-heroic-rescue-1.500163499</x:v>
      </x:c>
      <x:c r="L72" s="27" t="n">
        <x:v>25.07725</x:v>
      </x:c>
      <x:c r="M72" s="27" t="n">
        <x:v>55.30927</x:v>
      </x:c>
      <x:c r="N72" s="21" t="str">
        <x:v>城市代表点（来源明确说明不是火场坐标）</x:v>
      </x:c>
      <x:c r="O72" s="21" t="str">
        <x:v>高层建筑火灾</x:v>
      </x:c>
      <x:c r="P72" s="21" t="str">
        <x:v>未检索到</x:v>
      </x:c>
      <x:c r="Q72" s="21" t="str">
        <x:v>280 m</x:v>
      </x:c>
      <x:c r="R72" s="21" t="str">
        <x:v>未检索到</x:v>
      </x:c>
      <x:c r="S72" s="21" t="str">
        <x:v>未检索到</x:v>
      </x:c>
      <x:c r="T72" s="42" t="n">
        <x:v>0</x:v>
      </x:c>
      <x:c r="U72" s="42"/>
      <x:c r="V72" s="42"/>
      <x:c r="W72" s="33" t="str">
        <x:v>C</x:v>
      </x:c>
      <x:c r="X72" s="33" t="str">
        <x:v>compendium_needs_independent_verification</x:v>
      </x:c>
      <x:c r="Y72" s="33" t="str">
        <x:v>专题汇编记录</x:v>
      </x:c>
      <x:c r="Z72" s="21" t="str">
        <x:v>Wikipedia高层建筑专题表；需补充独立来源核验</x:v>
      </x:c>
      <x:c r="AA72" s="21" t="str">
        <x:v>List of fires in high-rise buildings | Wikipedia dynamic high-rise list (candidate discovery)</x:v>
      </x:c>
      <x:c r="AB72" s="21" t="str">
        <x:v>Wikipedia专题列表 | 批量来源代理</x:v>
      </x:c>
      <x:c r="AC72" s="21" t="str">
        <x:v>https://en.wikipedia.org/wiki/List_of_fires_in_high-rise_buildings</x:v>
      </x:c>
      <x:c r="AD72" s="21" t="n">
        <x:v>2</x:v>
      </x:c>
      <x:c r="AE72" s="21" t="str">
        <x:v>可访问(200)</x:v>
      </x:c>
      <x:c r="AF72" s="21" t="str">
        <x:v>https://en.wikipedia.org/wiki/List_of_fires_in_high-rise_buildings =&gt; 可访问(200)</x:v>
      </x:c>
      <x:c r="AG72" s="24" t="n">
        <x:v>46260</x:v>
      </x:c>
      <x:c r="AH72" s="21" t="str"/>
      <x:c r="AI72" s="21" t="n">
        <x:v>1</x:v>
      </x:c>
      <x:c r="AJ72" s="21" t="str">
        <x:v>未评估（本事件表不建立热浪因果关系）</x:v>
      </x:c>
      <x:c r="AK72" s="21" t="str">
        <x:v>缺失/待核实</x:v>
      </x:c>
    </x:row>
    <x:row r="73" ht="42" customHeight="1">
      <x:c r="A73" s="33" t="n">
        <x:v>72</x:v>
      </x:c>
      <x:c r="B73" s="33" t="str">
        <x:v>HRF-0072</x:v>
      </x:c>
      <x:c r="C73" s="36" t="str">
        <x:v>亚洲</x:v>
      </x:c>
      <x:c r="D73" s="36" t="str">
        <x:v>China</x:v>
      </x:c>
      <x:c r="E73" s="21" t="str">
        <x:v>Central, Hong Kong</x:v>
      </x:c>
      <x:c r="F73" s="21" t="str">
        <x:v>Chinachem Tower fire</x:v>
      </x:c>
      <x:c r="G73" s="39" t="n">
        <x:v>45948</x:v>
      </x:c>
      <x:c r="H73" s="21" t="str">
        <x:v>Chinachem Tower高层建筑外立面火灾。死亡 0，受伤 4；表中记录的受影响楼层为 25。</x:v>
      </x:c>
      <x:c r="I73" s="21" t="str">
        <x:v>未检索到/待核实</x:v>
      </x:c>
      <x:c r="J73" s="21" t="str">
        <x:v>死亡 0，受伤 4；表中记录的受影响楼层为 25。</x:v>
      </x:c>
      <x:c r="K73" s="21" t="str">
        <x:v>https://www.minoafire.org/chinachem-tower#:~:text=external%20works,the%20Fire</x:v>
      </x:c>
      <x:c r="L73" s="27" t="n">
        <x:v>22.28299</x:v>
      </x:c>
      <x:c r="M73" s="27" t="n">
        <x:v>114.15846</x:v>
      </x:c>
      <x:c r="N73" s="21" t="str">
        <x:v>城市代表点（来源明确说明不是火场坐标）</x:v>
      </x:c>
      <x:c r="O73" s="21" t="str">
        <x:v>高层建筑外立面火灾</x:v>
      </x:c>
      <x:c r="P73" s="21" t="str">
        <x:v>未检索到</x:v>
      </x:c>
      <x:c r="Q73" s="21" t="str">
        <x:v>未检索到</x:v>
      </x:c>
      <x:c r="R73" s="21" t="str">
        <x:v>25</x:v>
      </x:c>
      <x:c r="S73" s="21" t="str">
        <x:v>未检索到</x:v>
      </x:c>
      <x:c r="T73" s="42" t="n">
        <x:v>0</x:v>
      </x:c>
      <x:c r="U73" s="42" t="n">
        <x:v>4</x:v>
      </x:c>
      <x:c r="V73" s="42"/>
      <x:c r="W73" s="33" t="str">
        <x:v>C</x:v>
      </x:c>
      <x:c r="X73" s="33" t="str">
        <x:v>compendium_needs_independent_verification</x:v>
      </x:c>
      <x:c r="Y73" s="33" t="str">
        <x:v>专题汇编记录</x:v>
      </x:c>
      <x:c r="Z73" s="21" t="str">
        <x:v>Wikipedia高层专题表；需补充独立来源核验</x:v>
      </x:c>
      <x:c r="AA73" s="21" t="str">
        <x:v>List of high-rise façade fires | Wikipedia high-rise façade list; derived from Bonner et al./news (candidate discovery)</x:v>
      </x:c>
      <x:c r="AB73" s="21" t="str">
        <x:v>Wikipedia专题列表 | 批量来源代理</x:v>
      </x:c>
      <x:c r="AC73" s="21" t="str">
        <x:v>https://en.wikipedia.org/wiki/List_of_high-rise_fa%C3%A7ade_fires</x:v>
      </x:c>
      <x:c r="AD73" s="21" t="n">
        <x:v>2</x:v>
      </x:c>
      <x:c r="AE73" s="21" t="str">
        <x:v>可访问(200)</x:v>
      </x:c>
      <x:c r="AF73" s="21" t="str">
        <x:v>https://en.wikipedia.org/wiki/List_of_high-rise_fa%C3%A7ade_fires =&gt; 可访问(200)</x:v>
      </x:c>
      <x:c r="AG73" s="24" t="n">
        <x:v>46260</x:v>
      </x:c>
      <x:c r="AH73" s="21" t="str"/>
      <x:c r="AI73" s="21" t="n">
        <x:v>1</x:v>
      </x:c>
      <x:c r="AJ73" s="21" t="str">
        <x:v>未评估（本事件表不建立热浪因果关系）</x:v>
      </x:c>
      <x:c r="AK73" s="21" t="str">
        <x:v>缺失/待核实</x:v>
      </x:c>
    </x:row>
    <x:row r="74" ht="42" customHeight="1">
      <x:c r="A74" s="33" t="n">
        <x:v>73</x:v>
      </x:c>
      <x:c r="B74" s="33" t="str">
        <x:v>HRF-0073</x:v>
      </x:c>
      <x:c r="C74" s="36" t="str">
        <x:v>亚洲</x:v>
      </x:c>
      <x:c r="D74" s="36" t="str">
        <x:v>China</x:v>
      </x:c>
      <x:c r="E74" s="21" t="str">
        <x:v>Hong Kong</x:v>
      </x:c>
      <x:c r="F74" s="21" t="str">
        <x:v>Wang Fuk Court fire</x:v>
      </x:c>
      <x:c r="G74" s="39" t="n">
        <x:v>45987</x:v>
      </x:c>
      <x:c r="H74" s="21" t="str">
        <x:v>Wang Fuk Court fire高层建筑外立面火灾。死亡 168，受伤 79；表中记录的受影响楼层为 32。</x:v>
      </x:c>
      <x:c r="I74" s="21" t="str">
        <x:v>未检索到/待核实</x:v>
      </x:c>
      <x:c r="J74" s="21" t="str">
        <x:v>死亡 168，受伤 79；表中记录的受影响楼层为 32。</x:v>
      </x:c>
      <x:c r="K74" s="21" t="str">
        <x:v>https://en.wikipedia.org/wiki/Wang_Fuk_Court_fire</x:v>
      </x:c>
      <x:c r="L74" s="27"/>
      <x:c r="M74" s="27"/>
      <x:c r="N74" s="21" t="str">
        <x:v>未提供坐标</x:v>
      </x:c>
      <x:c r="O74" s="21" t="str">
        <x:v>高层建筑外立面火灾</x:v>
      </x:c>
      <x:c r="P74" s="21" t="str">
        <x:v>未检索到</x:v>
      </x:c>
      <x:c r="Q74" s="21" t="str">
        <x:v>93-108.5 m</x:v>
      </x:c>
      <x:c r="R74" s="21" t="str">
        <x:v>32</x:v>
      </x:c>
      <x:c r="S74" s="21" t="str">
        <x:v>未检索到</x:v>
      </x:c>
      <x:c r="T74" s="42" t="n">
        <x:v>168</x:v>
      </x:c>
      <x:c r="U74" s="42" t="n">
        <x:v>79</x:v>
      </x:c>
      <x:c r="V74" s="42"/>
      <x:c r="W74" s="33" t="str">
        <x:v>B</x:v>
      </x:c>
      <x:c r="X74" s="33" t="str">
        <x:v>compendium_needs_independent_verification</x:v>
      </x:c>
      <x:c r="Y74" s="33" t="str">
        <x:v>专题汇编记录</x:v>
      </x:c>
      <x:c r="Z74" s="21" t="str">
        <x:v>Wikipedia具名事件页+高层专题表</x:v>
      </x:c>
      <x:c r="AA74" s="21" t="str">
        <x:v>List of fires in high-rise buildings | List of high-rise façade fires | Wikipedia high-rise façade list; derived from Bonner et al./news (candidate discovery)</x:v>
      </x:c>
      <x:c r="AB74" s="21" t="str">
        <x:v>Wikipedia专题列表 | 批量来源代理</x:v>
      </x:c>
      <x:c r="AC74" s="21" t="str">
        <x:v>https://en.wikipedia.org/wiki/List_of_high-rise_fa%C3%A7ade_fires</x:v>
      </x:c>
      <x:c r="AD74" s="21" t="n">
        <x:v>2</x:v>
      </x:c>
      <x:c r="AE74" s="21" t="str">
        <x:v>可访问(200)</x:v>
      </x:c>
      <x:c r="AF74" s="21" t="str">
        <x:v>https://en.wikipedia.org/wiki/List_of_high-rise_fa%C3%A7ade_fires =&gt; 可访问(200)</x:v>
      </x:c>
      <x:c r="AG74" s="24" t="n">
        <x:v>46260</x:v>
      </x:c>
      <x:c r="AH74" s="21" t="str"/>
      <x:c r="AI74" s="21" t="n">
        <x:v>1</x:v>
      </x:c>
      <x:c r="AJ74" s="21" t="str">
        <x:v>未评估（本事件表不建立热浪因果关系）</x:v>
      </x:c>
      <x:c r="AK74" s="21" t="str">
        <x:v>缺失/待核实</x:v>
      </x:c>
    </x:row>
    <x:row r="75" ht="42" customHeight="1">
      <x:c r="A75" s="33" t="n">
        <x:v>74</x:v>
      </x:c>
      <x:c r="B75" s="33" t="str">
        <x:v>HRF-0074</x:v>
      </x:c>
      <x:c r="C75" s="36" t="str">
        <x:v>亚洲</x:v>
      </x:c>
      <x:c r="D75" s="36" t="str">
        <x:v>Bahrain</x:v>
      </x:c>
      <x:c r="E75" s="21" t="str">
        <x:v>Manama</x:v>
      </x:c>
      <x:c r="F75" s="21" t="str">
        <x:v>Era View Tower fire</x:v>
      </x:c>
      <x:c r="G75" s="39" t="n">
        <x:v>46081</x:v>
      </x:c>
      <x:c r="H75" s="21" t="str">
        <x:v>Era View Tower高层建筑火灾；建筑高度记录为 未列明。死亡人数：0。Fire following an Iranian suicide drone attack</x:v>
      </x:c>
      <x:c r="I75" s="21" t="str">
        <x:v>conflict-related attack</x:v>
      </x:c>
      <x:c r="J75" s="21" t="str">
        <x:v>死亡人数：0。Fire following an Iranian suicide drone attack</x:v>
      </x:c>
      <x:c r="K75" s="21" t="str">
        <x:v>https://en.wikipedia.org/wiki/List_of_fires_in_high-rise_buildings</x:v>
      </x:c>
      <x:c r="L75" s="27" t="n">
        <x:v>26.22787</x:v>
      </x:c>
      <x:c r="M75" s="27" t="n">
        <x:v>50.58565</x:v>
      </x:c>
      <x:c r="N75" s="21" t="str">
        <x:v>城市代表点（来源明确说明不是火场坐标）</x:v>
      </x:c>
      <x:c r="O75" s="21" t="str">
        <x:v>高层建筑火灾</x:v>
      </x:c>
      <x:c r="P75" s="21" t="str">
        <x:v>未检索到</x:v>
      </x:c>
      <x:c r="Q75" s="21" t="str">
        <x:v>未检索到</x:v>
      </x:c>
      <x:c r="R75" s="21" t="str">
        <x:v>未检索到</x:v>
      </x:c>
      <x:c r="S75" s="21" t="str">
        <x:v>未检索到</x:v>
      </x:c>
      <x:c r="T75" s="42" t="n">
        <x:v>0</x:v>
      </x:c>
      <x:c r="U75" s="42"/>
      <x:c r="V75" s="42"/>
      <x:c r="W75" s="33" t="str">
        <x:v>C</x:v>
      </x:c>
      <x:c r="X75" s="33" t="str">
        <x:v>compendium_needs_independent_verification</x:v>
      </x:c>
      <x:c r="Y75" s="33" t="str">
        <x:v>专题汇编记录</x:v>
      </x:c>
      <x:c r="Z75" s="21" t="str">
        <x:v>Wikipedia高层建筑专题表；需补充独立来源核验</x:v>
      </x:c>
      <x:c r="AA75" s="21" t="str">
        <x:v>List of fires in high-rise buildings | Wikipedia dynamic high-rise list (candidate discovery)</x:v>
      </x:c>
      <x:c r="AB75" s="21" t="str">
        <x:v>Wikipedia专题列表 | 批量来源代理</x:v>
      </x:c>
      <x:c r="AC75" s="21" t="str"/>
      <x:c r="AD75" s="21" t="n">
        <x:v>1</x:v>
      </x:c>
      <x:c r="AE75" s="21" t="str">
        <x:v>可访问(200)</x:v>
      </x:c>
      <x:c r="AF75" s="21" t="str"/>
      <x:c r="AG75" s="24" t="n">
        <x:v>46260</x:v>
      </x:c>
      <x:c r="AH75" s="21" t="str"/>
      <x:c r="AI75" s="21" t="n">
        <x:v>1</x:v>
      </x:c>
      <x:c r="AJ75" s="21" t="str">
        <x:v>未评估（本事件表不建立热浪因果关系）</x:v>
      </x:c>
      <x:c r="AK75" s="21" t="str">
        <x:v>已有来源描述</x:v>
      </x:c>
    </x:row>
    <x:row r="76" ht="42" customHeight="1">
      <x:c r="A76" s="33" t="n">
        <x:v>75</x:v>
      </x:c>
      <x:c r="B76" s="33" t="str">
        <x:v>HRF-0075</x:v>
      </x:c>
      <x:c r="C76" s="36" t="str">
        <x:v>亚洲</x:v>
      </x:c>
      <x:c r="D76" s="36" t="str">
        <x:v>United Arab Emirates</x:v>
      </x:c>
      <x:c r="E76" s="21" t="str">
        <x:v>Dubai</x:v>
      </x:c>
      <x:c r="F76" s="21" t="str">
        <x:v>Burj Al Arab fire</x:v>
      </x:c>
      <x:c r="G76" s="39" t="n">
        <x:v>46082</x:v>
      </x:c>
      <x:c r="H76" s="21" t="str">
        <x:v>Burj Al Arab高层建筑火灾；建筑高度记录为 321 m。死亡人数：0。Fire following an Iranian suicide drone attack</x:v>
      </x:c>
      <x:c r="I76" s="21" t="str">
        <x:v>conflict-related attack</x:v>
      </x:c>
      <x:c r="J76" s="21" t="str">
        <x:v>死亡人数：0。Fire following an Iranian suicide drone attack</x:v>
      </x:c>
      <x:c r="K76" s="21" t="str">
        <x:v>https://en.wikipedia.org/wiki/List_of_fires_in_high-rise_buildings</x:v>
      </x:c>
      <x:c r="L76" s="27" t="n">
        <x:v>25.07725</x:v>
      </x:c>
      <x:c r="M76" s="27" t="n">
        <x:v>55.30927</x:v>
      </x:c>
      <x:c r="N76" s="21" t="str">
        <x:v>城市代表点（来源明确说明不是火场坐标）</x:v>
      </x:c>
      <x:c r="O76" s="21" t="str">
        <x:v>高层建筑火灾</x:v>
      </x:c>
      <x:c r="P76" s="21" t="str">
        <x:v>未检索到</x:v>
      </x:c>
      <x:c r="Q76" s="21" t="str">
        <x:v>321 m</x:v>
      </x:c>
      <x:c r="R76" s="21" t="str">
        <x:v>未检索到</x:v>
      </x:c>
      <x:c r="S76" s="21" t="str">
        <x:v>未检索到</x:v>
      </x:c>
      <x:c r="T76" s="42" t="n">
        <x:v>0</x:v>
      </x:c>
      <x:c r="U76" s="42"/>
      <x:c r="V76" s="42"/>
      <x:c r="W76" s="33" t="str">
        <x:v>C</x:v>
      </x:c>
      <x:c r="X76" s="33" t="str">
        <x:v>compendium_needs_independent_verification</x:v>
      </x:c>
      <x:c r="Y76" s="33" t="str">
        <x:v>专题汇编记录</x:v>
      </x:c>
      <x:c r="Z76" s="21" t="str">
        <x:v>Wikipedia高层建筑专题表；需补充独立来源核验</x:v>
      </x:c>
      <x:c r="AA76" s="21" t="str">
        <x:v>List of fires in high-rise buildings | Wikipedia dynamic high-rise list (candidate discovery)</x:v>
      </x:c>
      <x:c r="AB76" s="21" t="str">
        <x:v>Wikipedia专题列表 | 批量来源代理</x:v>
      </x:c>
      <x:c r="AC76" s="21" t="str"/>
      <x:c r="AD76" s="21" t="n">
        <x:v>1</x:v>
      </x:c>
      <x:c r="AE76" s="21" t="str">
        <x:v>可访问(200)</x:v>
      </x:c>
      <x:c r="AF76" s="21" t="str"/>
      <x:c r="AG76" s="24" t="n">
        <x:v>46260</x:v>
      </x:c>
      <x:c r="AH76" s="21" t="str"/>
      <x:c r="AI76" s="21" t="n">
        <x:v>1</x:v>
      </x:c>
      <x:c r="AJ76" s="21" t="str">
        <x:v>未评估（本事件表不建立热浪因果关系）</x:v>
      </x:c>
      <x:c r="AK76" s="21" t="str">
        <x:v>已有来源描述</x:v>
      </x:c>
    </x:row>
    <x:row r="77" ht="42" customHeight="1">
      <x:c r="A77" s="33" t="n">
        <x:v>76</x:v>
      </x:c>
      <x:c r="B77" s="33" t="str">
        <x:v>HRF-0076</x:v>
      </x:c>
      <x:c r="C77" s="36" t="str">
        <x:v>亚洲</x:v>
      </x:c>
      <x:c r="D77" s="36" t="str">
        <x:v>Kuwait</x:v>
      </x:c>
      <x:c r="E77" s="21" t="str">
        <x:v>Kuwait City</x:v>
      </x:c>
      <x:c r="F77" s="21" t="str">
        <x:v>PIFSS Headquarters fire</x:v>
      </x:c>
      <x:c r="G77" s="39" t="n">
        <x:v>46089</x:v>
      </x:c>
      <x:c r="H77" s="21" t="str">
        <x:v>PIFSS Headquarters高层建筑火灾；建筑高度记录为 未列明。死亡人数：0。Fire following an Iranian suicide drone attack</x:v>
      </x:c>
      <x:c r="I77" s="21" t="str">
        <x:v>conflict-related attack</x:v>
      </x:c>
      <x:c r="J77" s="21" t="str">
        <x:v>死亡人数：0。Fire following an Iranian suicide drone attack</x:v>
      </x:c>
      <x:c r="K77" s="21" t="str">
        <x:v>https://en.wikipedia.org/wiki/List_of_fires_in_high-rise_buildings</x:v>
      </x:c>
      <x:c r="L77" s="27" t="n">
        <x:v>29.367</x:v>
      </x:c>
      <x:c r="M77" s="27" t="n">
        <x:v>47.97429</x:v>
      </x:c>
      <x:c r="N77" s="21" t="str">
        <x:v>城市代表点（来源明确说明不是火场坐标）</x:v>
      </x:c>
      <x:c r="O77" s="21" t="str">
        <x:v>高层建筑火灾</x:v>
      </x:c>
      <x:c r="P77" s="21" t="str">
        <x:v>office/government</x:v>
      </x:c>
      <x:c r="Q77" s="21" t="str">
        <x:v>未检索到</x:v>
      </x:c>
      <x:c r="R77" s="21" t="str">
        <x:v>未检索到</x:v>
      </x:c>
      <x:c r="S77" s="21" t="str">
        <x:v>未检索到</x:v>
      </x:c>
      <x:c r="T77" s="42" t="n">
        <x:v>0</x:v>
      </x:c>
      <x:c r="U77" s="42"/>
      <x:c r="V77" s="42"/>
      <x:c r="W77" s="33" t="str">
        <x:v>C</x:v>
      </x:c>
      <x:c r="X77" s="33" t="str">
        <x:v>compendium_needs_independent_verification</x:v>
      </x:c>
      <x:c r="Y77" s="33" t="str">
        <x:v>专题汇编记录</x:v>
      </x:c>
      <x:c r="Z77" s="21" t="str">
        <x:v>Wikipedia高层建筑专题表；需补充独立来源核验</x:v>
      </x:c>
      <x:c r="AA77" s="21" t="str">
        <x:v>List of fires in high-rise buildings | Wikipedia dynamic high-rise list (candidate discovery)</x:v>
      </x:c>
      <x:c r="AB77" s="21" t="str">
        <x:v>Wikipedia专题列表 | 批量来源代理</x:v>
      </x:c>
      <x:c r="AC77" s="21" t="str"/>
      <x:c r="AD77" s="21" t="n">
        <x:v>1</x:v>
      </x:c>
      <x:c r="AE77" s="21" t="str">
        <x:v>可访问(200)</x:v>
      </x:c>
      <x:c r="AF77" s="21" t="str"/>
      <x:c r="AG77" s="24" t="n">
        <x:v>46260</x:v>
      </x:c>
      <x:c r="AH77" s="21" t="str"/>
      <x:c r="AI77" s="21" t="n">
        <x:v>1</x:v>
      </x:c>
      <x:c r="AJ77" s="21" t="str">
        <x:v>未评估（本事件表不建立热浪因果关系）</x:v>
      </x:c>
      <x:c r="AK77" s="21" t="str">
        <x:v>已有来源描述</x:v>
      </x:c>
    </x:row>
    <x:row r="78" ht="42" customHeight="1">
      <x:c r="A78" s="33" t="n">
        <x:v>77</x:v>
      </x:c>
      <x:c r="B78" s="33" t="str">
        <x:v>HRF-0077</x:v>
      </x:c>
      <x:c r="C78" s="36" t="str">
        <x:v>亚洲</x:v>
      </x:c>
      <x:c r="D78" s="36" t="str">
        <x:v>United Arab Emirates</x:v>
      </x:c>
      <x:c r="E78" s="21" t="str">
        <x:v>Dubai</x:v>
      </x:c>
      <x:c r="F78" s="21" t="str">
        <x:v>Address Grand Creek Harbour Tower 2 fire</x:v>
      </x:c>
      <x:c r="G78" s="39" t="n">
        <x:v>46092</x:v>
      </x:c>
      <x:c r="H78" s="21" t="str">
        <x:v>Address Grand Creek Harbour Tower 2高层建筑火灾；建筑高度记录为 266 m。死亡人数：0。Fire following an Iranian suicide drone attack</x:v>
      </x:c>
      <x:c r="I78" s="21" t="str">
        <x:v>conflict-related attack</x:v>
      </x:c>
      <x:c r="J78" s="21" t="str">
        <x:v>死亡人数：0。Fire following an Iranian suicide drone attack</x:v>
      </x:c>
      <x:c r="K78" s="21" t="str">
        <x:v>https://en.wikipedia.org/wiki/List_of_fires_in_high-rise_buildings</x:v>
      </x:c>
      <x:c r="L78" s="27" t="n">
        <x:v>25.07725</x:v>
      </x:c>
      <x:c r="M78" s="27" t="n">
        <x:v>55.30927</x:v>
      </x:c>
      <x:c r="N78" s="21" t="str">
        <x:v>城市代表点（来源明确说明不是火场坐标）</x:v>
      </x:c>
      <x:c r="O78" s="21" t="str">
        <x:v>高层建筑火灾</x:v>
      </x:c>
      <x:c r="P78" s="21" t="str">
        <x:v>未检索到</x:v>
      </x:c>
      <x:c r="Q78" s="21" t="str">
        <x:v>266 m</x:v>
      </x:c>
      <x:c r="R78" s="21" t="str">
        <x:v>未检索到</x:v>
      </x:c>
      <x:c r="S78" s="21" t="str">
        <x:v>未检索到</x:v>
      </x:c>
      <x:c r="T78" s="42" t="n">
        <x:v>0</x:v>
      </x:c>
      <x:c r="U78" s="42"/>
      <x:c r="V78" s="42"/>
      <x:c r="W78" s="33" t="str">
        <x:v>C</x:v>
      </x:c>
      <x:c r="X78" s="33" t="str">
        <x:v>compendium_needs_independent_verification</x:v>
      </x:c>
      <x:c r="Y78" s="33" t="str">
        <x:v>专题汇编记录</x:v>
      </x:c>
      <x:c r="Z78" s="21" t="str">
        <x:v>Wikipedia高层建筑专题表；需补充独立来源核验</x:v>
      </x:c>
      <x:c r="AA78" s="21" t="str">
        <x:v>List of fires in high-rise buildings | Wikipedia dynamic high-rise list (candidate discovery)</x:v>
      </x:c>
      <x:c r="AB78" s="21" t="str">
        <x:v>Wikipedia专题列表 | 批量来源代理</x:v>
      </x:c>
      <x:c r="AC78" s="21" t="str"/>
      <x:c r="AD78" s="21" t="n">
        <x:v>1</x:v>
      </x:c>
      <x:c r="AE78" s="21" t="str">
        <x:v>可访问(200)</x:v>
      </x:c>
      <x:c r="AF78" s="21" t="str"/>
      <x:c r="AG78" s="24" t="n">
        <x:v>46260</x:v>
      </x:c>
      <x:c r="AH78" s="21" t="str"/>
      <x:c r="AI78" s="21" t="n">
        <x:v>1</x:v>
      </x:c>
      <x:c r="AJ78" s="21" t="str">
        <x:v>未评估（本事件表不建立热浪因果关系）</x:v>
      </x:c>
      <x:c r="AK78" s="21" t="str">
        <x:v>已有来源描述</x:v>
      </x:c>
    </x:row>
    <x:row r="79" ht="42" customHeight="1">
      <x:c r="A79" s="33" t="n">
        <x:v>78</x:v>
      </x:c>
      <x:c r="B79" s="33" t="str">
        <x:v>HRF-0078</x:v>
      </x:c>
      <x:c r="C79" s="36" t="str">
        <x:v>欧洲</x:v>
      </x:c>
      <x:c r="D79" s="36" t="str">
        <x:v>Russia</x:v>
      </x:c>
      <x:c r="E79" s="21" t="str">
        <x:v>Moscow</x:v>
      </x:c>
      <x:c r="F79" s="21" t="str">
        <x:v>Ostankino Tower fire</x:v>
      </x:c>
      <x:c r="G79" s="39" t="n">
        <x:v>36765</x:v>
      </x:c>
      <x:c r="H79" s="21" t="str">
        <x:v>Ostankino Tower高层建筑火灾；建筑高度记录为 540.1 m。死亡人数：3。Tallest structure in Europe</x:v>
      </x:c>
      <x:c r="I79" s="21" t="str">
        <x:v>未检索到/待核实</x:v>
      </x:c>
      <x:c r="J79" s="21" t="str">
        <x:v>死亡人数：3。Tallest structure in Europe</x:v>
      </x:c>
      <x:c r="K79" s="21" t="str">
        <x:v>https://en.wikipedia.org/wiki/List_of_fires_in_high-rise_buildings</x:v>
      </x:c>
      <x:c r="L79" s="27" t="n">
        <x:v>55.75204</x:v>
      </x:c>
      <x:c r="M79" s="27" t="n">
        <x:v>37.61781</x:v>
      </x:c>
      <x:c r="N79" s="21" t="str">
        <x:v>城市代表点（来源明确说明不是火场坐标）</x:v>
      </x:c>
      <x:c r="O79" s="21" t="str">
        <x:v>高层建筑火灾</x:v>
      </x:c>
      <x:c r="P79" s="21" t="str">
        <x:v>未检索到</x:v>
      </x:c>
      <x:c r="Q79" s="21" t="str">
        <x:v>540.1 m</x:v>
      </x:c>
      <x:c r="R79" s="21" t="str">
        <x:v>未检索到</x:v>
      </x:c>
      <x:c r="S79" s="21" t="str">
        <x:v>未检索到</x:v>
      </x:c>
      <x:c r="T79" s="42" t="n">
        <x:v>3</x:v>
      </x:c>
      <x:c r="U79" s="42"/>
      <x:c r="V79" s="42"/>
      <x:c r="W79" s="33" t="str">
        <x:v>C</x:v>
      </x:c>
      <x:c r="X79" s="33" t="str">
        <x:v>compendium_needs_independent_verification</x:v>
      </x:c>
      <x:c r="Y79" s="33" t="str">
        <x:v>专题汇编记录</x:v>
      </x:c>
      <x:c r="Z79" s="21" t="str">
        <x:v>Wikipedia高层建筑专题表；需补充独立来源核验</x:v>
      </x:c>
      <x:c r="AA79" s="21" t="str">
        <x:v>List of fires in high-rise buildings | Wikipedia dynamic high-rise list (candidate discovery)</x:v>
      </x:c>
      <x:c r="AB79" s="21" t="str">
        <x:v>Wikipedia专题列表 | 批量来源代理</x:v>
      </x:c>
      <x:c r="AC79" s="21" t="str"/>
      <x:c r="AD79" s="21" t="n">
        <x:v>1</x:v>
      </x:c>
      <x:c r="AE79" s="21" t="str">
        <x:v>可访问(200)</x:v>
      </x:c>
      <x:c r="AF79" s="21" t="str"/>
      <x:c r="AG79" s="24" t="n">
        <x:v>46260</x:v>
      </x:c>
      <x:c r="AH79" s="21" t="str"/>
      <x:c r="AI79" s="21" t="n">
        <x:v>1</x:v>
      </x:c>
      <x:c r="AJ79" s="21" t="str">
        <x:v>未评估（本事件表不建立热浪因果关系）</x:v>
      </x:c>
      <x:c r="AK79" s="21" t="str">
        <x:v>缺失/待核实</x:v>
      </x:c>
    </x:row>
    <x:row r="80" ht="42" customHeight="1">
      <x:c r="A80" s="33" t="n">
        <x:v>79</x:v>
      </x:c>
      <x:c r="B80" s="33" t="str">
        <x:v>HRF-0079</x:v>
      </x:c>
      <x:c r="C80" s="36" t="str">
        <x:v>欧洲</x:v>
      </x:c>
      <x:c r="D80" s="36" t="str">
        <x:v>Italy</x:v>
      </x:c>
      <x:c r="E80" s="21" t="str">
        <x:v>Milan</x:v>
      </x:c>
      <x:c r="F80" s="21" t="str">
        <x:v>Pirelli Tower fire</x:v>
      </x:c>
      <x:c r="G80" s="39" t="n">
        <x:v>37364</x:v>
      </x:c>
      <x:c r="H80" s="21" t="str">
        <x:v>Pirelli Tower高层建筑火灾；建筑高度记录为 127 m。死亡人数：3。Plane crash</x:v>
      </x:c>
      <x:c r="I80" s="21" t="str">
        <x:v>Plane crash</x:v>
      </x:c>
      <x:c r="J80" s="21" t="str">
        <x:v>死亡人数：3。Plane crash</x:v>
      </x:c>
      <x:c r="K80" s="21" t="str">
        <x:v>https://en.wikipedia.org/wiki/List_of_fires_in_high-rise_buildings</x:v>
      </x:c>
      <x:c r="L80" s="27" t="n">
        <x:v>45.46427</x:v>
      </x:c>
      <x:c r="M80" s="27" t="n">
        <x:v>9.18951</x:v>
      </x:c>
      <x:c r="N80" s="21" t="str">
        <x:v>城市代表点（来源明确说明不是火场坐标）</x:v>
      </x:c>
      <x:c r="O80" s="21" t="str">
        <x:v>高层建筑火灾</x:v>
      </x:c>
      <x:c r="P80" s="21" t="str">
        <x:v>未检索到</x:v>
      </x:c>
      <x:c r="Q80" s="21" t="str">
        <x:v>127 m</x:v>
      </x:c>
      <x:c r="R80" s="21" t="str">
        <x:v>未检索到</x:v>
      </x:c>
      <x:c r="S80" s="21" t="str">
        <x:v>未检索到</x:v>
      </x:c>
      <x:c r="T80" s="42" t="n">
        <x:v>3</x:v>
      </x:c>
      <x:c r="U80" s="42"/>
      <x:c r="V80" s="42"/>
      <x:c r="W80" s="33" t="str">
        <x:v>C</x:v>
      </x:c>
      <x:c r="X80" s="33" t="str">
        <x:v>compendium_needs_independent_verification</x:v>
      </x:c>
      <x:c r="Y80" s="33" t="str">
        <x:v>专题汇编记录</x:v>
      </x:c>
      <x:c r="Z80" s="21" t="str">
        <x:v>Wikipedia高层建筑专题表；需补充独立来源核验</x:v>
      </x:c>
      <x:c r="AA80" s="21" t="str">
        <x:v>List of fires in high-rise buildings | Wikipedia dynamic high-rise list (candidate discovery)</x:v>
      </x:c>
      <x:c r="AB80" s="21" t="str">
        <x:v>Wikipedia专题列表 | 批量来源代理</x:v>
      </x:c>
      <x:c r="AC80" s="21" t="str"/>
      <x:c r="AD80" s="21" t="n">
        <x:v>1</x:v>
      </x:c>
      <x:c r="AE80" s="21" t="str">
        <x:v>可访问(200)</x:v>
      </x:c>
      <x:c r="AF80" s="21" t="str"/>
      <x:c r="AG80" s="24" t="n">
        <x:v>46260</x:v>
      </x:c>
      <x:c r="AH80" s="21" t="str"/>
      <x:c r="AI80" s="21" t="n">
        <x:v>1</x:v>
      </x:c>
      <x:c r="AJ80" s="21" t="str">
        <x:v>未评估（本事件表不建立热浪因果关系）</x:v>
      </x:c>
      <x:c r="AK80" s="21" t="str">
        <x:v>已有来源描述</x:v>
      </x:c>
    </x:row>
    <x:row r="81" ht="42" customHeight="1">
      <x:c r="A81" s="33" t="n">
        <x:v>80</x:v>
      </x:c>
      <x:c r="B81" s="33" t="str">
        <x:v>HRF-0080</x:v>
      </x:c>
      <x:c r="C81" s="36" t="str">
        <x:v>欧洲</x:v>
      </x:c>
      <x:c r="D81" s="36" t="str">
        <x:v>United Kingdom</x:v>
      </x:c>
      <x:c r="E81" s="21" t="str">
        <x:v>Paddington, London, England, United Kingdom</x:v>
      </x:c>
      <x:c r="F81" s="21" t="str">
        <x:v>Telstar House fire</x:v>
      </x:c>
      <x:c r="G81" s="39" t="n">
        <x:v>37831</x:v>
      </x:c>
      <x:c r="H81" s="21" t="str">
        <x:v>伦敦一栋高层办公楼发生大火，火势破坏第7至10层并延至第11层局部。</x:v>
      </x:c>
      <x:c r="I81" s="21" t="str">
        <x:v>来源页未给出最终起火原因。</x:v>
      </x:c>
      <x:c r="J81" s="21" t="str">
        <x:v>约5万平方英尺受火；3人受伤；建筑无法继续使用，后拆除。</x:v>
      </x:c>
      <x:c r="K81" s="21" t="str">
        <x:v>https://highrisefire.co.uk/cstelstar.html</x:v>
      </x:c>
      <x:c r="L81" s="27" t="n">
        <x:v>51.5169</x:v>
      </x:c>
      <x:c r="M81" s="27" t="n">
        <x:v>-0.1774</x:v>
      </x:c>
      <x:c r="N81" s="21" t="str">
        <x:v>事件/建筑近似点（候选来源提供）</x:v>
      </x:c>
      <x:c r="O81" s="21" t="str">
        <x:v>high-rise office fire</x:v>
      </x:c>
      <x:c r="P81" s="21" t="str">
        <x:v>office</x:v>
      </x:c>
      <x:c r="Q81" s="21" t="str">
        <x:v>13 storeys; floors 7-10 destroyed, part of 11th affected</x:v>
      </x:c>
      <x:c r="R81" s="21" t="str">
        <x:v>4</x:v>
      </x:c>
      <x:c r="S81" s="21" t="str">
        <x:v>1960s office building</x:v>
      </x:c>
      <x:c r="T81" s="42" t="n">
        <x:v>0</x:v>
      </x:c>
      <x:c r="U81" s="42" t="n">
        <x:v>3</x:v>
      </x:c>
      <x:c r="V81" s="42"/>
      <x:c r="W81" s="33" t="str">
        <x:v>B</x:v>
      </x:c>
      <x:c r="X81" s="33" t="str">
        <x:v>confirmed_highrise</x:v>
      </x:c>
      <x:c r="Y81" s="33" t="str">
        <x:v>严格确认</x:v>
      </x:c>
      <x:c r="Z81" s="21" t="str">
        <x:v>现场消防报告明确称其为13层高层建筑；坐标为Eastbourne Terrace近似点。</x:v>
      </x:c>
      <x:c r="AA81" s="21" t="str">
        <x:v>List of high-rise façade fires | Wikipedia high-rise façade list; derived from Bonner et al./news (candidate discovery) | 区域代理-欧洲非洲</x:v>
      </x:c>
      <x:c r="AB81" s="21" t="str">
        <x:v>Wikipedia专题列表 | 区域代理-欧洲非洲 | 批量来源代理</x:v>
      </x:c>
      <x:c r="AC81" s="21" t="str">
        <x:v>https://en.wikipedia.org/wiki/List_of_high-rise_fa%C3%A7ade_fires | https://www.highrisefirefighting.co.uk/cstelstar.html</x:v>
      </x:c>
      <x:c r="AD81" s="21" t="n">
        <x:v>3</x:v>
      </x:c>
      <x:c r="AE81" s="21" t="str">
        <x:v>可访问(200)</x:v>
      </x:c>
      <x:c r="AF81" s="21" t="str">
        <x:v>https://en.wikipedia.org/wiki/List_of_high-rise_fa%C3%A7ade_fires =&gt; 可访问(200) | https://www.highrisefirefighting.co.uk/cstelstar.html =&gt; 访问失败(URLError)</x:v>
      </x:c>
      <x:c r="AG81" s="24" t="n">
        <x:v>46260</x:v>
      </x:c>
      <x:c r="AH81" s="21" t="str"/>
      <x:c r="AI81" s="21" t="n">
        <x:v>1</x:v>
      </x:c>
      <x:c r="AJ81" s="21" t="str">
        <x:v>未评估（本事件表不建立热浪因果关系）</x:v>
      </x:c>
      <x:c r="AK81" s="21" t="str">
        <x:v>缺失/待核实</x:v>
      </x:c>
    </x:row>
    <x:row r="82" ht="42" customHeight="1">
      <x:c r="A82" s="33" t="n">
        <x:v>81</x:v>
      </x:c>
      <x:c r="B82" s="33" t="str">
        <x:v>HRF-0081</x:v>
      </x:c>
      <x:c r="C82" s="36" t="str">
        <x:v>欧洲</x:v>
      </x:c>
      <x:c r="D82" s="36" t="str">
        <x:v>United Kingdom</x:v>
      </x:c>
      <x:c r="E82" s="21" t="str">
        <x:v>Hertfordshire</x:v>
      </x:c>
      <x:c r="F82" s="21" t="str">
        <x:v>Harrow Court fire</x:v>
      </x:c>
      <x:c r="G82" s="39" t="n">
        <x:v>38385</x:v>
      </x:c>
      <x:c r="H82" s="21" t="str">
        <x:v>Harrow Court高层建筑火灾；建筑高度记录为 56.1 m。死亡人数：3。Harrow Court fire</x:v>
      </x:c>
      <x:c r="I82" s="21" t="str">
        <x:v>未检索到/待核实</x:v>
      </x:c>
      <x:c r="J82" s="21" t="str">
        <x:v>死亡人数：3。Harrow Court fire</x:v>
      </x:c>
      <x:c r="K82" s="21" t="str">
        <x:v>https://en.wikipedia.org/wiki/Harrow_Court_fire</x:v>
      </x:c>
      <x:c r="L82" s="27"/>
      <x:c r="M82" s="27"/>
      <x:c r="N82" s="21" t="str">
        <x:v>未提供坐标</x:v>
      </x:c>
      <x:c r="O82" s="21" t="str">
        <x:v>高层建筑火灾</x:v>
      </x:c>
      <x:c r="P82" s="21" t="str">
        <x:v>未检索到</x:v>
      </x:c>
      <x:c r="Q82" s="21" t="str">
        <x:v>56.1 m</x:v>
      </x:c>
      <x:c r="R82" s="21" t="str">
        <x:v>未检索到</x:v>
      </x:c>
      <x:c r="S82" s="21" t="str">
        <x:v>未检索到</x:v>
      </x:c>
      <x:c r="T82" s="42" t="n">
        <x:v>3</x:v>
      </x:c>
      <x:c r="U82" s="42"/>
      <x:c r="V82" s="42"/>
      <x:c r="W82" s="33" t="str">
        <x:v>B</x:v>
      </x:c>
      <x:c r="X82" s="33" t="str">
        <x:v>compendium_needs_independent_verification</x:v>
      </x:c>
      <x:c r="Y82" s="33" t="str">
        <x:v>专题汇编记录</x:v>
      </x:c>
      <x:c r="Z82" s="21" t="str">
        <x:v>Wikipedia具名事件页+高层建筑专题表</x:v>
      </x:c>
      <x:c r="AA82" s="21" t="str">
        <x:v>List of fires in high-rise buildings | Wikipedia dynamic high-rise list (candidate discovery)</x:v>
      </x:c>
      <x:c r="AB82" s="21" t="str">
        <x:v>Wikipedia专题列表 | 批量来源代理</x:v>
      </x:c>
      <x:c r="AC82" s="21" t="str">
        <x:v>https://en.wikipedia.org/wiki/List_of_fires_in_high-rise_buildings</x:v>
      </x:c>
      <x:c r="AD82" s="21" t="n">
        <x:v>2</x:v>
      </x:c>
      <x:c r="AE82" s="21" t="str">
        <x:v>可访问(200)</x:v>
      </x:c>
      <x:c r="AF82" s="21" t="str">
        <x:v>https://en.wikipedia.org/wiki/List_of_fires_in_high-rise_buildings =&gt; 可访问(200)</x:v>
      </x:c>
      <x:c r="AG82" s="24" t="n">
        <x:v>46260</x:v>
      </x:c>
      <x:c r="AH82" s="21" t="str"/>
      <x:c r="AI82" s="21" t="n">
        <x:v>1</x:v>
      </x:c>
      <x:c r="AJ82" s="21" t="str">
        <x:v>未评估（本事件表不建立热浪因果关系）</x:v>
      </x:c>
      <x:c r="AK82" s="21" t="str">
        <x:v>缺失/待核实</x:v>
      </x:c>
    </x:row>
    <x:row r="83" ht="42" customHeight="1">
      <x:c r="A83" s="33" t="n">
        <x:v>82</x:v>
      </x:c>
      <x:c r="B83" s="33" t="str">
        <x:v>HRF-0082</x:v>
      </x:c>
      <x:c r="C83" s="36" t="str">
        <x:v>欧洲</x:v>
      </x:c>
      <x:c r="D83" s="36" t="str">
        <x:v>Spain</x:v>
      </x:c>
      <x:c r="E83" s="21" t="str">
        <x:v>AZCA, Madrid, Community of Madrid, Spain</x:v>
      </x:c>
      <x:c r="F83" s="21" t="str">
        <x:v>Windsor Tower fire</x:v>
      </x:c>
      <x:c r="G83" s="39" t="n">
        <x:v>38395</x:v>
      </x:c>
      <x:c r="H83" s="21" t="str">
        <x:v>马德里温莎大厦夜间起火，火势沿高层扩展并造成上部楼层局部坍塌。</x:v>
      </x:c>
      <x:c r="I83" s="21" t="str">
        <x:v>调查通常指向电气故障，但本候选表暂列待进一步确认。</x:v>
      </x:c>
      <x:c r="J83" s="21" t="str">
        <x:v>0人死亡、7人受伤；严重结构损伤，后拆除。</x:v>
      </x:c>
      <x:c r="K83" s="21" t="str">
        <x:v>https://en.wikipedia.org/wiki/Windsor_Tower_(Madrid)</x:v>
      </x:c>
      <x:c r="L83" s="27" t="n">
        <x:v>40.4462</x:v>
      </x:c>
      <x:c r="M83" s="27" t="n">
        <x:v>-3.692</x:v>
      </x:c>
      <x:c r="N83" s="21" t="str">
        <x:v>事件/建筑近似点（候选来源提供）</x:v>
      </x:c>
      <x:c r="O83" s="21" t="str">
        <x:v>high-rise office fire</x:v>
      </x:c>
      <x:c r="P83" s="21" t="str">
        <x:v>office</x:v>
      </x:c>
      <x:c r="Q83" s="21" t="str">
        <x:v>32 storeys / about 106 m</x:v>
      </x:c>
      <x:c r="R83" s="21" t="str">
        <x:v>32</x:v>
      </x:c>
      <x:c r="S83" s="21" t="str">
        <x:v>completed 1979; demolished after fire</x:v>
      </x:c>
      <x:c r="T83" s="42" t="n">
        <x:v>0</x:v>
      </x:c>
      <x:c r="U83" s="42" t="n">
        <x:v>7</x:v>
      </x:c>
      <x:c r="V83" s="42"/>
      <x:c r="W83" s="33" t="str">
        <x:v>C</x:v>
      </x:c>
      <x:c r="X83" s="33" t="str">
        <x:v>confirmed_highrise</x:v>
      </x:c>
      <x:c r="Y83" s="33" t="str">
        <x:v>严格确认</x:v>
      </x:c>
      <x:c r="Z83" s="21" t="str">
        <x:v>高层外立面火灾汇总表记录32个楼层受影响、0死7伤；应继续用消防调查交叉核验。</x:v>
      </x:c>
      <x:c r="AA83" s="21" t="str">
        <x:v>List of fires in high-rise buildings | List of high-rise façade fires | Wikipedia dynamic high-rise list (candidate discovery) | Wikipedia high-rise façade list; derived from Bonner et al./news (candidate discovery) | 区域代理-欧洲非洲</x:v>
      </x:c>
      <x:c r="AB83" s="21" t="str">
        <x:v>Wikipedia专题列表 | 区域代理-欧洲非洲 | 批量来源代理</x:v>
      </x:c>
      <x:c r="AC83" s="21" t="str">
        <x:v>https://911research.wtc7.net/wtc/analysis/compare/windsor.html | https://en.wikipedia.org/wiki/List_of_fires_in_high-rise_buildings | https://en.wikipedia.org/wiki/List_of_high-rise_fa%C3%A7ade_fires</x:v>
      </x:c>
      <x:c r="AD83" s="21" t="n">
        <x:v>4</x:v>
      </x:c>
      <x:c r="AE83" s="21" t="str">
        <x:v>可访问(200)</x:v>
      </x:c>
      <x:c r="AF83" s="21" t="str">
        <x:v>https://911research.wtc7.net/wtc/analysis/compare/windsor.html =&gt; 可访问(200) | https://en.wikipedia.org/wiki/List_of_fires_in_high-rise_buildings =&gt; 可访问(200) | https://en.wikipedia.org/wiki/List_of_high-rise_fa%C3%A7ade_fires =&gt; 可访问(200)</x:v>
      </x:c>
      <x:c r="AG83" s="24" t="n">
        <x:v>46260</x:v>
      </x:c>
      <x:c r="AH83" s="21" t="str"/>
      <x:c r="AI83" s="21" t="n">
        <x:v>1</x:v>
      </x:c>
      <x:c r="AJ83" s="21" t="str">
        <x:v>未评估（本事件表不建立热浪因果关系）</x:v>
      </x:c>
      <x:c r="AK83" s="21" t="str">
        <x:v>已有来源描述</x:v>
      </x:c>
    </x:row>
    <x:row r="84" ht="42" customHeight="1">
      <x:c r="A84" s="33" t="n">
        <x:v>83</x:v>
      </x:c>
      <x:c r="B84" s="33" t="str">
        <x:v>HRF-0083</x:v>
      </x:c>
      <x:c r="C84" s="36" t="str">
        <x:v>欧洲</x:v>
      </x:c>
      <x:c r="D84" s="36" t="str">
        <x:v>Germany</x:v>
      </x:c>
      <x:c r="E84" s="21" t="str">
        <x:v>Berlin</x:v>
      </x:c>
      <x:c r="F84" s="21" t="str">
        <x:v>Treskowstrasse Pankow Flats fire</x:v>
      </x:c>
      <x:c r="G84" s="39" t="n">
        <x:v>38463</x:v>
      </x:c>
      <x:c r="H84" s="21" t="str">
        <x:v>Treskowstrasse Pankow Flats高层建筑外立面火灾。死亡 2，受伤 3；表中记录的受影响楼层为 5。</x:v>
      </x:c>
      <x:c r="I84" s="21" t="str">
        <x:v>未检索到/待核实</x:v>
      </x:c>
      <x:c r="J84" s="21" t="str">
        <x:v>死亡 2，受伤 3；表中记录的受影响楼层为 5。</x:v>
      </x:c>
      <x:c r="K84" s="21" t="str">
        <x:v>https://doi.org/10.1007%2F978-1-4939-2898-9_4</x:v>
      </x:c>
      <x:c r="L84" s="27" t="n">
        <x:v>52.52437</x:v>
      </x:c>
      <x:c r="M84" s="27" t="n">
        <x:v>13.41053</x:v>
      </x:c>
      <x:c r="N84" s="21" t="str">
        <x:v>城市代表点（来源明确说明不是火场坐标）</x:v>
      </x:c>
      <x:c r="O84" s="21" t="str">
        <x:v>高层建筑外立面火灾</x:v>
      </x:c>
      <x:c r="P84" s="21" t="str">
        <x:v>residential</x:v>
      </x:c>
      <x:c r="Q84" s="21" t="str">
        <x:v>未检索到</x:v>
      </x:c>
      <x:c r="R84" s="21" t="str">
        <x:v>5</x:v>
      </x:c>
      <x:c r="S84" s="21" t="str">
        <x:v>未检索到</x:v>
      </x:c>
      <x:c r="T84" s="42" t="n">
        <x:v>2</x:v>
      </x:c>
      <x:c r="U84" s="42" t="n">
        <x:v>3</x:v>
      </x:c>
      <x:c r="V84" s="42"/>
      <x:c r="W84" s="33" t="str">
        <x:v>C</x:v>
      </x:c>
      <x:c r="X84" s="33" t="str">
        <x:v>compendium_needs_independent_verification</x:v>
      </x:c>
      <x:c r="Y84" s="33" t="str">
        <x:v>专题汇编记录</x:v>
      </x:c>
      <x:c r="Z84" s="21" t="str">
        <x:v>Wikipedia高层专题表；需补充独立来源核验</x:v>
      </x:c>
      <x:c r="AA84" s="21" t="str">
        <x:v>List of high-rise façade fires | Wikipedia high-rise façade list; derived from Bonner et al./news (candidate discovery)</x:v>
      </x:c>
      <x:c r="AB84" s="21" t="str">
        <x:v>Wikipedia专题列表 | 批量来源代理</x:v>
      </x:c>
      <x:c r="AC84" s="21" t="str">
        <x:v>https://en.wikipedia.org/wiki/List_of_high-rise_fa%C3%A7ade_fires</x:v>
      </x:c>
      <x:c r="AD84" s="21" t="n">
        <x:v>2</x:v>
      </x:c>
      <x:c r="AE84" s="21" t="str">
        <x:v>可访问(200)</x:v>
      </x:c>
      <x:c r="AF84" s="21" t="str">
        <x:v>https://en.wikipedia.org/wiki/List_of_high-rise_fa%C3%A7ade_fires =&gt; 可访问(200)</x:v>
      </x:c>
      <x:c r="AG84" s="24" t="n">
        <x:v>46260</x:v>
      </x:c>
      <x:c r="AH84" s="21" t="str"/>
      <x:c r="AI84" s="21" t="n">
        <x:v>1</x:v>
      </x:c>
      <x:c r="AJ84" s="21" t="str">
        <x:v>未评估（本事件表不建立热浪因果关系）</x:v>
      </x:c>
      <x:c r="AK84" s="21" t="str">
        <x:v>缺失/待核实</x:v>
      </x:c>
    </x:row>
    <x:row r="85" ht="42" customHeight="1">
      <x:c r="A85" s="33" t="n">
        <x:v>84</x:v>
      </x:c>
      <x:c r="B85" s="33" t="str">
        <x:v>HRF-0084</x:v>
      </x:c>
      <x:c r="C85" s="36" t="str">
        <x:v>欧洲</x:v>
      </x:c>
      <x:c r="D85" s="36" t="str">
        <x:v>The Netherlands</x:v>
      </x:c>
      <x:c r="E85" s="21" t="str">
        <x:v>Delft</x:v>
      </x:c>
      <x:c r="F85" s="21" t="str">
        <x:v>TU Delft Faculteitsgebouw Bouwkunde fire</x:v>
      </x:c>
      <x:c r="G85" s="39" t="n">
        <x:v>39551</x:v>
      </x:c>
      <x:c r="H85" s="21" t="str">
        <x:v>TU Delft Faculteitsgebouw Bouwkunde高层建筑火灾；建筑高度记录为 56 m。死亡人数：0。A broken water pipe on the 8th floor caused a short circuit in a coffee machine a floor below, resulting in a fire. The building was demolished afterwards.</x:v>
      </x:c>
      <x:c r="I85" s="21" t="str">
        <x:v>A broken water pipe on the 8th floor caused a short circuit in a coffee machine a floor below, resulting in a fire.</x:v>
      </x:c>
      <x:c r="J85" s="21" t="str">
        <x:v>死亡人数：0。A broken water pipe on the 8th floor caused a short circuit in a coffee machine a floor below, resulting in a fire. The building was demolished afterwards.</x:v>
      </x:c>
      <x:c r="K85" s="21" t="str">
        <x:v>https://architectenweb.nl/nieuws/artikel.aspx?ID=14108</x:v>
      </x:c>
      <x:c r="L85" s="27" t="n">
        <x:v>52.00667</x:v>
      </x:c>
      <x:c r="M85" s="27" t="n">
        <x:v>4.35556</x:v>
      </x:c>
      <x:c r="N85" s="21" t="str">
        <x:v>城市代表点（来源明确说明不是火场坐标）</x:v>
      </x:c>
      <x:c r="O85" s="21" t="str">
        <x:v>高层建筑火灾</x:v>
      </x:c>
      <x:c r="P85" s="21" t="str">
        <x:v>education</x:v>
      </x:c>
      <x:c r="Q85" s="21" t="str">
        <x:v>56 m</x:v>
      </x:c>
      <x:c r="R85" s="21" t="str">
        <x:v>未检索到</x:v>
      </x:c>
      <x:c r="S85" s="21" t="str">
        <x:v>未检索到</x:v>
      </x:c>
      <x:c r="T85" s="42" t="n">
        <x:v>0</x:v>
      </x:c>
      <x:c r="U85" s="42"/>
      <x:c r="V85" s="42"/>
      <x:c r="W85" s="33" t="str">
        <x:v>C</x:v>
      </x:c>
      <x:c r="X85" s="33" t="str">
        <x:v>compendium_needs_independent_verification</x:v>
      </x:c>
      <x:c r="Y85" s="33" t="str">
        <x:v>专题汇编记录</x:v>
      </x:c>
      <x:c r="Z85" s="21" t="str">
        <x:v>Wikipedia高层建筑专题表；需补充独立来源核验</x:v>
      </x:c>
      <x:c r="AA85" s="21" t="str">
        <x:v>List of fires in high-rise buildings | Wikipedia dynamic high-rise list (candidate discovery)</x:v>
      </x:c>
      <x:c r="AB85" s="21" t="str">
        <x:v>Wikipedia专题列表 | 批量来源代理</x:v>
      </x:c>
      <x:c r="AC85" s="21" t="str">
        <x:v>https://en.wikipedia.org/wiki/List_of_fires_in_high-rise_buildings</x:v>
      </x:c>
      <x:c r="AD85" s="21" t="n">
        <x:v>2</x:v>
      </x:c>
      <x:c r="AE85" s="21" t="str">
        <x:v>可访问(200)</x:v>
      </x:c>
      <x:c r="AF85" s="21" t="str">
        <x:v>https://en.wikipedia.org/wiki/List_of_fires_in_high-rise_buildings =&gt; 可访问(200)</x:v>
      </x:c>
      <x:c r="AG85" s="24" t="n">
        <x:v>46260</x:v>
      </x:c>
      <x:c r="AH85" s="21" t="str"/>
      <x:c r="AI85" s="21" t="n">
        <x:v>1</x:v>
      </x:c>
      <x:c r="AJ85" s="21" t="str">
        <x:v>未评估（本事件表不建立热浪因果关系）</x:v>
      </x:c>
      <x:c r="AK85" s="21" t="str">
        <x:v>已有来源描述</x:v>
      </x:c>
    </x:row>
    <x:row r="86" ht="42" customHeight="1">
      <x:c r="A86" s="33" t="n">
        <x:v>85</x:v>
      </x:c>
      <x:c r="B86" s="33" t="str">
        <x:v>HRF-0085</x:v>
      </x:c>
      <x:c r="C86" s="36" t="str">
        <x:v>欧洲</x:v>
      </x:c>
      <x:c r="D86" s="36" t="str">
        <x:v>Netherlands</x:v>
      </x:c>
      <x:c r="E86" s="21" t="str">
        <x:v>De Punt</x:v>
      </x:c>
      <x:c r="F86" s="21" t="str">
        <x:v>De Punt fire</x:v>
      </x:c>
      <x:c r="G86" s="39" t="n">
        <x:v>39577</x:v>
      </x:c>
      <x:c r="H86" s="21" t="str">
        <x:v>De Punt fire高层建筑外立面火灾。死亡 3，受伤 0；表中记录的受影响楼层为 1。</x:v>
      </x:c>
      <x:c r="I86" s="21" t="str">
        <x:v>未检索到/待核实</x:v>
      </x:c>
      <x:c r="J86" s="21" t="str">
        <x:v>死亡 3，受伤 0；表中记录的受影响楼层为 1。</x:v>
      </x:c>
      <x:c r="K86" s="21" t="str">
        <x:v>https://en.wikipedia.org/wiki/De_Punt_fire</x:v>
      </x:c>
      <x:c r="L86" s="27"/>
      <x:c r="M86" s="27"/>
      <x:c r="N86" s="21" t="str">
        <x:v>未提供坐标</x:v>
      </x:c>
      <x:c r="O86" s="21" t="str">
        <x:v>高层建筑外立面火灾</x:v>
      </x:c>
      <x:c r="P86" s="21" t="str">
        <x:v>未检索到</x:v>
      </x:c>
      <x:c r="Q86" s="21" t="str">
        <x:v>未检索到</x:v>
      </x:c>
      <x:c r="R86" s="21" t="str">
        <x:v>1</x:v>
      </x:c>
      <x:c r="S86" s="21" t="str">
        <x:v>未检索到</x:v>
      </x:c>
      <x:c r="T86" s="42" t="n">
        <x:v>3</x:v>
      </x:c>
      <x:c r="U86" s="42" t="n">
        <x:v>0</x:v>
      </x:c>
      <x:c r="V86" s="42"/>
      <x:c r="W86" s="33" t="str">
        <x:v>B</x:v>
      </x:c>
      <x:c r="X86" s="33" t="str">
        <x:v>compendium_needs_independent_verification</x:v>
      </x:c>
      <x:c r="Y86" s="33" t="str">
        <x:v>专题汇编记录</x:v>
      </x:c>
      <x:c r="Z86" s="21" t="str">
        <x:v>Wikipedia具名事件页+高层专题表</x:v>
      </x:c>
      <x:c r="AA86" s="21" t="str">
        <x:v>List of high-rise façade fires | Wikipedia high-rise façade list; derived from Bonner et al./news (candidate discovery)</x:v>
      </x:c>
      <x:c r="AB86" s="21" t="str">
        <x:v>Wikipedia专题列表 | 批量来源代理</x:v>
      </x:c>
      <x:c r="AC86" s="21" t="str">
        <x:v>https://en.wikipedia.org/wiki/List_of_high-rise_fa%C3%A7ade_fires</x:v>
      </x:c>
      <x:c r="AD86" s="21" t="n">
        <x:v>2</x:v>
      </x:c>
      <x:c r="AE86" s="21" t="str">
        <x:v>可访问(200)</x:v>
      </x:c>
      <x:c r="AF86" s="21" t="str">
        <x:v>https://en.wikipedia.org/wiki/List_of_high-rise_fa%C3%A7ade_fires =&gt; 可访问(200)</x:v>
      </x:c>
      <x:c r="AG86" s="24" t="n">
        <x:v>46260</x:v>
      </x:c>
      <x:c r="AH86" s="21" t="str"/>
      <x:c r="AI86" s="21" t="n">
        <x:v>1</x:v>
      </x:c>
      <x:c r="AJ86" s="21" t="str">
        <x:v>未评估（本事件表不建立热浪因果关系）</x:v>
      </x:c>
      <x:c r="AK86" s="21" t="str">
        <x:v>缺失/待核实</x:v>
      </x:c>
    </x:row>
    <x:row r="87" ht="42" customHeight="1">
      <x:c r="A87" s="33" t="n">
        <x:v>86</x:v>
      </x:c>
      <x:c r="B87" s="33" t="str">
        <x:v>HRF-0086</x:v>
      </x:c>
      <x:c r="C87" s="36" t="str">
        <x:v>欧洲</x:v>
      </x:c>
      <x:c r="D87" s="36" t="str">
        <x:v>United Kingdom</x:v>
      </x:c>
      <x:c r="E87" s="21" t="str">
        <x:v>Camberwell, London, England, United Kingdom</x:v>
      </x:c>
      <x:c r="F87" s="21" t="str">
        <x:v>Lakanal House fire</x:v>
      </x:c>
      <x:c r="G87" s="39" t="n">
        <x:v>39997</x:v>
      </x:c>
      <x:c r="H87" s="21" t="str">
        <x:v>伦敦Lakanal House高层住宅火灾造成6人死亡，火和烟跨楼层传播。</x:v>
      </x:c>
      <x:c r="I87" s="21" t="str">
        <x:v>9层一台电视机附近发生电气故障；传播受建筑分隔和改造问题影响。</x:v>
      </x:c>
      <x:c r="J87" s="21" t="str">
        <x:v>6人死亡、至少20人受伤，多户住宅严重受损。</x:v>
      </x:c>
      <x:c r="K87" s="21" t="str">
        <x:v>https://en.wikipedia.org/wiki/Lakanal_House_fire</x:v>
      </x:c>
      <x:c r="L87" s="27" t="n">
        <x:v>51.4745</x:v>
      </x:c>
      <x:c r="M87" s="27" t="n">
        <x:v>-0.0876</x:v>
      </x:c>
      <x:c r="N87" s="21" t="str">
        <x:v>事件/建筑近似点（候选来源提供）</x:v>
      </x:c>
      <x:c r="O87" s="21" t="str">
        <x:v>high-rise residential fire</x:v>
      </x:c>
      <x:c r="P87" s="21" t="str">
        <x:v>residential</x:v>
      </x:c>
      <x:c r="Q87" s="21" t="str">
        <x:v>14 storeys</x:v>
      </x:c>
      <x:c r="R87" s="21" t="str">
        <x:v>0</x:v>
      </x:c>
      <x:c r="S87" s="21" t="str">
        <x:v>completed 1959</x:v>
      </x:c>
      <x:c r="T87" s="42" t="n">
        <x:v>6</x:v>
      </x:c>
      <x:c r="U87" s="42" t="n">
        <x:v>20</x:v>
      </x:c>
      <x:c r="V87" s="42"/>
      <x:c r="W87" s="33" t="str">
        <x:v>C</x:v>
      </x:c>
      <x:c r="X87" s="33" t="str">
        <x:v>confirmed_highrise</x:v>
      </x:c>
      <x:c r="Y87" s="33" t="str">
        <x:v>严格确认</x:v>
      </x:c>
      <x:c r="Z87" s="21" t="str">
        <x:v>独立事件条目与高层外立面火灾表均确认14层住宅；伤亡数一致。</x:v>
      </x:c>
      <x:c r="AA87" s="21" t="str">
        <x:v>List of fires in high-rise buildings | List of high-rise façade fires | Wikipedia high-rise façade list; derived from Bonner et al./news (candidate discovery) | 区域代理-欧洲非洲</x:v>
      </x:c>
      <x:c r="AB87" s="21" t="str">
        <x:v>Wikipedia专题列表 | 区域代理-欧洲非洲 | 批量来源代理</x:v>
      </x:c>
      <x:c r="AC87" s="21" t="str">
        <x:v>https://en.wikipedia.org/wiki/List_of_high-rise_fa%C3%A7ade_fires</x:v>
      </x:c>
      <x:c r="AD87" s="21" t="n">
        <x:v>2</x:v>
      </x:c>
      <x:c r="AE87" s="21" t="str">
        <x:v>可访问(200)</x:v>
      </x:c>
      <x:c r="AF87" s="21" t="str">
        <x:v>https://en.wikipedia.org/wiki/List_of_high-rise_fa%C3%A7ade_fires =&gt; 可访问(200)</x:v>
      </x:c>
      <x:c r="AG87" s="24" t="n">
        <x:v>46260</x:v>
      </x:c>
      <x:c r="AH87" s="21" t="str"/>
      <x:c r="AI87" s="21" t="n">
        <x:v>1</x:v>
      </x:c>
      <x:c r="AJ87" s="21" t="str">
        <x:v>未评估（本事件表不建立热浪因果关系）</x:v>
      </x:c>
      <x:c r="AK87" s="21" t="str">
        <x:v>已有来源描述</x:v>
      </x:c>
    </x:row>
    <x:row r="88" ht="42" customHeight="1">
      <x:c r="A88" s="33" t="n">
        <x:v>87</x:v>
      </x:c>
      <x:c r="B88" s="33" t="str">
        <x:v>HRF-0087</x:v>
      </x:c>
      <x:c r="C88" s="36" t="str">
        <x:v>欧洲</x:v>
      </x:c>
      <x:c r="D88" s="36" t="str">
        <x:v>Hungary</x:v>
      </x:c>
      <x:c r="E88" s="21" t="str">
        <x:v>Középszer Street, Miskolc, Borsod-Abaúj-Zemplén, Hungary</x:v>
      </x:c>
      <x:c r="F88" s="21" t="str">
        <x:v>Középszer Street panel-building fire</x:v>
      </x:c>
      <x:c r="G88" s="39" t="n">
        <x:v>40040</x:v>
      </x:c>
      <x:c r="H88" s="21" t="str">
        <x:v>一栋10层板式住宅6层厨房起火，火焰和烟气沿外立面、管井及楼梯间向上扩散。</x:v>
      </x:c>
      <x:c r="I88" s="21" t="str">
        <x:v>6层住宅厨房起火；开放房门、管井缺陷和不合格外墙保温施工加剧传播。</x:v>
      </x:c>
      <x:c r="J88" s="21" t="str">
        <x:v>一名母亲和两名子女死亡；报告另记12人烟气中毒。</x:v>
      </x:c>
      <x:c r="K88" s="21" t="str">
        <x:v>https://people.fsv.cvut.cz/~wald/fire/ifer/WP3/Fire%20brigade%20reports_sm.pdf</x:v>
      </x:c>
      <x:c r="L88" s="27" t="n">
        <x:v>48.1035</x:v>
      </x:c>
      <x:c r="M88" s="27" t="n">
        <x:v>20.7784</x:v>
      </x:c>
      <x:c r="N88" s="21" t="str">
        <x:v>事件/建筑近似点（候选来源提供）</x:v>
      </x:c>
      <x:c r="O88" s="21" t="str">
        <x:v>high-rise residential façade fire</x:v>
      </x:c>
      <x:c r="P88" s="21" t="str">
        <x:v>residential</x:v>
      </x:c>
      <x:c r="Q88" s="21" t="str">
        <x:v>basement + ground floor + 10 upper floors</x:v>
      </x:c>
      <x:c r="R88" s="21" t="str">
        <x:v>6</x:v>
      </x:c>
      <x:c r="S88" s="21" t="str">
        <x:v>industrialized panel building; façade renovated in 2007</x:v>
      </x:c>
      <x:c r="T88" s="42" t="n">
        <x:v>3</x:v>
      </x:c>
      <x:c r="U88" s="42" t="n">
        <x:v>12</x:v>
      </x:c>
      <x:c r="V88" s="42"/>
      <x:c r="W88" s="33" t="str">
        <x:v>A</x:v>
      </x:c>
      <x:c r="X88" s="33" t="str">
        <x:v>confirmed_highrise</x:v>
      </x:c>
      <x:c r="Y88" s="33" t="str">
        <x:v>严格确认</x:v>
      </x:c>
      <x:c r="Z88" s="21" t="str">
        <x:v>COST TU0904消防工程报告明确给出10层、起火楼层、传播路径和3名死者；坐标为街区近似点。</x:v>
      </x:c>
      <x:c r="AA88" s="21" t="str">
        <x:v>List of high-rise façade fires | Wikipedia high-rise façade list; derived from Bonner et al./news (candidate discovery) | 区域代理-欧洲非洲</x:v>
      </x:c>
      <x:c r="AB88" s="21" t="str">
        <x:v>Wikipedia专题列表 | 区域代理-欧洲非洲 | 批量来源代理</x:v>
      </x:c>
      <x:c r="AC88" s="21" t="str">
        <x:v>https://doi.org/10.1007%2F978-1-4939-2898-9_4 | https://en.wikipedia.org/wiki/List_of_high-rise_fa%C3%A7ade_fires</x:v>
      </x:c>
      <x:c r="AD88" s="21" t="n">
        <x:v>3</x:v>
      </x:c>
      <x:c r="AE88" s="21" t="str">
        <x:v>HTTP错误(404)</x:v>
      </x:c>
      <x:c r="AF88" s="21" t="str">
        <x:v>https://doi.org/10.1007%2F978-1-4939-2898-9_4 =&gt; 可访问(200) | https://en.wikipedia.org/wiki/List_of_high-rise_fa%C3%A7ade_fires =&gt; 可访问(200)</x:v>
      </x:c>
      <x:c r="AG88" s="24" t="n">
        <x:v>46260</x:v>
      </x:c>
      <x:c r="AH88" s="21" t="str"/>
      <x:c r="AI88" s="21" t="n">
        <x:v>1</x:v>
      </x:c>
      <x:c r="AJ88" s="21" t="str">
        <x:v>未评估（本事件表不建立热浪因果关系）</x:v>
      </x:c>
      <x:c r="AK88" s="21" t="str">
        <x:v>已有来源描述</x:v>
      </x:c>
    </x:row>
    <x:row r="89" ht="42" customHeight="1">
      <x:c r="A89" s="33" t="n">
        <x:v>88</x:v>
      </x:c>
      <x:c r="B89" s="33" t="str">
        <x:v>HRF-0088</x:v>
      </x:c>
      <x:c r="C89" s="36" t="str">
        <x:v>欧洲</x:v>
      </x:c>
      <x:c r="D89" s="36" t="str">
        <x:v>Netherlands</x:v>
      </x:c>
      <x:c r="E89" s="21" t="str">
        <x:v>Utrecht</x:v>
      </x:c>
      <x:c r="F89" s="21" t="str">
        <x:v>Rabobank Bestuurscentrum fire</x:v>
      </x:c>
      <x:c r="G89" s="39" t="n">
        <x:v>40356</x:v>
      </x:c>
      <x:c r="H89" s="21" t="str">
        <x:v>Rabobank Bestuurscentrum高层建筑火灾；建筑高度记录为 105 m。死亡人数：0。Occurred on the 25th and 26th floor during the construction. The exact cause of the fire has never been identified.</x:v>
      </x:c>
      <x:c r="I89" s="21" t="str">
        <x:v>The exact cause of the fire has never been identified.</x:v>
      </x:c>
      <x:c r="J89" s="21" t="str">
        <x:v>死亡人数：0。Occurred on the 25th and 26th floor during the construction. The exact cause of the fire has never been identified.</x:v>
      </x:c>
      <x:c r="K89" s="21" t="str">
        <x:v>https://www.trouw.nl/nieuws/explosie-bij-brand-in-rabo-toren-utrecht~bd0429e0</x:v>
      </x:c>
      <x:c r="L89" s="27"/>
      <x:c r="M89" s="27"/>
      <x:c r="N89" s="21" t="str">
        <x:v>未提供坐标</x:v>
      </x:c>
      <x:c r="O89" s="21" t="str">
        <x:v>高层建筑火灾</x:v>
      </x:c>
      <x:c r="P89" s="21" t="str">
        <x:v>office/government</x:v>
      </x:c>
      <x:c r="Q89" s="21" t="str">
        <x:v>105 m</x:v>
      </x:c>
      <x:c r="R89" s="21" t="str">
        <x:v>未检索到</x:v>
      </x:c>
      <x:c r="S89" s="21" t="str">
        <x:v>未检索到</x:v>
      </x:c>
      <x:c r="T89" s="42" t="n">
        <x:v>0</x:v>
      </x:c>
      <x:c r="U89" s="42"/>
      <x:c r="V89" s="42"/>
      <x:c r="W89" s="33" t="str">
        <x:v>C</x:v>
      </x:c>
      <x:c r="X89" s="33" t="str">
        <x:v>compendium_needs_independent_verification</x:v>
      </x:c>
      <x:c r="Y89" s="33" t="str">
        <x:v>专题汇编记录</x:v>
      </x:c>
      <x:c r="Z89" s="21" t="str">
        <x:v>Wikipedia高层建筑专题表；需补充独立来源核验</x:v>
      </x:c>
      <x:c r="AA89" s="21" t="str">
        <x:v>List of fires in high-rise buildings | Wikipedia dynamic high-rise list (candidate discovery)</x:v>
      </x:c>
      <x:c r="AB89" s="21" t="str">
        <x:v>Wikipedia专题列表 | 批量来源代理</x:v>
      </x:c>
      <x:c r="AC89" s="21" t="str">
        <x:v>https://en.wikipedia.org/wiki/List_of_fires_in_high-rise_buildings</x:v>
      </x:c>
      <x:c r="AD89" s="21" t="n">
        <x:v>2</x:v>
      </x:c>
      <x:c r="AE89" s="21" t="str">
        <x:v>受限(403)</x:v>
      </x:c>
      <x:c r="AF89" s="21" t="str">
        <x:v>https://en.wikipedia.org/wiki/List_of_fires_in_high-rise_buildings =&gt; 可访问(200)</x:v>
      </x:c>
      <x:c r="AG89" s="24" t="n">
        <x:v>46260</x:v>
      </x:c>
      <x:c r="AH89" s="21" t="str"/>
      <x:c r="AI89" s="21" t="n">
        <x:v>1</x:v>
      </x:c>
      <x:c r="AJ89" s="21" t="str">
        <x:v>未评估（本事件表不建立热浪因果关系）</x:v>
      </x:c>
      <x:c r="AK89" s="21" t="str">
        <x:v>已有来源描述</x:v>
      </x:c>
    </x:row>
    <x:row r="90" ht="42" customHeight="1">
      <x:c r="A90" s="33" t="n">
        <x:v>89</x:v>
      </x:c>
      <x:c r="B90" s="33" t="str">
        <x:v>HRF-0089</x:v>
      </x:c>
      <x:c r="C90" s="36" t="str">
        <x:v>欧洲</x:v>
      </x:c>
      <x:c r="D90" s="36" t="str">
        <x:v>France</x:v>
      </x:c>
      <x:c r="E90" s="21" t="str">
        <x:v>Dijon</x:v>
      </x:c>
      <x:c r="F90" s="21" t="str">
        <x:v>Dijon residential complex fire</x:v>
      </x:c>
      <x:c r="G90" s="39" t="n">
        <x:v>40465</x:v>
      </x:c>
      <x:c r="H90" s="21" t="str">
        <x:v>Dijon residential complex高层建筑火灾；建筑高度记录为 79.2 m。死亡人数：7。</x:v>
      </x:c>
      <x:c r="I90" s="21" t="str">
        <x:v>未检索到/待核实</x:v>
      </x:c>
      <x:c r="J90" s="21" t="str">
        <x:v>死亡人数：7。</x:v>
      </x:c>
      <x:c r="K90" s="21" t="str">
        <x:v>https://books.google.com/books?id=bbA0CgAAQBAJ&amp;pg=PA37</x:v>
      </x:c>
      <x:c r="L90" s="27" t="n">
        <x:v>47.31344</x:v>
      </x:c>
      <x:c r="M90" s="27" t="n">
        <x:v>5.01391</x:v>
      </x:c>
      <x:c r="N90" s="21" t="str">
        <x:v>城市代表点（来源明确说明不是火场坐标）</x:v>
      </x:c>
      <x:c r="O90" s="21" t="str">
        <x:v>高层建筑火灾</x:v>
      </x:c>
      <x:c r="P90" s="21" t="str">
        <x:v>residential</x:v>
      </x:c>
      <x:c r="Q90" s="21" t="str">
        <x:v>79.2 m</x:v>
      </x:c>
      <x:c r="R90" s="21" t="str">
        <x:v>未检索到</x:v>
      </x:c>
      <x:c r="S90" s="21" t="str">
        <x:v>未检索到</x:v>
      </x:c>
      <x:c r="T90" s="42" t="n">
        <x:v>7</x:v>
      </x:c>
      <x:c r="U90" s="42"/>
      <x:c r="V90" s="42"/>
      <x:c r="W90" s="33" t="str">
        <x:v>C</x:v>
      </x:c>
      <x:c r="X90" s="33" t="str">
        <x:v>compendium_needs_independent_verification</x:v>
      </x:c>
      <x:c r="Y90" s="33" t="str">
        <x:v>专题汇编记录</x:v>
      </x:c>
      <x:c r="Z90" s="21" t="str">
        <x:v>Wikipedia高层建筑专题表；需补充独立来源核验</x:v>
      </x:c>
      <x:c r="AA90" s="21" t="str">
        <x:v>List of fires in high-rise buildings | Wikipedia dynamic high-rise list (candidate discovery)</x:v>
      </x:c>
      <x:c r="AB90" s="21" t="str">
        <x:v>Wikipedia专题列表 | 批量来源代理</x:v>
      </x:c>
      <x:c r="AC90" s="21" t="str">
        <x:v>https://en.wikipedia.org/wiki/List_of_fires_in_high-rise_buildings</x:v>
      </x:c>
      <x:c r="AD90" s="21" t="n">
        <x:v>2</x:v>
      </x:c>
      <x:c r="AE90" s="21" t="str">
        <x:v>可访问(200)</x:v>
      </x:c>
      <x:c r="AF90" s="21" t="str">
        <x:v>https://en.wikipedia.org/wiki/List_of_fires_in_high-rise_buildings =&gt; 可访问(200)</x:v>
      </x:c>
      <x:c r="AG90" s="24" t="n">
        <x:v>46260</x:v>
      </x:c>
      <x:c r="AH90" s="21" t="str"/>
      <x:c r="AI90" s="21" t="n">
        <x:v>1</x:v>
      </x:c>
      <x:c r="AJ90" s="21" t="str">
        <x:v>未评估（本事件表不建立热浪因果关系）</x:v>
      </x:c>
      <x:c r="AK90" s="21" t="str">
        <x:v>缺失/待核实</x:v>
      </x:c>
    </x:row>
    <x:row r="91" ht="42" customHeight="1">
      <x:c r="A91" s="33" t="n">
        <x:v>90</x:v>
      </x:c>
      <x:c r="B91" s="33" t="str">
        <x:v>HRF-0090</x:v>
      </x:c>
      <x:c r="C91" s="36" t="str">
        <x:v>欧洲</x:v>
      </x:c>
      <x:c r="D91" s="36" t="str">
        <x:v>France</x:v>
      </x:c>
      <x:c r="E91" s="21" t="str">
        <x:v>Dijon</x:v>
      </x:c>
      <x:c r="F91" s="21" t="str">
        <x:v>4 Rue du Lac Flats fire</x:v>
      </x:c>
      <x:c r="G91" s="39" t="n">
        <x:v>40496</x:v>
      </x:c>
      <x:c r="H91" s="21" t="str">
        <x:v>4 Rue du Lac Flats高层建筑外立面火灾。死亡 7，受伤 11；表中记录的受影响楼层为 1。</x:v>
      </x:c>
      <x:c r="I91" s="21" t="str">
        <x:v>未检索到/待核实</x:v>
      </x:c>
      <x:c r="J91" s="21" t="str">
        <x:v>死亡 7，受伤 11；表中记录的受影响楼层为 1。</x:v>
      </x:c>
      <x:c r="K91" s="21" t="str">
        <x:v>https://doi.org/10.1007%2F978-1-4939-2898-9_4</x:v>
      </x:c>
      <x:c r="L91" s="27" t="n">
        <x:v>47.31344</x:v>
      </x:c>
      <x:c r="M91" s="27" t="n">
        <x:v>5.01391</x:v>
      </x:c>
      <x:c r="N91" s="21" t="str">
        <x:v>城市代表点（来源明确说明不是火场坐标）</x:v>
      </x:c>
      <x:c r="O91" s="21" t="str">
        <x:v>高层建筑外立面火灾</x:v>
      </x:c>
      <x:c r="P91" s="21" t="str">
        <x:v>residential</x:v>
      </x:c>
      <x:c r="Q91" s="21" t="str">
        <x:v>未检索到</x:v>
      </x:c>
      <x:c r="R91" s="21" t="str">
        <x:v>1</x:v>
      </x:c>
      <x:c r="S91" s="21" t="str">
        <x:v>未检索到</x:v>
      </x:c>
      <x:c r="T91" s="42" t="n">
        <x:v>7</x:v>
      </x:c>
      <x:c r="U91" s="42" t="n">
        <x:v>11</x:v>
      </x:c>
      <x:c r="V91" s="42"/>
      <x:c r="W91" s="33" t="str">
        <x:v>C</x:v>
      </x:c>
      <x:c r="X91" s="33" t="str">
        <x:v>compendium_needs_independent_verification</x:v>
      </x:c>
      <x:c r="Y91" s="33" t="str">
        <x:v>专题汇编记录</x:v>
      </x:c>
      <x:c r="Z91" s="21" t="str">
        <x:v>Wikipedia高层专题表；需补充独立来源核验</x:v>
      </x:c>
      <x:c r="AA91" s="21" t="str">
        <x:v>List of high-rise façade fires | Wikipedia high-rise façade list; derived from Bonner et al./news (candidate discovery)</x:v>
      </x:c>
      <x:c r="AB91" s="21" t="str">
        <x:v>Wikipedia专题列表 | 批量来源代理</x:v>
      </x:c>
      <x:c r="AC91" s="21" t="str">
        <x:v>https://en.wikipedia.org/wiki/List_of_high-rise_fa%C3%A7ade_fires</x:v>
      </x:c>
      <x:c r="AD91" s="21" t="n">
        <x:v>2</x:v>
      </x:c>
      <x:c r="AE91" s="21" t="str">
        <x:v>可访问(200)</x:v>
      </x:c>
      <x:c r="AF91" s="21" t="str">
        <x:v>https://en.wikipedia.org/wiki/List_of_high-rise_fa%C3%A7ade_fires =&gt; 可访问(200)</x:v>
      </x:c>
      <x:c r="AG91" s="24" t="n">
        <x:v>46260</x:v>
      </x:c>
      <x:c r="AH91" s="21" t="str"/>
      <x:c r="AI91" s="21" t="n">
        <x:v>1</x:v>
      </x:c>
      <x:c r="AJ91" s="21" t="str">
        <x:v>未评估（本事件表不建立热浪因果关系）</x:v>
      </x:c>
      <x:c r="AK91" s="21" t="str">
        <x:v>缺失/待核实</x:v>
      </x:c>
    </x:row>
    <x:row r="92" ht="42" customHeight="1">
      <x:c r="A92" s="33" t="n">
        <x:v>91</x:v>
      </x:c>
      <x:c r="B92" s="33" t="str">
        <x:v>HRF-0091</x:v>
      </x:c>
      <x:c r="C92" s="36" t="str">
        <x:v>欧洲</x:v>
      </x:c>
      <x:c r="D92" s="36" t="str">
        <x:v>France</x:v>
      </x:c>
      <x:c r="E92" s="21" t="str">
        <x:v>Fontaine d'Ouche, Dijon, Bourgogne-Franche-Comté, France</x:v>
      </x:c>
      <x:c r="F92" s="21" t="str">
        <x:v>Rue du Lac migrant residence fire</x:v>
      </x:c>
      <x:c r="G92" s="39" t="n">
        <x:v>40496</x:v>
      </x:c>
      <x:c r="H92" s="21" t="str">
        <x:v>第戎一栋9层移民工人宿舍附属垃圾房起火，强风将火焰推向外墙并造成大量烟气伤害。</x:v>
      </x:c>
      <x:c r="I92" s="21" t="str">
        <x:v>底层相邻垃圾房起火；强风促使火焰贴外墙传播，确切点火原因待查。</x:v>
      </x:c>
      <x:c r="J92" s="21" t="str">
        <x:v>7人死亡；至少11人重伤，高层汇总表记11伤，但同期媒体报道总受伤逾100；需区分重伤与所有就医者。</x:v>
      </x:c>
      <x:c r="K92" s="21" t="str">
        <x:v>https://www.interieur.gouv.fr/fr/Archives/Archives-des-actualites/2010-Actualites/Incendie-dans-un-foyer-Sonacotra-Adoma</x:v>
      </x:c>
      <x:c r="L92" s="27" t="n">
        <x:v>47.322</x:v>
      </x:c>
      <x:c r="M92" s="27" t="n">
        <x:v>5.009</x:v>
      </x:c>
      <x:c r="N92" s="21" t="str">
        <x:v>事件/建筑近似点（候选来源提供）</x:v>
      </x:c>
      <x:c r="O92" s="21" t="str">
        <x:v>multi-storey residential façade fire</x:v>
      </x:c>
      <x:c r="P92" s="21" t="str">
        <x:v>residential / migrant workers' residence</x:v>
      </x:c>
      <x:c r="Q92" s="21" t="str">
        <x:v>9 storeys</x:v>
      </x:c>
      <x:c r="R92" s="21" t="str">
        <x:v>未检索到</x:v>
      </x:c>
      <x:c r="S92" s="21" t="str">
        <x:v>未检索到</x:v>
      </x:c>
      <x:c r="T92" s="42" t="n">
        <x:v>7</x:v>
      </x:c>
      <x:c r="U92" s="42" t="n">
        <x:v>11</x:v>
      </x:c>
      <x:c r="V92" s="42" t="n">
        <x:v>141</x:v>
      </x:c>
      <x:c r="W92" s="33" t="str">
        <x:v>A</x:v>
      </x:c>
      <x:c r="X92" s="33" t="str">
        <x:v>threshold_review_9_storeys</x:v>
      </x:c>
      <x:c r="Y92" s="33" t="str">
        <x:v>候选待核实</x:v>
      </x:c>
      <x:c r="Z92" s="21" t="str">
        <x:v>法国内政部确认9层建筑和重大伤亡；9层是否满足最终高层阈值需统一口径。</x:v>
      </x:c>
      <x:c r="AA92" s="21" t="str">
        <x:v>区域代理-欧洲非洲</x:v>
      </x:c>
      <x:c r="AB92" s="21" t="str">
        <x:v>区域代理-欧洲非洲</x:v>
      </x:c>
      <x:c r="AC92" s="21" t="str"/>
      <x:c r="AD92" s="21" t="n">
        <x:v>1</x:v>
      </x:c>
      <x:c r="AE92" s="21" t="str">
        <x:v>受限(403)</x:v>
      </x:c>
      <x:c r="AF92" s="21" t="str"/>
      <x:c r="AG92" s="24" t="n">
        <x:v>46260</x:v>
      </x:c>
      <x:c r="AH92" s="21" t="str"/>
      <x:c r="AI92" s="21" t="n">
        <x:v>1</x:v>
      </x:c>
      <x:c r="AJ92" s="21" t="str">
        <x:v>未评估（本事件表不建立热浪因果关系）</x:v>
      </x:c>
      <x:c r="AK92" s="21" t="str">
        <x:v>已有来源描述</x:v>
      </x:c>
    </x:row>
    <x:row r="93" ht="42" customHeight="1">
      <x:c r="A93" s="33" t="n">
        <x:v>92</x:v>
      </x:c>
      <x:c r="B93" s="33" t="str">
        <x:v>HRF-0092</x:v>
      </x:c>
      <x:c r="C93" s="36" t="str">
        <x:v>欧洲</x:v>
      </x:c>
      <x:c r="D93" s="36" t="str">
        <x:v>Russia</x:v>
      </x:c>
      <x:c r="E93" s="21" t="str">
        <x:v>Moscow</x:v>
      </x:c>
      <x:c r="F93" s="21" t="str">
        <x:v>Federation Tower (East Tower) fire</x:v>
      </x:c>
      <x:c r="G93" s="39" t="n">
        <x:v>41001</x:v>
      </x:c>
      <x:c r="H93" s="21" t="str">
        <x:v>Federation Tower (East Tower)高层建筑火灾；建筑高度记录为 450 m。死亡人数：0。Occurred while the building was under construction</x:v>
      </x:c>
      <x:c r="I93" s="21" t="str">
        <x:v>未检索到/待核实</x:v>
      </x:c>
      <x:c r="J93" s="21" t="str">
        <x:v>死亡人数：0。Occurred while the building was under construction</x:v>
      </x:c>
      <x:c r="K93" s="21" t="str">
        <x:v>https://en.wikipedia.org/wiki/List_of_fires_in_high-rise_buildings</x:v>
      </x:c>
      <x:c r="L93" s="27" t="n">
        <x:v>55.75204</x:v>
      </x:c>
      <x:c r="M93" s="27" t="n">
        <x:v>37.61781</x:v>
      </x:c>
      <x:c r="N93" s="21" t="str">
        <x:v>城市代表点（来源明确说明不是火场坐标）</x:v>
      </x:c>
      <x:c r="O93" s="21" t="str">
        <x:v>高层建筑火灾</x:v>
      </x:c>
      <x:c r="P93" s="21" t="str">
        <x:v>under construction</x:v>
      </x:c>
      <x:c r="Q93" s="21" t="str">
        <x:v>450 m</x:v>
      </x:c>
      <x:c r="R93" s="21" t="str">
        <x:v>未检索到</x:v>
      </x:c>
      <x:c r="S93" s="21" t="str">
        <x:v>未检索到</x:v>
      </x:c>
      <x:c r="T93" s="42" t="n">
        <x:v>0</x:v>
      </x:c>
      <x:c r="U93" s="42"/>
      <x:c r="V93" s="42"/>
      <x:c r="W93" s="33" t="str">
        <x:v>C</x:v>
      </x:c>
      <x:c r="X93" s="33" t="str">
        <x:v>compendium_needs_independent_verification</x:v>
      </x:c>
      <x:c r="Y93" s="33" t="str">
        <x:v>专题汇编记录</x:v>
      </x:c>
      <x:c r="Z93" s="21" t="str">
        <x:v>Wikipedia高层建筑专题表；需补充独立来源核验</x:v>
      </x:c>
      <x:c r="AA93" s="21" t="str">
        <x:v>List of fires in high-rise buildings | Wikipedia dynamic high-rise list (candidate discovery)</x:v>
      </x:c>
      <x:c r="AB93" s="21" t="str">
        <x:v>Wikipedia专题列表 | 批量来源代理</x:v>
      </x:c>
      <x:c r="AC93" s="21" t="str"/>
      <x:c r="AD93" s="21" t="n">
        <x:v>1</x:v>
      </x:c>
      <x:c r="AE93" s="21" t="str">
        <x:v>可访问(200)</x:v>
      </x:c>
      <x:c r="AF93" s="21" t="str"/>
      <x:c r="AG93" s="24" t="n">
        <x:v>46260</x:v>
      </x:c>
      <x:c r="AH93" s="21" t="str"/>
      <x:c r="AI93" s="21" t="n">
        <x:v>1</x:v>
      </x:c>
      <x:c r="AJ93" s="21" t="str">
        <x:v>未评估（本事件表不建立热浪因果关系）</x:v>
      </x:c>
      <x:c r="AK93" s="21" t="str">
        <x:v>缺失/待核实</x:v>
      </x:c>
    </x:row>
    <x:row r="94" ht="42" customHeight="1">
      <x:c r="A94" s="33" t="n">
        <x:v>93</x:v>
      </x:c>
      <x:c r="B94" s="33" t="str">
        <x:v>HRF-0093</x:v>
      </x:c>
      <x:c r="C94" s="36" t="str">
        <x:v>欧洲</x:v>
      </x:c>
      <x:c r="D94" s="36" t="str">
        <x:v>France</x:v>
      </x:c>
      <x:c r="E94" s="21" t="str">
        <x:v>Roubaix, Hauts-de-France, France</x:v>
      </x:c>
      <x:c r="F94" s="21" t="str">
        <x:v>Mermoz Tower fire</x:v>
      </x:c>
      <x:c r="G94" s="39" t="n">
        <x:v>41043</x:v>
      </x:c>
      <x:c r="H94" s="21" t="str">
        <x:v>18层社会住宅一层阳台起火后，火焰沿可燃外墙系统快速蔓延至高层。</x:v>
      </x:c>
      <x:c r="I94" s="21" t="str">
        <x:v>一层阳台堆放的过量可燃物可能被烟头点燃；火经Alucobond PE外墙系统向上扩展。</x:v>
      </x:c>
      <x:c r="J94" s="21" t="str">
        <x:v>1人死亡；同期报道8至10人受伤，约250人疏散并需安置。</x:v>
      </x:c>
      <x:c r="K94" s="21" t="str">
        <x:v>https://douai.cour-administrative-appel.fr/decisions-de-justice/dernieres-decisions/incendie-de-la-tour-mermoz-a-roubaix-la-cour-censure-le-jugement-du-tribunal-administratif-de-lille-et-rejette-la-demande-de-lille-metropole-ha</x:v>
      </x:c>
      <x:c r="L94" s="27" t="n">
        <x:v>50.6927</x:v>
      </x:c>
      <x:c r="M94" s="27" t="n">
        <x:v>3.1746</x:v>
      </x:c>
      <x:c r="N94" s="21" t="str">
        <x:v>事件/建筑近似点（候选来源提供）</x:v>
      </x:c>
      <x:c r="O94" s="21" t="str">
        <x:v>high-rise residential façade fire</x:v>
      </x:c>
      <x:c r="P94" s="21" t="str">
        <x:v>residential / social housing</x:v>
      </x:c>
      <x:c r="Q94" s="21" t="str">
        <x:v>18 storeys</x:v>
      </x:c>
      <x:c r="R94" s="21" t="str">
        <x:v>17</x:v>
      </x:c>
      <x:c r="S94" s="21" t="str">
        <x:v>façade refurbished before fire</x:v>
      </x:c>
      <x:c r="T94" s="42" t="n">
        <x:v>1</x:v>
      </x:c>
      <x:c r="U94" s="42" t="n">
        <x:v>10</x:v>
      </x:c>
      <x:c r="V94" s="42" t="n">
        <x:v>250</x:v>
      </x:c>
      <x:c r="W94" s="33" t="str">
        <x:v>A</x:v>
      </x:c>
      <x:c r="X94" s="33" t="str">
        <x:v>confirmed_highrise</x:v>
      </x:c>
      <x:c r="Y94" s="33" t="str">
        <x:v>严格确认</x:v>
      </x:c>
      <x:c r="Z94" s="21" t="str">
        <x:v>法国行政上诉法院判决确认事件、住宅用途、外墙工程与死亡；Grenfell Inquiry资料确认18层。</x:v>
      </x:c>
      <x:c r="AA94" s="21" t="str">
        <x:v>List of fires in high-rise buildings | List of high-rise façade fires | Wikipedia dynamic high-rise list (candidate discovery) | 区域代理-欧洲非洲</x:v>
      </x:c>
      <x:c r="AB94" s="21" t="str">
        <x:v>Wikipedia专题列表 | 区域代理-欧洲非洲 | 批量来源代理</x:v>
      </x:c>
      <x:c r="AC94" s="21" t="str">
        <x:v>https://doi.org/10.1007%2F978-1-4939-2898-9_4 | https://en.wikipedia.org/wiki/List_of_fires_in_high-rise_buildings</x:v>
      </x:c>
      <x:c r="AD94" s="21" t="n">
        <x:v>3</x:v>
      </x:c>
      <x:c r="AE94" s="21" t="str">
        <x:v>可访问(200)</x:v>
      </x:c>
      <x:c r="AF94" s="21" t="str">
        <x:v>https://doi.org/10.1007%2F978-1-4939-2898-9_4 =&gt; 可访问(200) | https://en.wikipedia.org/wiki/List_of_fires_in_high-rise_buildings =&gt; 可访问(200)</x:v>
      </x:c>
      <x:c r="AG94" s="24" t="n">
        <x:v>46260</x:v>
      </x:c>
      <x:c r="AH94" s="21" t="str"/>
      <x:c r="AI94" s="21" t="n">
        <x:v>1</x:v>
      </x:c>
      <x:c r="AJ94" s="21" t="str">
        <x:v>未评估（本事件表不建立热浪因果关系）</x:v>
      </x:c>
      <x:c r="AK94" s="21" t="str">
        <x:v>已有来源描述</x:v>
      </x:c>
    </x:row>
    <x:row r="95" ht="42" customHeight="1">
      <x:c r="A95" s="33" t="n">
        <x:v>94</x:v>
      </x:c>
      <x:c r="B95" s="33" t="str">
        <x:v>HRF-0094</x:v>
      </x:c>
      <x:c r="C95" s="36" t="str">
        <x:v>欧洲</x:v>
      </x:c>
      <x:c r="D95" s="36" t="str">
        <x:v>Russia</x:v>
      </x:c>
      <x:c r="E95" s="21" t="str">
        <x:v>Moscow</x:v>
      </x:c>
      <x:c r="F95" s="21" t="str">
        <x:v>Oko Tower 1 fire</x:v>
      </x:c>
      <x:c r="G95" s="39" t="n">
        <x:v>41299</x:v>
      </x:c>
      <x:c r="H95" s="21" t="str">
        <x:v>Oko Tower 1高层建筑火灾；建筑高度记录为 354.1 m。死亡人数：0。Fire occurred on 24th floor during construction, one worker was injured.</x:v>
      </x:c>
      <x:c r="I95" s="21" t="str">
        <x:v>未检索到/待核实</x:v>
      </x:c>
      <x:c r="J95" s="21" t="str">
        <x:v>死亡人数：0。Fire occurred on 24th floor during construction, one worker was injured.</x:v>
      </x:c>
      <x:c r="K95" s="21" t="str">
        <x:v>https://www.reuters.com/article/uk-russia-skyscraper-fire-idUSLNE90O02B20130125</x:v>
      </x:c>
      <x:c r="L95" s="27" t="n">
        <x:v>55.75204</x:v>
      </x:c>
      <x:c r="M95" s="27" t="n">
        <x:v>37.61781</x:v>
      </x:c>
      <x:c r="N95" s="21" t="str">
        <x:v>城市代表点（来源明确说明不是火场坐标）</x:v>
      </x:c>
      <x:c r="O95" s="21" t="str">
        <x:v>高层建筑火灾</x:v>
      </x:c>
      <x:c r="P95" s="21" t="str">
        <x:v>未检索到</x:v>
      </x:c>
      <x:c r="Q95" s="21" t="str">
        <x:v>354.1 m</x:v>
      </x:c>
      <x:c r="R95" s="21" t="str">
        <x:v>未检索到</x:v>
      </x:c>
      <x:c r="S95" s="21" t="str">
        <x:v>未检索到</x:v>
      </x:c>
      <x:c r="T95" s="42" t="n">
        <x:v>0</x:v>
      </x:c>
      <x:c r="U95" s="42"/>
      <x:c r="V95" s="42"/>
      <x:c r="W95" s="33" t="str">
        <x:v>C</x:v>
      </x:c>
      <x:c r="X95" s="33" t="str">
        <x:v>compendium_needs_independent_verification</x:v>
      </x:c>
      <x:c r="Y95" s="33" t="str">
        <x:v>专题汇编记录</x:v>
      </x:c>
      <x:c r="Z95" s="21" t="str">
        <x:v>Wikipedia高层建筑专题表；需补充独立来源核验</x:v>
      </x:c>
      <x:c r="AA95" s="21" t="str">
        <x:v>List of fires in high-rise buildings | Wikipedia dynamic high-rise list (candidate discovery)</x:v>
      </x:c>
      <x:c r="AB95" s="21" t="str">
        <x:v>Wikipedia专题列表 | 批量来源代理</x:v>
      </x:c>
      <x:c r="AC95" s="21" t="str">
        <x:v>https://en.wikipedia.org/wiki/List_of_fires_in_high-rise_buildings</x:v>
      </x:c>
      <x:c r="AD95" s="21" t="n">
        <x:v>2</x:v>
      </x:c>
      <x:c r="AE95" s="21" t="str">
        <x:v>受限(401)</x:v>
      </x:c>
      <x:c r="AF95" s="21" t="str">
        <x:v>https://en.wikipedia.org/wiki/List_of_fires_in_high-rise_buildings =&gt; 可访问(200)</x:v>
      </x:c>
      <x:c r="AG95" s="24" t="n">
        <x:v>46260</x:v>
      </x:c>
      <x:c r="AH95" s="21" t="str"/>
      <x:c r="AI95" s="21" t="n">
        <x:v>1</x:v>
      </x:c>
      <x:c r="AJ95" s="21" t="str">
        <x:v>未评估（本事件表不建立热浪因果关系）</x:v>
      </x:c>
      <x:c r="AK95" s="21" t="str">
        <x:v>缺失/待核实</x:v>
      </x:c>
    </x:row>
    <x:row r="96" ht="42" customHeight="1">
      <x:c r="A96" s="33" t="n">
        <x:v>95</x:v>
      </x:c>
      <x:c r="B96" s="33" t="str">
        <x:v>HRF-0095</x:v>
      </x:c>
      <x:c r="C96" s="36" t="str">
        <x:v>欧洲</x:v>
      </x:c>
      <x:c r="D96" s="36" t="str">
        <x:v>Russia</x:v>
      </x:c>
      <x:c r="E96" s="21" t="str">
        <x:v>Grozny City, Grozny, Chechen Republic, Russia</x:v>
      </x:c>
      <x:c r="F96" s="21" t="str">
        <x:v>Grozny-City Olimp Tower fire</x:v>
      </x:c>
      <x:c r="G96" s="39" t="n">
        <x:v>41367</x:v>
      </x:c>
      <x:c r="H96" s="21" t="str">
        <x:v>Grozny-City综合体40层住宅塔楼外立面大面积燃烧。</x:v>
      </x:c>
      <x:c r="I96" s="21" t="str">
        <x:v>官方初步判断为短路，起火于4层或5层附近。</x:v>
      </x:c>
      <x:c r="J96" s="21" t="str">
        <x:v>外立面几乎贯穿全高燃烧；无死亡或受伤报道。</x:v>
      </x:c>
      <x:c r="K96" s="21" t="str">
        <x:v>https://www.themoscowtimes.com/2013/04/04/short-circuit-blamed-for-blaze-at-groznys-tallest-building-a22947</x:v>
      </x:c>
      <x:c r="L96" s="27" t="n">
        <x:v>43.3169</x:v>
      </x:c>
      <x:c r="M96" s="27" t="n">
        <x:v>45.6981</x:v>
      </x:c>
      <x:c r="N96" s="21" t="str">
        <x:v>事件/建筑近似点（候选来源提供）</x:v>
      </x:c>
      <x:c r="O96" s="21" t="str">
        <x:v>high-rise residential façade fire</x:v>
      </x:c>
      <x:c r="P96" s="21" t="str">
        <x:v>residential tower, under completion / not occupied</x:v>
      </x:c>
      <x:c r="Q96" s="21" t="str">
        <x:v>40 storeys</x:v>
      </x:c>
      <x:c r="R96" s="21" t="str">
        <x:v>40</x:v>
      </x:c>
      <x:c r="S96" s="21" t="str">
        <x:v>new / not yet occupied</x:v>
      </x:c>
      <x:c r="T96" s="42" t="n">
        <x:v>0</x:v>
      </x:c>
      <x:c r="U96" s="42" t="n">
        <x:v>0</x:v>
      </x:c>
      <x:c r="V96" s="42" t="n">
        <x:v>0</x:v>
      </x:c>
      <x:c r="W96" s="33" t="str">
        <x:v>B</x:v>
      </x:c>
      <x:c r="X96" s="33" t="str">
        <x:v>confirmed_highrise</x:v>
      </x:c>
      <x:c r="Y96" s="33" t="str">
        <x:v>严格确认</x:v>
      </x:c>
      <x:c r="Z96" s="21" t="str">
        <x:v>新闻正文明确40层、住宅用途和初步原因；建筑当时尚未投入使用。</x:v>
      </x:c>
      <x:c r="AA96" s="21" t="str">
        <x:v>List of fires in high-rise buildings | List of high-rise façade fires | Wikipedia dynamic high-rise list (candidate discovery) | 区域代理-欧洲非洲</x:v>
      </x:c>
      <x:c r="AB96" s="21" t="str">
        <x:v>Wikipedia专题列表 | 区域代理-欧洲非洲 | 批量来源代理</x:v>
      </x:c>
      <x:c r="AC96" s="21" t="str">
        <x:v>https://doi.org/10.1007%2F978-1-4939-2898-9_4 | https://en.wikipedia.org/wiki/List_of_fires_in_high-rise_buildings</x:v>
      </x:c>
      <x:c r="AD96" s="21" t="n">
        <x:v>3</x:v>
      </x:c>
      <x:c r="AE96" s="21" t="str">
        <x:v>可访问(200)</x:v>
      </x:c>
      <x:c r="AF96" s="21" t="str">
        <x:v>https://doi.org/10.1007%2F978-1-4939-2898-9_4 =&gt; 可访问(200) | https://en.wikipedia.org/wiki/List_of_fires_in_high-rise_buildings =&gt; 可访问(200)</x:v>
      </x:c>
      <x:c r="AG96" s="24" t="n">
        <x:v>46260</x:v>
      </x:c>
      <x:c r="AH96" s="21" t="str"/>
      <x:c r="AI96" s="21" t="n">
        <x:v>1</x:v>
      </x:c>
      <x:c r="AJ96" s="21" t="str">
        <x:v>未评估（本事件表不建立热浪因果关系）</x:v>
      </x:c>
      <x:c r="AK96" s="21" t="str">
        <x:v>已有来源描述</x:v>
      </x:c>
    </x:row>
    <x:row r="97" ht="42" customHeight="1">
      <x:c r="A97" s="33" t="n">
        <x:v>96</x:v>
      </x:c>
      <x:c r="B97" s="33" t="str">
        <x:v>HRF-0096</x:v>
      </x:c>
      <x:c r="C97" s="36" t="str">
        <x:v>欧洲</x:v>
      </x:c>
      <x:c r="D97" s="36" t="str">
        <x:v>Russia</x:v>
      </x:c>
      <x:c r="E97" s="21" t="str">
        <x:v>Krasnoyarsk</x:v>
      </x:c>
      <x:c r="F97" s="21" t="str">
        <x:v>Krasnoyarsk Apartments fire</x:v>
      </x:c>
      <x:c r="G97" s="39" t="n">
        <x:v>41903</x:v>
      </x:c>
      <x:c r="H97" s="21" t="str">
        <x:v>Krasnoyarsk Apartments高层建筑外立面火灾。死亡 0，受伤 0；表中记录的受影响楼层为 25。</x:v>
      </x:c>
      <x:c r="I97" s="21" t="str">
        <x:v>未检索到/待核实</x:v>
      </x:c>
      <x:c r="J97" s="21" t="str">
        <x:v>死亡 0，受伤 0；表中记录的受影响楼层为 25。</x:v>
      </x:c>
      <x:c r="K97" s="21" t="str">
        <x:v>http://siberiantimes.com/other/others/news/shocking-blaze-rips-through-25-floor-apartment-block-in-krasnoyarsk/</x:v>
      </x:c>
      <x:c r="L97" s="27" t="n">
        <x:v>56.03742</x:v>
      </x:c>
      <x:c r="M97" s="27" t="n">
        <x:v>92.93136</x:v>
      </x:c>
      <x:c r="N97" s="21" t="str">
        <x:v>城市代表点（来源明确说明不是火场坐标）</x:v>
      </x:c>
      <x:c r="O97" s="21" t="str">
        <x:v>高层建筑外立面火灾</x:v>
      </x:c>
      <x:c r="P97" s="21" t="str">
        <x:v>residential</x:v>
      </x:c>
      <x:c r="Q97" s="21" t="str">
        <x:v>未检索到</x:v>
      </x:c>
      <x:c r="R97" s="21" t="str">
        <x:v>25</x:v>
      </x:c>
      <x:c r="S97" s="21" t="str">
        <x:v>未检索到</x:v>
      </x:c>
      <x:c r="T97" s="42" t="n">
        <x:v>0</x:v>
      </x:c>
      <x:c r="U97" s="42" t="n">
        <x:v>0</x:v>
      </x:c>
      <x:c r="V97" s="42"/>
      <x:c r="W97" s="33" t="str">
        <x:v>C</x:v>
      </x:c>
      <x:c r="X97" s="33" t="str">
        <x:v>compendium_needs_independent_verification</x:v>
      </x:c>
      <x:c r="Y97" s="33" t="str">
        <x:v>专题汇编记录</x:v>
      </x:c>
      <x:c r="Z97" s="21" t="str">
        <x:v>Wikipedia高层专题表；需补充独立来源核验</x:v>
      </x:c>
      <x:c r="AA97" s="21" t="str">
        <x:v>List of high-rise façade fires | Wikipedia high-rise façade list; derived from Bonner et al./news (candidate discovery)</x:v>
      </x:c>
      <x:c r="AB97" s="21" t="str">
        <x:v>Wikipedia专题列表 | 批量来源代理</x:v>
      </x:c>
      <x:c r="AC97" s="21" t="str">
        <x:v>https://en.wikipedia.org/wiki/List_of_high-rise_fa%C3%A7ade_fires</x:v>
      </x:c>
      <x:c r="AD97" s="21" t="n">
        <x:v>2</x:v>
      </x:c>
      <x:c r="AE97" s="21" t="str">
        <x:v>访问失败(RemoteDisconnected)</x:v>
      </x:c>
      <x:c r="AF97" s="21" t="str">
        <x:v>https://en.wikipedia.org/wiki/List_of_high-rise_fa%C3%A7ade_fires =&gt; 可访问(200)</x:v>
      </x:c>
      <x:c r="AG97" s="24" t="n">
        <x:v>46260</x:v>
      </x:c>
      <x:c r="AH97" s="21" t="str"/>
      <x:c r="AI97" s="21" t="n">
        <x:v>1</x:v>
      </x:c>
      <x:c r="AJ97" s="21" t="str">
        <x:v>未评估（本事件表不建立热浪因果关系）</x:v>
      </x:c>
      <x:c r="AK97" s="21" t="str">
        <x:v>缺失/待核实</x:v>
      </x:c>
    </x:row>
    <x:row r="98" ht="42" customHeight="1">
      <x:c r="A98" s="33" t="n">
        <x:v>97</x:v>
      </x:c>
      <x:c r="B98" s="33" t="str">
        <x:v>HRF-0097</x:v>
      </x:c>
      <x:c r="C98" s="36" t="str">
        <x:v>欧洲</x:v>
      </x:c>
      <x:c r="D98" s="36" t="str">
        <x:v>France</x:v>
      </x:c>
      <x:c r="E98" s="21" t="str">
        <x:v>Puteaux, Paris</x:v>
      </x:c>
      <x:c r="F98" s="21" t="str">
        <x:v>Franklin Tower, 100-101 Terr. Boieldieu, Tower A fire</x:v>
      </x:c>
      <x:c r="G98" s="39" t="n">
        <x:v>42080</x:v>
      </x:c>
      <x:c r="H98" s="21" t="str">
        <x:v>Franklin Tower, 100-101 Terr. Boieldieu, Tower A高层建筑火灾；建筑高度记录为 120 m。死亡人数：0。Unstated cause, ignition on 40th flr in technical room, contained by 30 firefighters via internal wet column (a pressurized vertical pipe).</x:v>
      </x:c>
      <x:c r="I98" s="21" t="str">
        <x:v>Unstated cause, ignition on 40th flr in technical room, contained by 30 firefighters via internal wet column (a pressurized vertical pipe).</x:v>
      </x:c>
      <x:c r="J98" s="21" t="str">
        <x:v>死亡人数：0。Unstated cause, ignition on 40th flr in technical room, contained by 30 firefighters via internal wet column (a pressurized vertical pipe).</x:v>
      </x:c>
      <x:c r="K98" s="21" t="str">
        <x:v>https://m.youtube.com/watch?v=8R1dmAakaUc</x:v>
      </x:c>
      <x:c r="L98" s="27" t="n">
        <x:v>48.88341</x:v>
      </x:c>
      <x:c r="M98" s="27" t="n">
        <x:v>2.23894</x:v>
      </x:c>
      <x:c r="N98" s="21" t="str">
        <x:v>城市代表点（GeoNames；不是建筑精确坐标）</x:v>
      </x:c>
      <x:c r="O98" s="21" t="str">
        <x:v>高层建筑火灾</x:v>
      </x:c>
      <x:c r="P98" s="21" t="str">
        <x:v>未检索到</x:v>
      </x:c>
      <x:c r="Q98" s="21" t="str">
        <x:v>120 m</x:v>
      </x:c>
      <x:c r="R98" s="21" t="str">
        <x:v>未检索到</x:v>
      </x:c>
      <x:c r="S98" s="21" t="str">
        <x:v>未检索到</x:v>
      </x:c>
      <x:c r="T98" s="42" t="n">
        <x:v>0</x:v>
      </x:c>
      <x:c r="U98" s="42"/>
      <x:c r="V98" s="42"/>
      <x:c r="W98" s="33" t="str">
        <x:v>C</x:v>
      </x:c>
      <x:c r="X98" s="33" t="str">
        <x:v>compendium_needs_independent_verification</x:v>
      </x:c>
      <x:c r="Y98" s="33" t="str">
        <x:v>专题汇编记录</x:v>
      </x:c>
      <x:c r="Z98" s="21" t="str">
        <x:v>Wikipedia高层建筑专题表；需补充独立来源核验</x:v>
      </x:c>
      <x:c r="AA98" s="21" t="str">
        <x:v>List of fires in high-rise buildings | Wikipedia dynamic high-rise list (candidate discovery)</x:v>
      </x:c>
      <x:c r="AB98" s="21" t="str">
        <x:v>Wikipedia专题列表 | 批量来源代理</x:v>
      </x:c>
      <x:c r="AC98" s="21" t="str">
        <x:v>https://en.wikipedia.org/wiki/List_of_fires_in_high-rise_buildings</x:v>
      </x:c>
      <x:c r="AD98" s="21" t="n">
        <x:v>2</x:v>
      </x:c>
      <x:c r="AE98" s="21" t="str">
        <x:v>可访问(200)</x:v>
      </x:c>
      <x:c r="AF98" s="21" t="str">
        <x:v>https://en.wikipedia.org/wiki/List_of_fires_in_high-rise_buildings =&gt; 可访问(200)</x:v>
      </x:c>
      <x:c r="AG98" s="24" t="n">
        <x:v>46260</x:v>
      </x:c>
      <x:c r="AH98" s="21" t="str"/>
      <x:c r="AI98" s="21" t="n">
        <x:v>1</x:v>
      </x:c>
      <x:c r="AJ98" s="21" t="str">
        <x:v>未评估（本事件表不建立热浪因果关系）</x:v>
      </x:c>
      <x:c r="AK98" s="21" t="str">
        <x:v>已有来源描述</x:v>
      </x:c>
    </x:row>
    <x:row r="99" ht="42" customHeight="1">
      <x:c r="A99" s="33" t="n">
        <x:v>98</x:v>
      </x:c>
      <x:c r="B99" s="33" t="str">
        <x:v>HRF-0098</x:v>
      </x:c>
      <x:c r="C99" s="36" t="str">
        <x:v>欧洲</x:v>
      </x:c>
      <x:c r="D99" s="36" t="str">
        <x:v>France</x:v>
      </x:c>
      <x:c r="E99" s="21" t="str">
        <x:v>Paris</x:v>
      </x:c>
      <x:c r="F99" s="21" t="str">
        <x:v>The Franklin Tower fire</x:v>
      </x:c>
      <x:c r="G99" s="39" t="n">
        <x:v>42080</x:v>
      </x:c>
      <x:c r="H99" s="21" t="str">
        <x:v>The Franklin Tower高层建筑外立面火灾。死亡 0，受伤 0；表中记录的受影响楼层为 2。</x:v>
      </x:c>
      <x:c r="I99" s="21" t="str">
        <x:v>未核实。</x:v>
      </x:c>
      <x:c r="J99" s="21" t="str">
        <x:v>死亡 0，受伤 0；表中记录的受影响楼层为 2。</x:v>
      </x:c>
      <x:c r="K99" s="21" t="str">
        <x:v>https://m.youtube.com/watch?v=8R1dmAakaUc</x:v>
      </x:c>
      <x:c r="L99" s="27" t="n">
        <x:v>48.8918</x:v>
      </x:c>
      <x:c r="M99" s="27" t="n">
        <x:v>2.2386</x:v>
      </x:c>
      <x:c r="N99" s="21" t="str">
        <x:v>事件/建筑近似点（候选来源提供）</x:v>
      </x:c>
      <x:c r="O99" s="21" t="str">
        <x:v>高层建筑外立面火灾</x:v>
      </x:c>
      <x:c r="P99" s="21" t="str">
        <x:v>office</x:v>
      </x:c>
      <x:c r="Q99" s="21" t="str">
        <x:v>未检索到</x:v>
      </x:c>
      <x:c r="R99" s="21" t="str">
        <x:v>2</x:v>
      </x:c>
      <x:c r="S99" s="21" t="str">
        <x:v>未检索到</x:v>
      </x:c>
      <x:c r="T99" s="42" t="n">
        <x:v>0</x:v>
      </x:c>
      <x:c r="U99" s="42" t="n">
        <x:v>0</x:v>
      </x:c>
      <x:c r="V99" s="42"/>
      <x:c r="W99" s="33" t="str">
        <x:v>C</x:v>
      </x:c>
      <x:c r="X99" s="33" t="str">
        <x:v>compendium_needs_independent_verification</x:v>
      </x:c>
      <x:c r="Y99" s="33" t="str">
        <x:v>专题汇编记录</x:v>
      </x:c>
      <x:c r="Z99" s="21" t="str">
        <x:v>Wikipedia高层专题表；需补充独立来源核验</x:v>
      </x:c>
      <x:c r="AA99" s="21" t="str">
        <x:v>List of high-rise façade fires | Wikipedia high-rise façade list; derived from Bonner et al./news (candidate discovery) | 区域代理-欧洲非洲</x:v>
      </x:c>
      <x:c r="AB99" s="21" t="str">
        <x:v>Wikipedia专题列表 | 区域代理-欧洲非洲 | 批量来源代理</x:v>
      </x:c>
      <x:c r="AC99" s="21" t="str">
        <x:v>https://en.wikipedia.org/wiki/List_of_high-rise_fa%C3%A7ade_fires</x:v>
      </x:c>
      <x:c r="AD99" s="21" t="n">
        <x:v>2</x:v>
      </x:c>
      <x:c r="AE99" s="21" t="str">
        <x:v>可访问(200)</x:v>
      </x:c>
      <x:c r="AF99" s="21" t="str">
        <x:v>https://en.wikipedia.org/wiki/List_of_high-rise_fa%C3%A7ade_fires =&gt; 可访问(200)</x:v>
      </x:c>
      <x:c r="AG99" s="24" t="n">
        <x:v>46260</x:v>
      </x:c>
      <x:c r="AH99" s="21" t="str"/>
      <x:c r="AI99" s="21" t="n">
        <x:v>1</x:v>
      </x:c>
      <x:c r="AJ99" s="21" t="str">
        <x:v>未评估（本事件表不建立热浪因果关系）</x:v>
      </x:c>
      <x:c r="AK99" s="21" t="str">
        <x:v>已有来源描述</x:v>
      </x:c>
    </x:row>
    <x:row r="100" ht="42" customHeight="1">
      <x:c r="A100" s="33" t="n">
        <x:v>99</x:v>
      </x:c>
      <x:c r="B100" s="33" t="str">
        <x:v>HRF-0099</x:v>
      </x:c>
      <x:c r="C100" s="36" t="str">
        <x:v>欧洲</x:v>
      </x:c>
      <x:c r="D100" s="36" t="str">
        <x:v>France</x:v>
      </x:c>
      <x:c r="E100" s="21" t="str">
        <x:v>Paris</x:v>
      </x:c>
      <x:c r="F100" s="21" t="str">
        <x:v>Tour Anvers (in Les Olympiades residential complex) fire</x:v>
      </x:c>
      <x:c r="G100" s="39" t="n">
        <x:v>42381</x:v>
      </x:c>
      <x:c r="H100" s="21" t="str">
        <x:v>Tour Anvers (in Les Olympiades residential complex)高层建筑火灾；建筑高度记录为 104 m。死亡人数：1。16th of 31 flrs, contained to apt without spreading, 1 killed, 31-year-old woman with muscle disability.</x:v>
      </x:c>
      <x:c r="I100" s="21" t="str">
        <x:v>未检索到/待核实</x:v>
      </x:c>
      <x:c r="J100" s="21" t="str">
        <x:v>死亡人数：1。16th of 31 flrs, contained to apt without spreading, 1 killed, 31-year-old woman with muscle disability.</x:v>
      </x:c>
      <x:c r="K100" s="21" t="str">
        <x:v>https://www.leparisien.fr/paris-75/paris-75013/paris-incendie-mortel-dans-une-tour-des-olympiades-12-01-2016-5444163.php</x:v>
      </x:c>
      <x:c r="L100" s="27" t="n">
        <x:v>48.85341</x:v>
      </x:c>
      <x:c r="M100" s="27" t="n">
        <x:v>2.3488</x:v>
      </x:c>
      <x:c r="N100" s="21" t="str">
        <x:v>城市代表点（来源明确说明不是火场坐标）</x:v>
      </x:c>
      <x:c r="O100" s="21" t="str">
        <x:v>高层建筑火灾</x:v>
      </x:c>
      <x:c r="P100" s="21" t="str">
        <x:v>residential</x:v>
      </x:c>
      <x:c r="Q100" s="21" t="str">
        <x:v>104 m</x:v>
      </x:c>
      <x:c r="R100" s="21" t="str">
        <x:v>未检索到</x:v>
      </x:c>
      <x:c r="S100" s="21" t="str">
        <x:v>未检索到</x:v>
      </x:c>
      <x:c r="T100" s="42" t="n">
        <x:v>1</x:v>
      </x:c>
      <x:c r="U100" s="42"/>
      <x:c r="V100" s="42"/>
      <x:c r="W100" s="33" t="str">
        <x:v>C</x:v>
      </x:c>
      <x:c r="X100" s="33" t="str">
        <x:v>compendium_needs_independent_verification</x:v>
      </x:c>
      <x:c r="Y100" s="33" t="str">
        <x:v>专题汇编记录</x:v>
      </x:c>
      <x:c r="Z100" s="21" t="str">
        <x:v>Wikipedia高层建筑专题表；需补充独立来源核验</x:v>
      </x:c>
      <x:c r="AA100" s="21" t="str">
        <x:v>List of fires in high-rise buildings | Wikipedia dynamic high-rise list (candidate discovery)</x:v>
      </x:c>
      <x:c r="AB100" s="21" t="str">
        <x:v>Wikipedia专题列表 | 批量来源代理</x:v>
      </x:c>
      <x:c r="AC100" s="21" t="str">
        <x:v>https://en.wikipedia.org/wiki/List_of_fires_in_high-rise_buildings</x:v>
      </x:c>
      <x:c r="AD100" s="21" t="n">
        <x:v>2</x:v>
      </x:c>
      <x:c r="AE100" s="21" t="str">
        <x:v>可访问(200)</x:v>
      </x:c>
      <x:c r="AF100" s="21" t="str">
        <x:v>https://en.wikipedia.org/wiki/List_of_fires_in_high-rise_buildings =&gt; 可访问(200)</x:v>
      </x:c>
      <x:c r="AG100" s="24" t="n">
        <x:v>46260</x:v>
      </x:c>
      <x:c r="AH100" s="21" t="str"/>
      <x:c r="AI100" s="21" t="n">
        <x:v>1</x:v>
      </x:c>
      <x:c r="AJ100" s="21" t="str">
        <x:v>未评估（本事件表不建立热浪因果关系）</x:v>
      </x:c>
      <x:c r="AK100" s="21" t="str">
        <x:v>缺失/待核实</x:v>
      </x:c>
    </x:row>
    <x:row r="101" ht="42" customHeight="1">
      <x:c r="A101" s="33" t="n">
        <x:v>100</x:v>
      </x:c>
      <x:c r="B101" s="33" t="str">
        <x:v>HRF-0100</x:v>
      </x:c>
      <x:c r="C101" s="36" t="str">
        <x:v>欧洲</x:v>
      </x:c>
      <x:c r="D101" s="36" t="str">
        <x:v>France</x:v>
      </x:c>
      <x:c r="E101" s="21" t="str">
        <x:v>Saint-Denis</x:v>
      </x:c>
      <x:c r="F101" s="21" t="str">
        <x:v>An unidentified tower on avenue Romain-Rolland fire</x:v>
      </x:c>
      <x:c r="G101" s="39" t="n">
        <x:v>42382</x:v>
      </x:c>
      <x:c r="H101" s="21" t="str">
        <x:v>An unidentified tower on avenue Romain-Rolland高层建筑火灾；建筑高度记录为 33 m。死亡人数：1。</x:v>
      </x:c>
      <x:c r="I101" s="21" t="str">
        <x:v>未检索到/待核实</x:v>
      </x:c>
      <x:c r="J101" s="21" t="str">
        <x:v>死亡人数：1。</x:v>
      </x:c>
      <x:c r="K101" s="21" t="str">
        <x:v>https://www.leparisien.fr/seine-saint-denis-93/saint-denis-une-femme-meurt-dans-un-incendie-13-01-2016-5448037.php</x:v>
      </x:c>
      <x:c r="L101" s="27" t="n">
        <x:v>48.93564</x:v>
      </x:c>
      <x:c r="M101" s="27" t="n">
        <x:v>2.35387</x:v>
      </x:c>
      <x:c r="N101" s="21" t="str">
        <x:v>城市代表点（来源明确说明不是火场坐标）</x:v>
      </x:c>
      <x:c r="O101" s="21" t="str">
        <x:v>高层建筑火灾</x:v>
      </x:c>
      <x:c r="P101" s="21" t="str">
        <x:v>未检索到</x:v>
      </x:c>
      <x:c r="Q101" s="21" t="str">
        <x:v>33 m</x:v>
      </x:c>
      <x:c r="R101" s="21" t="str">
        <x:v>未检索到</x:v>
      </x:c>
      <x:c r="S101" s="21" t="str">
        <x:v>未检索到</x:v>
      </x:c>
      <x:c r="T101" s="42" t="n">
        <x:v>1</x:v>
      </x:c>
      <x:c r="U101" s="42"/>
      <x:c r="V101" s="42"/>
      <x:c r="W101" s="33" t="str">
        <x:v>C</x:v>
      </x:c>
      <x:c r="X101" s="33" t="str">
        <x:v>compendium_needs_independent_verification</x:v>
      </x:c>
      <x:c r="Y101" s="33" t="str">
        <x:v>专题汇编记录</x:v>
      </x:c>
      <x:c r="Z101" s="21" t="str">
        <x:v>Wikipedia高层建筑专题表；需补充独立来源核验</x:v>
      </x:c>
      <x:c r="AA101" s="21" t="str">
        <x:v>List of fires in high-rise buildings | Wikipedia dynamic high-rise list (candidate discovery)</x:v>
      </x:c>
      <x:c r="AB101" s="21" t="str">
        <x:v>Wikipedia专题列表 | 批量来源代理</x:v>
      </x:c>
      <x:c r="AC101" s="21" t="str">
        <x:v>https://en.wikipedia.org/wiki/List_of_fires_in_high-rise_buildings</x:v>
      </x:c>
      <x:c r="AD101" s="21" t="n">
        <x:v>2</x:v>
      </x:c>
      <x:c r="AE101" s="21" t="str">
        <x:v>HTTP错误(404)</x:v>
      </x:c>
      <x:c r="AF101" s="21" t="str">
        <x:v>https://en.wikipedia.org/wiki/List_of_fires_in_high-rise_buildings =&gt; 可访问(200)</x:v>
      </x:c>
      <x:c r="AG101" s="24" t="n">
        <x:v>46260</x:v>
      </x:c>
      <x:c r="AH101" s="21" t="str"/>
      <x:c r="AI101" s="21" t="n">
        <x:v>1</x:v>
      </x:c>
      <x:c r="AJ101" s="21" t="str">
        <x:v>未评估（本事件表不建立热浪因果关系）</x:v>
      </x:c>
      <x:c r="AK101" s="21" t="str">
        <x:v>缺失/待核实</x:v>
      </x:c>
    </x:row>
    <x:row r="102" ht="42" customHeight="1">
      <x:c r="A102" s="33" t="n">
        <x:v>101</x:v>
      </x:c>
      <x:c r="B102" s="33" t="str">
        <x:v>HRF-0101</x:v>
      </x:c>
      <x:c r="C102" s="36" t="str">
        <x:v>欧洲</x:v>
      </x:c>
      <x:c r="D102" s="36" t="str">
        <x:v>France</x:v>
      </x:c>
      <x:c r="E102" s="21" t="str">
        <x:v>Paris 20e</x:v>
      </x:c>
      <x:c r="F102" s="21" t="str">
        <x:v>158 bd Davout fire</x:v>
      </x:c>
      <x:c r="G102" s="39" t="n">
        <x:v>42522</x:v>
      </x:c>
      <x:c r="H102" s="21" t="str">
        <x:v>158 bd Davout高层建筑火灾；建筑高度记录为 21 m。死亡人数：1。3rd through 7th of 7 flrs, 8 injured.</x:v>
      </x:c>
      <x:c r="I102" s="21" t="str">
        <x:v>未检索到/待核实</x:v>
      </x:c>
      <x:c r="J102" s="21" t="str">
        <x:v>死亡人数：1。3rd through 7th of 7 flrs, 8 injured.</x:v>
      </x:c>
      <x:c r="K102" s="21" t="str">
        <x:v>https://www.leparisien.fr/paris-75/paris-75020/paris-xxe-un-mort-et-deux-blesses-graves-dans-l-incendie-d-un-immeuble-01-06-2016-5846939.php</x:v>
      </x:c>
      <x:c r="L102" s="27" t="n">
        <x:v>48.8646</x:v>
      </x:c>
      <x:c r="M102" s="27" t="n">
        <x:v>2.3984</x:v>
      </x:c>
      <x:c r="N102" s="21" t="str">
        <x:v>城市代表点（GeoNames；不是建筑精确坐标）</x:v>
      </x:c>
      <x:c r="O102" s="21" t="str">
        <x:v>高层建筑火灾</x:v>
      </x:c>
      <x:c r="P102" s="21" t="str">
        <x:v>未检索到</x:v>
      </x:c>
      <x:c r="Q102" s="21" t="str">
        <x:v>21 m</x:v>
      </x:c>
      <x:c r="R102" s="21" t="str">
        <x:v>未检索到</x:v>
      </x:c>
      <x:c r="S102" s="21" t="str">
        <x:v>未检索到</x:v>
      </x:c>
      <x:c r="T102" s="42" t="n">
        <x:v>1</x:v>
      </x:c>
      <x:c r="U102" s="42" t="n">
        <x:v>8</x:v>
      </x:c>
      <x:c r="V102" s="42"/>
      <x:c r="W102" s="33" t="str">
        <x:v>C</x:v>
      </x:c>
      <x:c r="X102" s="33" t="str">
        <x:v>compendium_needs_independent_verification</x:v>
      </x:c>
      <x:c r="Y102" s="33" t="str">
        <x:v>专题汇编记录</x:v>
      </x:c>
      <x:c r="Z102" s="21" t="str">
        <x:v>Wikipedia高层建筑专题表；需补充独立来源核验</x:v>
      </x:c>
      <x:c r="AA102" s="21" t="str">
        <x:v>List of fires in high-rise buildings | Wikipedia dynamic high-rise list (candidate discovery)</x:v>
      </x:c>
      <x:c r="AB102" s="21" t="str">
        <x:v>Wikipedia专题列表 | 批量来源代理</x:v>
      </x:c>
      <x:c r="AC102" s="21" t="str">
        <x:v>https://en.wikipedia.org/wiki/List_of_fires_in_high-rise_buildings</x:v>
      </x:c>
      <x:c r="AD102" s="21" t="n">
        <x:v>2</x:v>
      </x:c>
      <x:c r="AE102" s="21" t="str">
        <x:v>可访问(200)</x:v>
      </x:c>
      <x:c r="AF102" s="21" t="str">
        <x:v>https://en.wikipedia.org/wiki/List_of_fires_in_high-rise_buildings =&gt; 可访问(200)</x:v>
      </x:c>
      <x:c r="AG102" s="24" t="n">
        <x:v>46260</x:v>
      </x:c>
      <x:c r="AH102" s="21" t="str"/>
      <x:c r="AI102" s="21" t="n">
        <x:v>1</x:v>
      </x:c>
      <x:c r="AJ102" s="21" t="str">
        <x:v>未评估（本事件表不建立热浪因果关系）</x:v>
      </x:c>
      <x:c r="AK102" s="21" t="str">
        <x:v>缺失/待核实</x:v>
      </x:c>
    </x:row>
    <x:row r="103" ht="42" customHeight="1">
      <x:c r="A103" s="33" t="n">
        <x:v>102</x:v>
      </x:c>
      <x:c r="B103" s="33" t="str">
        <x:v>HRF-0102</x:v>
      </x:c>
      <x:c r="C103" s="36" t="str">
        <x:v>欧洲</x:v>
      </x:c>
      <x:c r="D103" s="36" t="str">
        <x:v>United Kingdom</x:v>
      </x:c>
      <x:c r="E103" s="21" t="str">
        <x:v>London</x:v>
      </x:c>
      <x:c r="F103" s="21" t="str">
        <x:v>Shepherds Court fire</x:v>
      </x:c>
      <x:c r="G103" s="39" t="n">
        <x:v>42601</x:v>
      </x:c>
      <x:c r="H103" s="21" t="str">
        <x:v>Shepherds Court高层建筑外立面火灾。死亡 0，受伤 1；表中记录的受影响楼层为 3。</x:v>
      </x:c>
      <x:c r="I103" s="21" t="str">
        <x:v>未核实。</x:v>
      </x:c>
      <x:c r="J103" s="21" t="str">
        <x:v>死亡 0，受伤 1；表中记录的受影响楼层为 3。</x:v>
      </x:c>
      <x:c r="K103" s="21" t="str">
        <x:v>https://www.theguardian.com/uk-news/2016/aug/19/fire-crews-tackle-blaze-at-shepherds-bush-tower-block-london</x:v>
      </x:c>
      <x:c r="L103" s="27" t="n">
        <x:v>51.5053</x:v>
      </x:c>
      <x:c r="M103" s="27" t="n">
        <x:v>-0.2269</x:v>
      </x:c>
      <x:c r="N103" s="21" t="str">
        <x:v>事件/建筑近似点（候选来源提供）</x:v>
      </x:c>
      <x:c r="O103" s="21" t="str">
        <x:v>高层建筑外立面火灾</x:v>
      </x:c>
      <x:c r="P103" s="21" t="str">
        <x:v>residential</x:v>
      </x:c>
      <x:c r="Q103" s="21" t="str">
        <x:v>未检索到</x:v>
      </x:c>
      <x:c r="R103" s="21" t="str">
        <x:v>3</x:v>
      </x:c>
      <x:c r="S103" s="21" t="str">
        <x:v>未检索到</x:v>
      </x:c>
      <x:c r="T103" s="42" t="n">
        <x:v>0</x:v>
      </x:c>
      <x:c r="U103" s="42" t="n">
        <x:v>1</x:v>
      </x:c>
      <x:c r="V103" s="42"/>
      <x:c r="W103" s="33" t="str">
        <x:v>C</x:v>
      </x:c>
      <x:c r="X103" s="33" t="str">
        <x:v>compendium_needs_independent_verification</x:v>
      </x:c>
      <x:c r="Y103" s="33" t="str">
        <x:v>专题汇编记录</x:v>
      </x:c>
      <x:c r="Z103" s="21" t="str">
        <x:v>Wikipedia高层专题表；需补充独立来源核验</x:v>
      </x:c>
      <x:c r="AA103" s="21" t="str">
        <x:v>List of high-rise façade fires | Wikipedia high-rise façade list; derived from Bonner et al./news (candidate discovery) | 区域代理-欧洲非洲</x:v>
      </x:c>
      <x:c r="AB103" s="21" t="str">
        <x:v>Wikipedia专题列表 | 区域代理-欧洲非洲 | 批量来源代理</x:v>
      </x:c>
      <x:c r="AC103" s="21" t="str">
        <x:v>https://en.wikipedia.org/wiki/List_of_high-rise_fa%C3%A7ade_fires</x:v>
      </x:c>
      <x:c r="AD103" s="21" t="n">
        <x:v>2</x:v>
      </x:c>
      <x:c r="AE103" s="21" t="str">
        <x:v>可访问(200)</x:v>
      </x:c>
      <x:c r="AF103" s="21" t="str">
        <x:v>https://en.wikipedia.org/wiki/List_of_high-rise_fa%C3%A7ade_fires =&gt; 可访问(200)</x:v>
      </x:c>
      <x:c r="AG103" s="24" t="n">
        <x:v>46260</x:v>
      </x:c>
      <x:c r="AH103" s="21" t="str"/>
      <x:c r="AI103" s="21" t="n">
        <x:v>1</x:v>
      </x:c>
      <x:c r="AJ103" s="21" t="str">
        <x:v>未评估（本事件表不建立热浪因果关系）</x:v>
      </x:c>
      <x:c r="AK103" s="21" t="str">
        <x:v>已有来源描述</x:v>
      </x:c>
    </x:row>
    <x:row r="104" ht="42" customHeight="1">
      <x:c r="A104" s="33" t="n">
        <x:v>103</x:v>
      </x:c>
      <x:c r="B104" s="33" t="str">
        <x:v>HRF-0103</x:v>
      </x:c>
      <x:c r="C104" s="36" t="str">
        <x:v>欧洲</x:v>
      </x:c>
      <x:c r="D104" s="36" t="str">
        <x:v>United Kingdom</x:v>
      </x:c>
      <x:c r="E104" s="21" t="str">
        <x:v>North Kensington, London, England, United Kingdom</x:v>
      </x:c>
      <x:c r="F104" s="21" t="str">
        <x:v>Grenfell Tower fire</x:v>
      </x:c>
      <x:c r="G104" s="39" t="n">
        <x:v>42900</x:v>
      </x:c>
      <x:c r="H104" s="21" t="str">
        <x:v>24层社会住宅冰箱起火后突破窗户并经可燃外墙系统迅速包覆整栋塔楼。</x:v>
      </x:c>
      <x:c r="I104" s="21" t="str">
        <x:v>4层住宅冰箱电气故障起火；可燃雨幕板、保温材料及系统性安全失效导致灾难性外墙传播。</x:v>
      </x:c>
      <x:c r="J104" s="21" t="str">
        <x:v>72人死亡、约70余人受伤；129套住宅被毁，整栋楼疏散和救援。</x:v>
      </x:c>
      <x:c r="K104" s="21" t="str">
        <x:v>https://assets.publishing.service.gov.uk/media/66d817aa701781e1b341dbd3/CCS0923434692-004_GTI_Phase_2_Volume_1_BOOKMARKED.pdf</x:v>
      </x:c>
      <x:c r="L104" s="27" t="n">
        <x:v>51.5131</x:v>
      </x:c>
      <x:c r="M104" s="27" t="n">
        <x:v>-0.2159</x:v>
      </x:c>
      <x:c r="N104" s="21" t="str">
        <x:v>事件/建筑近似点（候选来源提供）</x:v>
      </x:c>
      <x:c r="O104" s="21" t="str">
        <x:v>high-rise residential façade fire</x:v>
      </x:c>
      <x:c r="P104" s="21" t="str">
        <x:v>residential / social housing</x:v>
      </x:c>
      <x:c r="Q104" s="21" t="str">
        <x:v>24 storeys / 67 m</x:v>
      </x:c>
      <x:c r="R104" s="21" t="str">
        <x:v>24</x:v>
      </x:c>
      <x:c r="S104" s="21" t="str">
        <x:v>completed 1974; refurbished 2015-2016</x:v>
      </x:c>
      <x:c r="T104" s="42" t="n">
        <x:v>72</x:v>
      </x:c>
      <x:c r="U104" s="42" t="n">
        <x:v>74</x:v>
      </x:c>
      <x:c r="V104" s="42" t="n">
        <x:v>223</x:v>
      </x:c>
      <x:c r="W104" s="33" t="str">
        <x:v>A</x:v>
      </x:c>
      <x:c r="X104" s="33" t="str">
        <x:v>confirmed_highrise</x:v>
      </x:c>
      <x:c r="Y104" s="33" t="str">
        <x:v>严格确认</x:v>
      </x:c>
      <x:c r="Z104" s="21" t="str">
        <x:v>英国Grenfell Tower Inquiry正式报告；伤亡、建筑和传播机制均有系统调查。</x:v>
      </x:c>
      <x:c r="AA104" s="21" t="str">
        <x:v>List of building or structure fires | List of fires in high-rise buildings | List of high-rise façade fires | Wikipedia high-rise façade list; derived from Bonner et al./news (candidate discovery) | 区域代理-欧洲非洲</x:v>
      </x:c>
      <x:c r="AB104" s="21" t="str">
        <x:v>Wikipedia专题列表 | 区域代理-欧洲非洲 | 批量来源代理</x:v>
      </x:c>
      <x:c r="AC104" s="21" t="str">
        <x:v>https://en.wikipedia.org/wiki/Grenfell_Tower_fire | https://en.wikipedia.org/wiki/List_of_high-rise_fa%C3%A7ade_fires</x:v>
      </x:c>
      <x:c r="AD104" s="21" t="n">
        <x:v>3</x:v>
      </x:c>
      <x:c r="AE104" s="21" t="str">
        <x:v>可访问(200)</x:v>
      </x:c>
      <x:c r="AF104" s="21" t="str">
        <x:v>https://en.wikipedia.org/wiki/Grenfell_Tower_fire =&gt; 可访问(200) | https://en.wikipedia.org/wiki/List_of_high-rise_fa%C3%A7ade_fires =&gt; 可访问(200)</x:v>
      </x:c>
      <x:c r="AG104" s="24" t="n">
        <x:v>46260</x:v>
      </x:c>
      <x:c r="AH104" s="21" t="str"/>
      <x:c r="AI104" s="21" t="n">
        <x:v>1</x:v>
      </x:c>
      <x:c r="AJ104" s="21" t="str">
        <x:v>未评估（本事件表不建立热浪因果关系）</x:v>
      </x:c>
      <x:c r="AK104" s="21" t="str">
        <x:v>已有来源描述</x:v>
      </x:c>
    </x:row>
    <x:row r="105" ht="42" customHeight="1">
      <x:c r="A105" s="33" t="n">
        <x:v>104</x:v>
      </x:c>
      <x:c r="B105" s="33" t="str">
        <x:v>HRF-0104</x:v>
      </x:c>
      <x:c r="C105" s="36" t="str">
        <x:v>欧洲</x:v>
      </x:c>
      <x:c r="D105" s="36" t="str">
        <x:v>United Kingdom</x:v>
      </x:c>
      <x:c r="E105" s="21" t="str">
        <x:v>Northern Quarter, Manchester, England, United Kingdom</x:v>
      </x:c>
      <x:c r="F105" s="21" t="str">
        <x:v>Lighthouse Apartments fire</x:v>
      </x:c>
      <x:c r="G105" s="39" t="n">
        <x:v>43099</x:v>
      </x:c>
      <x:c r="H105" s="21" t="str">
        <x:v>12层住宅楼9层起火，火焰通过木质阳台向10至11层传播。</x:v>
      </x:c>
      <x:c r="I105" s="21" t="str">
        <x:v>来源未给出最终起火原因；木质阳台促进竖向传播。</x:v>
      </x:c>
      <x:c r="J105" s="21" t="str">
        <x:v>3人接受烟气吸入治疗，1人送院；无死亡。</x:v>
      </x:c>
      <x:c r="K105" s="21" t="str">
        <x:v>https://ctif.org/sites/default/files/2025-08/CTIF_Report30.pdf</x:v>
      </x:c>
      <x:c r="L105" s="27" t="n">
        <x:v>53.4843</x:v>
      </x:c>
      <x:c r="M105" s="27" t="n">
        <x:v>-2.235</x:v>
      </x:c>
      <x:c r="N105" s="21" t="str">
        <x:v>事件/建筑近似点（候选来源提供）</x:v>
      </x:c>
      <x:c r="O105" s="21" t="str">
        <x:v>high-rise residential exterior fire</x:v>
      </x:c>
      <x:c r="P105" s="21" t="str">
        <x:v>residential</x:v>
      </x:c>
      <x:c r="Q105" s="21" t="str">
        <x:v>12 storeys; floors 9-11 affected</x:v>
      </x:c>
      <x:c r="R105" s="21" t="str">
        <x:v>未检索到</x:v>
      </x:c>
      <x:c r="S105" s="21" t="str">
        <x:v>未检索到</x:v>
      </x:c>
      <x:c r="T105" s="42" t="n">
        <x:v>0</x:v>
      </x:c>
      <x:c r="U105" s="42" t="n">
        <x:v>4</x:v>
      </x:c>
      <x:c r="V105" s="42"/>
      <x:c r="W105" s="33" t="str">
        <x:v>B</x:v>
      </x:c>
      <x:c r="X105" s="33" t="str">
        <x:v>confirmed_highrise</x:v>
      </x:c>
      <x:c r="Y105" s="33" t="str">
        <x:v>严格确认</x:v>
      </x:c>
      <x:c r="Z105" s="21" t="str">
        <x:v>CTIF报告明确12层、起火层、传播路径和伤情。</x:v>
      </x:c>
      <x:c r="AA105" s="21" t="str">
        <x:v>区域代理-欧洲非洲</x:v>
      </x:c>
      <x:c r="AB105" s="21" t="str">
        <x:v>区域代理-欧洲非洲</x:v>
      </x:c>
      <x:c r="AC105" s="21" t="str"/>
      <x:c r="AD105" s="21" t="n">
        <x:v>1</x:v>
      </x:c>
      <x:c r="AE105" s="21" t="str">
        <x:v>可访问(200)</x:v>
      </x:c>
      <x:c r="AF105" s="21" t="str"/>
      <x:c r="AG105" s="24" t="n">
        <x:v>46260</x:v>
      </x:c>
      <x:c r="AH105" s="21" t="str"/>
      <x:c r="AI105" s="21" t="n">
        <x:v>1</x:v>
      </x:c>
      <x:c r="AJ105" s="21" t="str">
        <x:v>未评估（本事件表不建立热浪因果关系）</x:v>
      </x:c>
      <x:c r="AK105" s="21" t="str">
        <x:v>缺失/待核实</x:v>
      </x:c>
    </x:row>
    <x:row r="106" ht="42" customHeight="1">
      <x:c r="A106" s="33" t="n">
        <x:v>105</x:v>
      </x:c>
      <x:c r="B106" s="33" t="str">
        <x:v>HRF-0105</x:v>
      </x:c>
      <x:c r="C106" s="36" t="str">
        <x:v>欧洲</x:v>
      </x:c>
      <x:c r="D106" s="36" t="str">
        <x:v>France</x:v>
      </x:c>
      <x:c r="E106" s="21" t="str">
        <x:v>Paris</x:v>
      </x:c>
      <x:c r="F106" s="21" t="str">
        <x:v>The Boulangerie Hubert (later renamed the Mumbai Cafe)</x:v>
      </x:c>
      <x:c r="G106" s="39" t="n">
        <x:v>43477</x:v>
      </x:c>
      <x:c r="H106" s="21" t="str">
        <x:v>The Boulangerie Hubert (later renamed the Mumbai Cafe)高层建筑外立面火灾。死亡 4，受伤 47；表中记录的受影响楼层为 1st of 7。</x:v>
      </x:c>
      <x:c r="I106" s="21" t="str">
        <x:v>未检索到/待核实</x:v>
      </x:c>
      <x:c r="J106" s="21" t="str">
        <x:v>死亡 4，受伤 47；表中记录的受影响楼层为 1st of 7。</x:v>
      </x:c>
      <x:c r="K106" s="21" t="str">
        <x:v>https://en.wikipedia.org/wiki/2019_Paris_explosion</x:v>
      </x:c>
      <x:c r="L106" s="27" t="n">
        <x:v>48.85341</x:v>
      </x:c>
      <x:c r="M106" s="27" t="n">
        <x:v>2.3488</x:v>
      </x:c>
      <x:c r="N106" s="21" t="str">
        <x:v>城市代表点（来源明确说明不是火场坐标）</x:v>
      </x:c>
      <x:c r="O106" s="21" t="str">
        <x:v>高层建筑外立面火灾</x:v>
      </x:c>
      <x:c r="P106" s="21" t="str">
        <x:v>未检索到</x:v>
      </x:c>
      <x:c r="Q106" s="21" t="str">
        <x:v>未检索到</x:v>
      </x:c>
      <x:c r="R106" s="21" t="str">
        <x:v>1st of 7</x:v>
      </x:c>
      <x:c r="S106" s="21" t="str">
        <x:v>未检索到</x:v>
      </x:c>
      <x:c r="T106" s="42" t="n">
        <x:v>4</x:v>
      </x:c>
      <x:c r="U106" s="42" t="n">
        <x:v>47</x:v>
      </x:c>
      <x:c r="V106" s="42"/>
      <x:c r="W106" s="33" t="str">
        <x:v>B</x:v>
      </x:c>
      <x:c r="X106" s="33" t="str">
        <x:v>compendium_needs_independent_verification</x:v>
      </x:c>
      <x:c r="Y106" s="33" t="str">
        <x:v>专题汇编记录</x:v>
      </x:c>
      <x:c r="Z106" s="21" t="str">
        <x:v>Wikipedia具名事件页+高层专题表</x:v>
      </x:c>
      <x:c r="AA106" s="21" t="str">
        <x:v>List of high-rise façade fires | Wikipedia high-rise façade list; derived from Bonner et al./news (candidate discovery)</x:v>
      </x:c>
      <x:c r="AB106" s="21" t="str">
        <x:v>Wikipedia专题列表 | 批量来源代理</x:v>
      </x:c>
      <x:c r="AC106" s="21" t="str">
        <x:v>https://en.wikipedia.org/wiki/List_of_high-rise_fa%C3%A7ade_fires</x:v>
      </x:c>
      <x:c r="AD106" s="21" t="n">
        <x:v>2</x:v>
      </x:c>
      <x:c r="AE106" s="21" t="str">
        <x:v>可访问(200)</x:v>
      </x:c>
      <x:c r="AF106" s="21" t="str">
        <x:v>https://en.wikipedia.org/wiki/List_of_high-rise_fa%C3%A7ade_fires =&gt; 可访问(200)</x:v>
      </x:c>
      <x:c r="AG106" s="24" t="n">
        <x:v>46260</x:v>
      </x:c>
      <x:c r="AH106" s="21" t="str"/>
      <x:c r="AI106" s="21" t="n">
        <x:v>1</x:v>
      </x:c>
      <x:c r="AJ106" s="21" t="str">
        <x:v>未评估（本事件表不建立热浪因果关系）</x:v>
      </x:c>
      <x:c r="AK106" s="21" t="str">
        <x:v>缺失/待核实</x:v>
      </x:c>
    </x:row>
    <x:row r="107" ht="42" customHeight="1">
      <x:c r="A107" s="33" t="n">
        <x:v>106</x:v>
      </x:c>
      <x:c r="B107" s="33" t="str">
        <x:v>HRF-0106</x:v>
      </x:c>
      <x:c r="C107" s="36" t="str">
        <x:v>欧洲</x:v>
      </x:c>
      <x:c r="D107" s="36" t="str">
        <x:v>France</x:v>
      </x:c>
      <x:c r="E107" s="21" t="str">
        <x:v>16th arrondissement, Paris, Île-de-France, France</x:v>
      </x:c>
      <x:c r="F107" s="21" t="str">
        <x:v>17 bis rue Erlanger apartment fire</x:v>
      </x:c>
      <x:c r="G107" s="39" t="n">
        <x:v>43501</x:v>
      </x:c>
      <x:c r="H107" s="21" t="str">
        <x:v>巴黎一栋9层住宅楼遭纵火，火与烟影响3至9层。</x:v>
      </x:c>
      <x:c r="I107" s="21" t="str">
        <x:v>邻里纠纷后人为纵火。</x:v>
      </x:c>
      <x:c r="J107" s="21" t="str">
        <x:v>10人死亡、36人受伤；3至9层受影响。</x:v>
      </x:c>
      <x:c r="K107" s="21" t="str">
        <x:v>https://en.wikipedia.org/wiki/List_of_high-rise_fa%C3%A7ade_fires</x:v>
      </x:c>
      <x:c r="L107" s="27" t="n">
        <x:v>48.847</x:v>
      </x:c>
      <x:c r="M107" s="27" t="n">
        <x:v>2.263</x:v>
      </x:c>
      <x:c r="N107" s="21" t="str">
        <x:v>事件/建筑近似点（候选来源提供）</x:v>
      </x:c>
      <x:c r="O107" s="21" t="str">
        <x:v>multi-storey residential / arson fire</x:v>
      </x:c>
      <x:c r="P107" s="21" t="str">
        <x:v>residential</x:v>
      </x:c>
      <x:c r="Q107" s="21" t="str">
        <x:v>9 storeys; floors 3-9 affected</x:v>
      </x:c>
      <x:c r="R107" s="21" t="str">
        <x:v>未检索到</x:v>
      </x:c>
      <x:c r="S107" s="21" t="str">
        <x:v>older Paris apartment building</x:v>
      </x:c>
      <x:c r="T107" s="42" t="n">
        <x:v>10</x:v>
      </x:c>
      <x:c r="U107" s="42" t="n">
        <x:v>36</x:v>
      </x:c>
      <x:c r="V107" s="42"/>
      <x:c r="W107" s="33" t="str">
        <x:v>C</x:v>
      </x:c>
      <x:c r="X107" s="33" t="str">
        <x:v>threshold_review_9_storeys</x:v>
      </x:c>
      <x:c r="Y107" s="33" t="str">
        <x:v>候选待核实</x:v>
      </x:c>
      <x:c r="Z107" s="21" t="str">
        <x:v>高层外立面火灾汇总表记录10死36伤和受影响楼层；9层是否纳入最终高层需统一阈值。</x:v>
      </x:c>
      <x:c r="AA107" s="21" t="str">
        <x:v>区域代理-欧洲非洲</x:v>
      </x:c>
      <x:c r="AB107" s="21" t="str">
        <x:v>区域代理-欧洲非洲</x:v>
      </x:c>
      <x:c r="AC107" s="21" t="str"/>
      <x:c r="AD107" s="21" t="n">
        <x:v>1</x:v>
      </x:c>
      <x:c r="AE107" s="21" t="str">
        <x:v>可访问(200)</x:v>
      </x:c>
      <x:c r="AF107" s="21" t="str"/>
      <x:c r="AG107" s="24" t="n">
        <x:v>46260</x:v>
      </x:c>
      <x:c r="AH107" s="21" t="str"/>
      <x:c r="AI107" s="21" t="n">
        <x:v>1</x:v>
      </x:c>
      <x:c r="AJ107" s="21" t="str">
        <x:v>未评估（本事件表不建立热浪因果关系）</x:v>
      </x:c>
      <x:c r="AK107" s="21" t="str">
        <x:v>已有来源描述</x:v>
      </x:c>
    </x:row>
    <x:row r="108" ht="42" customHeight="1">
      <x:c r="A108" s="33" t="n">
        <x:v>107</x:v>
      </x:c>
      <x:c r="B108" s="33" t="str">
        <x:v>HRF-0107</x:v>
      </x:c>
      <x:c r="C108" s="36" t="str">
        <x:v>欧洲</x:v>
      </x:c>
      <x:c r="D108" s="36" t="str">
        <x:v>France</x:v>
      </x:c>
      <x:c r="E108" s="21" t="str">
        <x:v>16th District, Paris</x:v>
      </x:c>
      <x:c r="F108" s="21" t="str">
        <x:v>The drunk lady fire</x:v>
      </x:c>
      <x:c r="G108" s="39" t="n">
        <x:v>43501</x:v>
      </x:c>
      <x:c r="H108" s="21" t="str">
        <x:v>17 bis rue Erlanger, The drunk lady fire高层建筑外立面火灾。死亡 10，受伤 36；表中记录的受影响楼层为 3rd through 9th。</x:v>
      </x:c>
      <x:c r="I108" s="21" t="str">
        <x:v>未检索到/待核实</x:v>
      </x:c>
      <x:c r="J108" s="21" t="str">
        <x:v>死亡 10，受伤 36；表中记录的受影响楼层为 3rd through 9th。</x:v>
      </x:c>
      <x:c r="K108" s="21" t="str">
        <x:v>https://en.wikipedia.org/wiki/February_2019_Paris_fire</x:v>
      </x:c>
      <x:c r="L108" s="27"/>
      <x:c r="M108" s="27"/>
      <x:c r="N108" s="21" t="str">
        <x:v>未提供坐标</x:v>
      </x:c>
      <x:c r="O108" s="21" t="str">
        <x:v>高层建筑外立面火灾</x:v>
      </x:c>
      <x:c r="P108" s="21" t="str">
        <x:v>未检索到</x:v>
      </x:c>
      <x:c r="Q108" s="21" t="str">
        <x:v>未检索到</x:v>
      </x:c>
      <x:c r="R108" s="21" t="str">
        <x:v>3rd through 9th</x:v>
      </x:c>
      <x:c r="S108" s="21" t="str">
        <x:v>未检索到</x:v>
      </x:c>
      <x:c r="T108" s="42" t="n">
        <x:v>10</x:v>
      </x:c>
      <x:c r="U108" s="42" t="n">
        <x:v>36</x:v>
      </x:c>
      <x:c r="V108" s="42"/>
      <x:c r="W108" s="33" t="str">
        <x:v>B</x:v>
      </x:c>
      <x:c r="X108" s="33" t="str">
        <x:v>compendium_needs_independent_verification</x:v>
      </x:c>
      <x:c r="Y108" s="33" t="str">
        <x:v>专题汇编记录</x:v>
      </x:c>
      <x:c r="Z108" s="21" t="str">
        <x:v>Wikipedia具名事件页+高层专题表</x:v>
      </x:c>
      <x:c r="AA108" s="21" t="str">
        <x:v>List of high-rise façade fires | Wikipedia high-rise façade list; derived from Bonner et al./news (candidate discovery)</x:v>
      </x:c>
      <x:c r="AB108" s="21" t="str">
        <x:v>Wikipedia专题列表 | 批量来源代理</x:v>
      </x:c>
      <x:c r="AC108" s="21" t="str">
        <x:v>https://en.wikipedia.org/wiki/List_of_high-rise_fa%C3%A7ade_fires</x:v>
      </x:c>
      <x:c r="AD108" s="21" t="n">
        <x:v>2</x:v>
      </x:c>
      <x:c r="AE108" s="21" t="str">
        <x:v>可访问(200)</x:v>
      </x:c>
      <x:c r="AF108" s="21" t="str">
        <x:v>https://en.wikipedia.org/wiki/List_of_high-rise_fa%C3%A7ade_fires =&gt; 可访问(200)</x:v>
      </x:c>
      <x:c r="AG108" s="24" t="n">
        <x:v>46260</x:v>
      </x:c>
      <x:c r="AH108" s="21" t="str"/>
      <x:c r="AI108" s="21" t="n">
        <x:v>1</x:v>
      </x:c>
      <x:c r="AJ108" s="21" t="str">
        <x:v>未评估（本事件表不建立热浪因果关系）</x:v>
      </x:c>
      <x:c r="AK108" s="21" t="str">
        <x:v>缺失/待核实</x:v>
      </x:c>
    </x:row>
    <x:row r="109" ht="42" customHeight="1">
      <x:c r="A109" s="33" t="n">
        <x:v>108</x:v>
      </x:c>
      <x:c r="B109" s="33" t="str">
        <x:v>HRF-0108</x:v>
      </x:c>
      <x:c r="C109" s="36" t="str">
        <x:v>欧洲</x:v>
      </x:c>
      <x:c r="D109" s="36" t="str">
        <x:v>Poland</x:v>
      </x:c>
      <x:c r="E109" s="21" t="str">
        <x:v>Wola, Warsaw, Masovian Voivodeship, Poland</x:v>
      </x:c>
      <x:c r="F109" s="21" t="str">
        <x:v>Warsaw Hub construction fire</x:v>
      </x:c>
      <x:c r="G109" s="39" t="n">
        <x:v>43623</x:v>
      </x:c>
      <x:c r="H109" s="21" t="str">
        <x:v>在建31层Warsaw Hub上部楼层发生大火，周边封锁但结构未被认为有坍塌危险。</x:v>
      </x:c>
      <x:c r="I109" s="21" t="str">
        <x:v>未核实。</x:v>
      </x:c>
      <x:c r="J109" s="21" t="str">
        <x:v>无伤亡报道；上部楼层受损，周边道路和区域临时封锁。</x:v>
      </x:c>
      <x:c r="K109" s="21" t="str">
        <x:v>https://ctif.org/sites/default/files/2025-08/CTIF_Report30.pdf</x:v>
      </x:c>
      <x:c r="L109" s="27" t="n">
        <x:v>52.229</x:v>
      </x:c>
      <x:c r="M109" s="27" t="n">
        <x:v>20.9847</x:v>
      </x:c>
      <x:c r="N109" s="21" t="str">
        <x:v>事件/建筑近似点（候选来源提供）</x:v>
      </x:c>
      <x:c r="O109" s="21" t="str">
        <x:v>high-rise construction fire</x:v>
      </x:c>
      <x:c r="P109" s="21" t="str">
        <x:v>office / mixed-use under construction</x:v>
      </x:c>
      <x:c r="Q109" s="21" t="str">
        <x:v>31 storeys</x:v>
      </x:c>
      <x:c r="R109" s="21" t="str">
        <x:v>未检索到</x:v>
      </x:c>
      <x:c r="S109" s="21" t="str">
        <x:v>under construction</x:v>
      </x:c>
      <x:c r="T109" s="42" t="n">
        <x:v>0</x:v>
      </x:c>
      <x:c r="U109" s="42" t="n">
        <x:v>0</x:v>
      </x:c>
      <x:c r="V109" s="42"/>
      <x:c r="W109" s="33" t="str">
        <x:v>B</x:v>
      </x:c>
      <x:c r="X109" s="33" t="str">
        <x:v>confirmed_highrise_date_recheck</x:v>
      </x:c>
      <x:c r="Y109" s="33" t="str">
        <x:v>严格确认</x:v>
      </x:c>
      <x:c r="Z109" s="21" t="str">
        <x:v>CTIF报告明确31层、在建状态和结构影响；精确日期需再与CTBUH原始新闻核对。</x:v>
      </x:c>
      <x:c r="AA109" s="21" t="str">
        <x:v>区域代理-欧洲非洲</x:v>
      </x:c>
      <x:c r="AB109" s="21" t="str">
        <x:v>区域代理-欧洲非洲</x:v>
      </x:c>
      <x:c r="AC109" s="21" t="str"/>
      <x:c r="AD109" s="21" t="n">
        <x:v>1</x:v>
      </x:c>
      <x:c r="AE109" s="21" t="str">
        <x:v>可访问(200)</x:v>
      </x:c>
      <x:c r="AF109" s="21" t="str"/>
      <x:c r="AG109" s="24" t="n">
        <x:v>46260</x:v>
      </x:c>
      <x:c r="AH109" s="21" t="str"/>
      <x:c r="AI109" s="21" t="n">
        <x:v>1</x:v>
      </x:c>
      <x:c r="AJ109" s="21" t="str">
        <x:v>未评估（本事件表不建立热浪因果关系）</x:v>
      </x:c>
      <x:c r="AK109" s="21" t="str">
        <x:v>已有来源描述</x:v>
      </x:c>
    </x:row>
    <x:row r="110" ht="42" customHeight="1">
      <x:c r="A110" s="33" t="n">
        <x:v>109</x:v>
      </x:c>
      <x:c r="B110" s="33" t="str">
        <x:v>HRF-0109</x:v>
      </x:c>
      <x:c r="C110" s="36" t="str">
        <x:v>欧洲</x:v>
      </x:c>
      <x:c r="D110" s="36" t="str">
        <x:v>Poland</x:v>
      </x:c>
      <x:c r="E110" s="21" t="str">
        <x:v>Warsaw</x:v>
      </x:c>
      <x:c r="F110" s="21" t="str">
        <x:v>Residential Flats fire</x:v>
      </x:c>
      <x:c r="G110" s="39" t="n">
        <x:v>43691</x:v>
      </x:c>
      <x:c r="H110" s="21" t="str">
        <x:v>Residential Flats高层建筑外立面火灾。死亡 0，受伤 0；表中记录的受影响楼层为 10。</x:v>
      </x:c>
      <x:c r="I110" s="21" t="str">
        <x:v>未检索到/待核实</x:v>
      </x:c>
      <x:c r="J110" s="21" t="str">
        <x:v>死亡 0，受伤 0；表中记录的受影响楼层为 10。</x:v>
      </x:c>
      <x:c r="K110" s="21" t="str">
        <x:v>https://tvn24.pl/tvnwarszawa/najnowsze/spalona-elewacja-zniszczone-okna-od-parteru-az-po-sam-dach-652130</x:v>
      </x:c>
      <x:c r="L110" s="27" t="n">
        <x:v>52.22977</x:v>
      </x:c>
      <x:c r="M110" s="27" t="n">
        <x:v>21.01178</x:v>
      </x:c>
      <x:c r="N110" s="21" t="str">
        <x:v>城市代表点（来源明确说明不是火场坐标）</x:v>
      </x:c>
      <x:c r="O110" s="21" t="str">
        <x:v>高层建筑外立面火灾</x:v>
      </x:c>
      <x:c r="P110" s="21" t="str">
        <x:v>residential</x:v>
      </x:c>
      <x:c r="Q110" s="21" t="str">
        <x:v>未检索到</x:v>
      </x:c>
      <x:c r="R110" s="21" t="str">
        <x:v>10</x:v>
      </x:c>
      <x:c r="S110" s="21" t="str">
        <x:v>未检索到</x:v>
      </x:c>
      <x:c r="T110" s="42" t="n">
        <x:v>0</x:v>
      </x:c>
      <x:c r="U110" s="42" t="n">
        <x:v>0</x:v>
      </x:c>
      <x:c r="V110" s="42"/>
      <x:c r="W110" s="33" t="str">
        <x:v>C</x:v>
      </x:c>
      <x:c r="X110" s="33" t="str">
        <x:v>compendium_needs_independent_verification</x:v>
      </x:c>
      <x:c r="Y110" s="33" t="str">
        <x:v>专题汇编记录</x:v>
      </x:c>
      <x:c r="Z110" s="21" t="str">
        <x:v>Wikipedia高层专题表；需补充独立来源核验</x:v>
      </x:c>
      <x:c r="AA110" s="21" t="str">
        <x:v>List of high-rise façade fires | Wikipedia high-rise façade list; derived from Bonner et al./news (candidate discovery)</x:v>
      </x:c>
      <x:c r="AB110" s="21" t="str">
        <x:v>Wikipedia专题列表 | 批量来源代理</x:v>
      </x:c>
      <x:c r="AC110" s="21" t="str">
        <x:v>https://en.wikipedia.org/wiki/List_of_high-rise_fa%C3%A7ade_fires</x:v>
      </x:c>
      <x:c r="AD110" s="21" t="n">
        <x:v>2</x:v>
      </x:c>
      <x:c r="AE110" s="21" t="str">
        <x:v>受限(403)</x:v>
      </x:c>
      <x:c r="AF110" s="21" t="str">
        <x:v>https://en.wikipedia.org/wiki/List_of_high-rise_fa%C3%A7ade_fires =&gt; 可访问(200)</x:v>
      </x:c>
      <x:c r="AG110" s="24" t="n">
        <x:v>46260</x:v>
      </x:c>
      <x:c r="AH110" s="21" t="str"/>
      <x:c r="AI110" s="21" t="n">
        <x:v>1</x:v>
      </x:c>
      <x:c r="AJ110" s="21" t="str">
        <x:v>未评估（本事件表不建立热浪因果关系）</x:v>
      </x:c>
      <x:c r="AK110" s="21" t="str">
        <x:v>缺失/待核实</x:v>
      </x:c>
    </x:row>
    <x:row r="111" ht="42" customHeight="1">
      <x:c r="A111" s="33" t="n">
        <x:v>110</x:v>
      </x:c>
      <x:c r="B111" s="33" t="str">
        <x:v>HRF-0110</x:v>
      </x:c>
      <x:c r="C111" s="36" t="str">
        <x:v>欧洲</x:v>
      </x:c>
      <x:c r="D111" s="36" t="str">
        <x:v>France</x:v>
      </x:c>
      <x:c r="E111" s="21" t="str">
        <x:v>Paris</x:v>
      </x:c>
      <x:c r="F111" s="21" t="str">
        <x:v>Seine Tower fire</x:v>
      </x:c>
      <x:c r="G111" s="39" t="n">
        <x:v>43783</x:v>
      </x:c>
      <x:c r="H111" s="21" t="str">
        <x:v>Seine Tower高层建筑外立面火灾。死亡 0，受伤 2；表中记录的受影响楼层为 1。</x:v>
      </x:c>
      <x:c r="I111" s="21" t="str">
        <x:v>未核实。</x:v>
      </x:c>
      <x:c r="J111" s="21" t="str">
        <x:v>死亡 0，受伤 2；表中记录的受影响楼层为 1。</x:v>
      </x:c>
      <x:c r="K111" s="21" t="str">
        <x:v>https://doi.org/10.1007%2F978-1-4939-2898-9_4</x:v>
      </x:c>
      <x:c r="L111" s="27" t="n">
        <x:v>48.8566</x:v>
      </x:c>
      <x:c r="M111" s="27" t="n">
        <x:v>2.3522</x:v>
      </x:c>
      <x:c r="N111" s="21" t="str">
        <x:v>事件/建筑近似点（候选来源提供）</x:v>
      </x:c>
      <x:c r="O111" s="21" t="str">
        <x:v>高层建筑外立面火灾</x:v>
      </x:c>
      <x:c r="P111" s="21" t="str">
        <x:v>未检索到</x:v>
      </x:c>
      <x:c r="Q111" s="21" t="str">
        <x:v>high-rise; 1 floor affected; total floors to verify</x:v>
      </x:c>
      <x:c r="R111" s="21" t="str">
        <x:v>1</x:v>
      </x:c>
      <x:c r="S111" s="21" t="str">
        <x:v>未检索到</x:v>
      </x:c>
      <x:c r="T111" s="42" t="n">
        <x:v>0</x:v>
      </x:c>
      <x:c r="U111" s="42" t="n">
        <x:v>2</x:v>
      </x:c>
      <x:c r="V111" s="42"/>
      <x:c r="W111" s="33" t="str">
        <x:v>C</x:v>
      </x:c>
      <x:c r="X111" s="33" t="str">
        <x:v>compendium_needs_independent_verification</x:v>
      </x:c>
      <x:c r="Y111" s="33" t="str">
        <x:v>专题汇编记录</x:v>
      </x:c>
      <x:c r="Z111" s="21" t="str">
        <x:v>Wikipedia高层专题表；需补充独立来源核验</x:v>
      </x:c>
      <x:c r="AA111" s="21" t="str">
        <x:v>List of high-rise façade fires | Wikipedia high-rise façade list; derived from Bonner et al./news (candidate discovery) | 区域代理-欧洲非洲</x:v>
      </x:c>
      <x:c r="AB111" s="21" t="str">
        <x:v>Wikipedia专题列表 | 区域代理-欧洲非洲 | 批量来源代理</x:v>
      </x:c>
      <x:c r="AC111" s="21" t="str">
        <x:v>https://en.wikipedia.org/wiki/List_of_high-rise_fa%C3%A7ade_fires</x:v>
      </x:c>
      <x:c r="AD111" s="21" t="n">
        <x:v>2</x:v>
      </x:c>
      <x:c r="AE111" s="21" t="str">
        <x:v>可访问(200)</x:v>
      </x:c>
      <x:c r="AF111" s="21" t="str">
        <x:v>https://en.wikipedia.org/wiki/List_of_high-rise_fa%C3%A7ade_fires =&gt; 可访问(200)</x:v>
      </x:c>
      <x:c r="AG111" s="24" t="n">
        <x:v>46260</x:v>
      </x:c>
      <x:c r="AH111" s="21" t="str"/>
      <x:c r="AI111" s="21" t="n">
        <x:v>1</x:v>
      </x:c>
      <x:c r="AJ111" s="21" t="str">
        <x:v>未评估（本事件表不建立热浪因果关系）</x:v>
      </x:c>
      <x:c r="AK111" s="21" t="str">
        <x:v>已有来源描述</x:v>
      </x:c>
    </x:row>
    <x:row r="112" ht="42" customHeight="1">
      <x:c r="A112" s="33" t="n">
        <x:v>111</x:v>
      </x:c>
      <x:c r="B112" s="33" t="str">
        <x:v>HRF-0111</x:v>
      </x:c>
      <x:c r="C112" s="36" t="str">
        <x:v>欧洲</x:v>
      </x:c>
      <x:c r="D112" s="36" t="str">
        <x:v>United Kingdom</x:v>
      </x:c>
      <x:c r="E112" s="21" t="str">
        <x:v>Bolton</x:v>
      </x:c>
      <x:c r="F112" s="21" t="str">
        <x:v>The Cube Student Housing fire</x:v>
      </x:c>
      <x:c r="G112" s="39" t="n">
        <x:v>43785</x:v>
      </x:c>
      <x:c r="H112" s="21" t="str">
        <x:v>The Cube Student Housing高层建筑外立面火灾。死亡 0，受伤 2；表中记录的受影响楼层为 1。</x:v>
      </x:c>
      <x:c r="I112" s="21" t="str">
        <x:v>未核实；外墙系统被认为与快速传播有关。</x:v>
      </x:c>
      <x:c r="J112" s="21" t="str">
        <x:v>死亡 0，受伤 2；表中记录的受影响楼层为 1。</x:v>
      </x:c>
      <x:c r="K112" s="21" t="str">
        <x:v>https://www.ft.com/content/bb1e05b4-0896-11ea-b2d6-9bf4d1957a67</x:v>
      </x:c>
      <x:c r="L112" s="27" t="n">
        <x:v>53.578</x:v>
      </x:c>
      <x:c r="M112" s="27" t="n">
        <x:v>-2.429</x:v>
      </x:c>
      <x:c r="N112" s="21" t="str">
        <x:v>事件/建筑近似点（候选来源提供）</x:v>
      </x:c>
      <x:c r="O112" s="21" t="str">
        <x:v>高层建筑外立面火灾</x:v>
      </x:c>
      <x:c r="P112" s="21" t="str">
        <x:v>student housing</x:v>
      </x:c>
      <x:c r="Q112" s="21" t="str">
        <x:v>about 6 storeys</x:v>
      </x:c>
      <x:c r="R112" s="21" t="str">
        <x:v>1</x:v>
      </x:c>
      <x:c r="S112" s="21" t="str">
        <x:v>recently built student accommodation</x:v>
      </x:c>
      <x:c r="T112" s="42" t="n">
        <x:v>0</x:v>
      </x:c>
      <x:c r="U112" s="42" t="n">
        <x:v>2</x:v>
      </x:c>
      <x:c r="V112" s="42"/>
      <x:c r="W112" s="33" t="str">
        <x:v>C</x:v>
      </x:c>
      <x:c r="X112" s="33" t="str">
        <x:v>compendium_needs_independent_verification</x:v>
      </x:c>
      <x:c r="Y112" s="33" t="str">
        <x:v>专题汇编记录</x:v>
      </x:c>
      <x:c r="Z112" s="21" t="str">
        <x:v>Wikipedia高层专题表；需补充独立来源核验</x:v>
      </x:c>
      <x:c r="AA112" s="21" t="str">
        <x:v>List of high-rise façade fires | Wikipedia high-rise façade list; derived from Bonner et al./news (candidate discovery) | 区域代理-欧洲非洲</x:v>
      </x:c>
      <x:c r="AB112" s="21" t="str">
        <x:v>Wikipedia专题列表 | 区域代理-欧洲非洲 | 批量来源代理</x:v>
      </x:c>
      <x:c r="AC112" s="21" t="str">
        <x:v>https://en.wikipedia.org/wiki/List_of_high-rise_fa%C3%A7ade_fires</x:v>
      </x:c>
      <x:c r="AD112" s="21" t="n">
        <x:v>2</x:v>
      </x:c>
      <x:c r="AE112" s="21" t="str">
        <x:v>受限(403)</x:v>
      </x:c>
      <x:c r="AF112" s="21" t="str">
        <x:v>https://en.wikipedia.org/wiki/List_of_high-rise_fa%C3%A7ade_fires =&gt; 可访问(200)</x:v>
      </x:c>
      <x:c r="AG112" s="24" t="n">
        <x:v>46260</x:v>
      </x:c>
      <x:c r="AH112" s="21" t="str"/>
      <x:c r="AI112" s="21" t="n">
        <x:v>1</x:v>
      </x:c>
      <x:c r="AJ112" s="21" t="str">
        <x:v>未评估（本事件表不建立热浪因果关系）</x:v>
      </x:c>
      <x:c r="AK112" s="21" t="str">
        <x:v>已有来源描述</x:v>
      </x:c>
    </x:row>
    <x:row r="113" ht="42" customHeight="1">
      <x:c r="A113" s="33" t="n">
        <x:v>112</x:v>
      </x:c>
      <x:c r="B113" s="33" t="str">
        <x:v>HRF-0112</x:v>
      </x:c>
      <x:c r="C113" s="36" t="str">
        <x:v>欧洲</x:v>
      </x:c>
      <x:c r="D113" s="36" t="str">
        <x:v>Slovakia</x:v>
      </x:c>
      <x:c r="E113" s="21" t="str">
        <x:v>Prešov</x:v>
      </x:c>
      <x:c r="F113" s="21" t="str">
        <x:v>Unnamed Highrise fire</x:v>
      </x:c>
      <x:c r="G113" s="39" t="n">
        <x:v>43805</x:v>
      </x:c>
      <x:c r="H113" s="21" t="str">
        <x:v>Unnamed Highrise高层建筑火灾；建筑高度记录为 47.9 m。死亡人数：8。Natural gas explosion, 40 injuries</x:v>
      </x:c>
      <x:c r="I113" s="21" t="str">
        <x:v>Natural gas explosion, 40 injuries</x:v>
      </x:c>
      <x:c r="J113" s="21" t="str">
        <x:v>死亡人数：8。Natural gas explosion, 40 injuries</x:v>
      </x:c>
      <x:c r="K113" s="21" t="str">
        <x:v>https://www.teraz.sk/regiony/vybuch-plynu-hasici-hasia-poziar-byt/434333-clanok.html</x:v>
      </x:c>
      <x:c r="L113" s="27" t="n">
        <x:v>48.99923</x:v>
      </x:c>
      <x:c r="M113" s="27" t="n">
        <x:v>21.2355</x:v>
      </x:c>
      <x:c r="N113" s="21" t="str">
        <x:v>城市代表点（来源明确说明不是火场坐标）</x:v>
      </x:c>
      <x:c r="O113" s="21" t="str">
        <x:v>高层建筑火灾</x:v>
      </x:c>
      <x:c r="P113" s="21" t="str">
        <x:v>未检索到</x:v>
      </x:c>
      <x:c r="Q113" s="21" t="str">
        <x:v>47.9 m</x:v>
      </x:c>
      <x:c r="R113" s="21" t="str">
        <x:v>未检索到</x:v>
      </x:c>
      <x:c r="S113" s="21" t="str">
        <x:v>未检索到</x:v>
      </x:c>
      <x:c r="T113" s="42" t="n">
        <x:v>8</x:v>
      </x:c>
      <x:c r="U113" s="42" t="n">
        <x:v>40</x:v>
      </x:c>
      <x:c r="V113" s="42"/>
      <x:c r="W113" s="33" t="str">
        <x:v>C</x:v>
      </x:c>
      <x:c r="X113" s="33" t="str">
        <x:v>compendium_needs_independent_verification</x:v>
      </x:c>
      <x:c r="Y113" s="33" t="str">
        <x:v>专题汇编记录</x:v>
      </x:c>
      <x:c r="Z113" s="21" t="str">
        <x:v>Wikipedia高层建筑专题表；需补充独立来源核验</x:v>
      </x:c>
      <x:c r="AA113" s="21" t="str">
        <x:v>List of fires in high-rise buildings | Wikipedia dynamic high-rise list (candidate discovery)</x:v>
      </x:c>
      <x:c r="AB113" s="21" t="str">
        <x:v>Wikipedia专题列表 | 批量来源代理</x:v>
      </x:c>
      <x:c r="AC113" s="21" t="str">
        <x:v>https://en.wikipedia.org/wiki/List_of_fires_in_high-rise_buildings</x:v>
      </x:c>
      <x:c r="AD113" s="21" t="n">
        <x:v>2</x:v>
      </x:c>
      <x:c r="AE113" s="21" t="str">
        <x:v>可访问(200)</x:v>
      </x:c>
      <x:c r="AF113" s="21" t="str">
        <x:v>https://en.wikipedia.org/wiki/List_of_fires_in_high-rise_buildings =&gt; 可访问(200)</x:v>
      </x:c>
      <x:c r="AG113" s="24" t="n">
        <x:v>46260</x:v>
      </x:c>
      <x:c r="AH113" s="21" t="str"/>
      <x:c r="AI113" s="21" t="n">
        <x:v>1</x:v>
      </x:c>
      <x:c r="AJ113" s="21" t="str">
        <x:v>未评估（本事件表不建立热浪因果关系）</x:v>
      </x:c>
      <x:c r="AK113" s="21" t="str">
        <x:v>已有来源描述</x:v>
      </x:c>
    </x:row>
    <x:row r="114" ht="42" customHeight="1">
      <x:c r="A114" s="33" t="n">
        <x:v>113</x:v>
      </x:c>
      <x:c r="B114" s="33" t="str">
        <x:v>HRF-0113</x:v>
      </x:c>
      <x:c r="C114" s="36" t="str">
        <x:v>欧洲</x:v>
      </x:c>
      <x:c r="D114" s="36" t="str">
        <x:v>Czech Republic</x:v>
      </x:c>
      <x:c r="E114" s="21" t="str">
        <x:v>Czech Republic</x:v>
      </x:c>
      <x:c r="F114" s="21" t="str">
        <x:v>2020 Bohumín high-rise arson fire</x:v>
      </x:c>
      <x:c r="G114" s="39" t="n">
        <x:v>44051</x:v>
      </x:c>
      <x:c r="H114" s="21" t="str">
        <x:v>Tower block at 1158 Nerudova street高层建筑火灾；建筑高度记录为 42.9 m。死亡人数：11。Bohumín arson attack</x:v>
      </x:c>
      <x:c r="I114" s="21" t="str">
        <x:v>Bohumín arson attack</x:v>
      </x:c>
      <x:c r="J114" s="21" t="str">
        <x:v>死亡人数：11。Bohumín arson attack</x:v>
      </x:c>
      <x:c r="K114" s="21" t="str">
        <x:v>https://en.wikipedia.org/wiki/Bohumín_arson_attack</x:v>
      </x:c>
      <x:c r="L114" s="27"/>
      <x:c r="M114" s="27"/>
      <x:c r="N114" s="21" t="str">
        <x:v>未提供坐标</x:v>
      </x:c>
      <x:c r="O114" s="21" t="str">
        <x:v>高层建筑火灾</x:v>
      </x:c>
      <x:c r="P114" s="21" t="str">
        <x:v>residential</x:v>
      </x:c>
      <x:c r="Q114" s="21" t="str">
        <x:v>42.9 m</x:v>
      </x:c>
      <x:c r="R114" s="21" t="str">
        <x:v>未检索到</x:v>
      </x:c>
      <x:c r="S114" s="21" t="str">
        <x:v>未检索到</x:v>
      </x:c>
      <x:c r="T114" s="42" t="n">
        <x:v>11</x:v>
      </x:c>
      <x:c r="U114" s="42"/>
      <x:c r="V114" s="42"/>
      <x:c r="W114" s="33" t="str">
        <x:v>B</x:v>
      </x:c>
      <x:c r="X114" s="33" t="str">
        <x:v>compendium_needs_independent_verification</x:v>
      </x:c>
      <x:c r="Y114" s="33" t="str">
        <x:v>专题汇编记录</x:v>
      </x:c>
      <x:c r="Z114" s="21" t="str">
        <x:v>Wikipedia具名事件页+高层建筑专题表</x:v>
      </x:c>
      <x:c r="AA114" s="21" t="str">
        <x:v>List of fires in high-rise buildings | Wikipedia dynamic high-rise list (candidate discovery)</x:v>
      </x:c>
      <x:c r="AB114" s="21" t="str">
        <x:v>Wikipedia专题列表 | 批量来源代理</x:v>
      </x:c>
      <x:c r="AC114" s="21" t="str">
        <x:v>https://en.wikipedia.org/wiki/List_of_fires_in_high-rise_buildings</x:v>
      </x:c>
      <x:c r="AD114" s="21" t="n">
        <x:v>2</x:v>
      </x:c>
      <x:c r="AE114" s="21" t="str">
        <x:v>可访问(200)</x:v>
      </x:c>
      <x:c r="AF114" s="21" t="str">
        <x:v>https://en.wikipedia.org/wiki/List_of_fires_in_high-rise_buildings =&gt; 可访问(200)</x:v>
      </x:c>
      <x:c r="AG114" s="24" t="n">
        <x:v>46260</x:v>
      </x:c>
      <x:c r="AH114" s="21" t="str"/>
      <x:c r="AI114" s="21" t="n">
        <x:v>1</x:v>
      </x:c>
      <x:c r="AJ114" s="21" t="str">
        <x:v>未评估（本事件表不建立热浪因果关系）</x:v>
      </x:c>
      <x:c r="AK114" s="21" t="str">
        <x:v>已有来源描述</x:v>
      </x:c>
    </x:row>
    <x:row r="115" ht="42" customHeight="1">
      <x:c r="A115" s="33" t="n">
        <x:v>114</x:v>
      </x:c>
      <x:c r="B115" s="33" t="str">
        <x:v>HRF-0114</x:v>
      </x:c>
      <x:c r="C115" s="36" t="str">
        <x:v>欧洲</x:v>
      </x:c>
      <x:c r="D115" s="36" t="str">
        <x:v>Spain</x:v>
      </x:c>
      <x:c r="E115" s="21" t="str">
        <x:v>Madrid</x:v>
      </x:c>
      <x:c r="F115" s="21" t="str">
        <x:v>Madrid Tower Block fire</x:v>
      </x:c>
      <x:c r="G115" s="39" t="n">
        <x:v>44072</x:v>
      </x:c>
      <x:c r="H115" s="21" t="str">
        <x:v>Madrid Tower Block高层建筑外立面火灾。死亡 0，受伤 0；表中记录的受影响楼层为 3。</x:v>
      </x:c>
      <x:c r="I115" s="21" t="str">
        <x:v>未核实。</x:v>
      </x:c>
      <x:c r="J115" s="21" t="str">
        <x:v>死亡 0，受伤 0；表中记录的受影响楼层为 3。</x:v>
      </x:c>
      <x:c r="K115" s="21" t="str">
        <x:v>https://www.euroweeklynews.com/2020/08/30/high-rise-on-fire-in-madrid/</x:v>
      </x:c>
      <x:c r="L115" s="27" t="n">
        <x:v>40.4168</x:v>
      </x:c>
      <x:c r="M115" s="27" t="n">
        <x:v>-3.7038</x:v>
      </x:c>
      <x:c r="N115" s="21" t="str">
        <x:v>事件/建筑近似点（候选来源提供）</x:v>
      </x:c>
      <x:c r="O115" s="21" t="str">
        <x:v>高层建筑外立面火灾</x:v>
      </x:c>
      <x:c r="P115" s="21" t="str">
        <x:v>residential</x:v>
      </x:c>
      <x:c r="Q115" s="21" t="str">
        <x:v>未检索到</x:v>
      </x:c>
      <x:c r="R115" s="21" t="str">
        <x:v>3</x:v>
      </x:c>
      <x:c r="S115" s="21" t="str">
        <x:v>未检索到</x:v>
      </x:c>
      <x:c r="T115" s="42" t="n">
        <x:v>0</x:v>
      </x:c>
      <x:c r="U115" s="42" t="n">
        <x:v>0</x:v>
      </x:c>
      <x:c r="V115" s="42"/>
      <x:c r="W115" s="33" t="str">
        <x:v>C</x:v>
      </x:c>
      <x:c r="X115" s="33" t="str">
        <x:v>compendium_needs_independent_verification</x:v>
      </x:c>
      <x:c r="Y115" s="33" t="str">
        <x:v>专题汇编记录</x:v>
      </x:c>
      <x:c r="Z115" s="21" t="str">
        <x:v>Wikipedia高层专题表；需补充独立来源核验</x:v>
      </x:c>
      <x:c r="AA115" s="21" t="str">
        <x:v>List of high-rise façade fires | Wikipedia high-rise façade list; derived from Bonner et al./news (candidate discovery) | 区域代理-欧洲非洲</x:v>
      </x:c>
      <x:c r="AB115" s="21" t="str">
        <x:v>Wikipedia专题列表 | 区域代理-欧洲非洲 | 批量来源代理</x:v>
      </x:c>
      <x:c r="AC115" s="21" t="str">
        <x:v>https://en.wikipedia.org/wiki/List_of_high-rise_fa%C3%A7ade_fires</x:v>
      </x:c>
      <x:c r="AD115" s="21" t="n">
        <x:v>2</x:v>
      </x:c>
      <x:c r="AE115" s="21" t="str">
        <x:v>可访问(200)</x:v>
      </x:c>
      <x:c r="AF115" s="21" t="str">
        <x:v>https://en.wikipedia.org/wiki/List_of_high-rise_fa%C3%A7ade_fires =&gt; 可访问(200)</x:v>
      </x:c>
      <x:c r="AG115" s="24" t="n">
        <x:v>46260</x:v>
      </x:c>
      <x:c r="AH115" s="21" t="str"/>
      <x:c r="AI115" s="21" t="n">
        <x:v>1</x:v>
      </x:c>
      <x:c r="AJ115" s="21" t="str">
        <x:v>未评估（本事件表不建立热浪因果关系）</x:v>
      </x:c>
      <x:c r="AK115" s="21" t="str">
        <x:v>已有来源描述</x:v>
      </x:c>
    </x:row>
    <x:row r="116" ht="42" customHeight="1">
      <x:c r="A116" s="33" t="n">
        <x:v>115</x:v>
      </x:c>
      <x:c r="B116" s="33" t="str">
        <x:v>HRF-0115</x:v>
      </x:c>
      <x:c r="C116" s="36" t="str">
        <x:v>欧洲</x:v>
      </x:c>
      <x:c r="D116" s="36" t="str">
        <x:v>France</x:v>
      </x:c>
      <x:c r="E116" s="21" t="str">
        <x:v>Paris</x:v>
      </x:c>
      <x:c r="F116" s="21" t="str">
        <x:v>Helsinki Tower, 50 rue du Disque fire</x:v>
      </x:c>
      <x:c r="G116" s="39" t="n">
        <x:v>44421</x:v>
      </x:c>
      <x:c r="H116" s="21" t="str">
        <x:v>Helsinki Tower, 50 rue du Disque高层建筑火灾；建筑高度记录为 ~100 m。死亡人数：1。18th of 33 flrs, apt possibly linked to Diogenes syndrome (hoarding), spread prevented via compartmentation, contained after 2 hrs, ~70 firefighters, 2 hoses, 1 killed (carbonized body), 4 injured (2 were firefighters with heatstroke).</x:v>
      </x:c>
      <x:c r="I116" s="21" t="str">
        <x:v>未检索到/待核实</x:v>
      </x:c>
      <x:c r="J116" s="21" t="str">
        <x:v>死亡人数：1。18th of 33 flrs, apt possibly linked to Diogenes syndrome (hoarding), spread prevented via compartmentation, contained after 2 hrs, ~70 firefighters, 2 hoses, 1 killed (carbonized body), 4 injured (2 were firefighters with heatstroke).</x:v>
      </x:c>
      <x:c r="K116" s="21" t="str">
        <x:v>https://www.bfmtv.com/paris/paris-un-mort-et-quatre-blesses-dans-un-incendie-quartier-olympiades_AN-202108130293.html</x:v>
      </x:c>
      <x:c r="L116" s="27" t="n">
        <x:v>48.85341</x:v>
      </x:c>
      <x:c r="M116" s="27" t="n">
        <x:v>2.3488</x:v>
      </x:c>
      <x:c r="N116" s="21" t="str">
        <x:v>城市代表点（来源明确说明不是火场坐标）</x:v>
      </x:c>
      <x:c r="O116" s="21" t="str">
        <x:v>高层建筑火灾</x:v>
      </x:c>
      <x:c r="P116" s="21" t="str">
        <x:v>未检索到</x:v>
      </x:c>
      <x:c r="Q116" s="21" t="str">
        <x:v>~100 m</x:v>
      </x:c>
      <x:c r="R116" s="21" t="str">
        <x:v>未检索到</x:v>
      </x:c>
      <x:c r="S116" s="21" t="str">
        <x:v>未检索到</x:v>
      </x:c>
      <x:c r="T116" s="42" t="n">
        <x:v>1</x:v>
      </x:c>
      <x:c r="U116" s="42" t="n">
        <x:v>4</x:v>
      </x:c>
      <x:c r="V116" s="42"/>
      <x:c r="W116" s="33" t="str">
        <x:v>C</x:v>
      </x:c>
      <x:c r="X116" s="33" t="str">
        <x:v>compendium_needs_independent_verification</x:v>
      </x:c>
      <x:c r="Y116" s="33" t="str">
        <x:v>专题汇编记录</x:v>
      </x:c>
      <x:c r="Z116" s="21" t="str">
        <x:v>Wikipedia高层建筑专题表；需补充独立来源核验</x:v>
      </x:c>
      <x:c r="AA116" s="21" t="str">
        <x:v>List of fires in high-rise buildings | Wikipedia dynamic high-rise list (candidate discovery)</x:v>
      </x:c>
      <x:c r="AB116" s="21" t="str">
        <x:v>Wikipedia专题列表 | 批量来源代理</x:v>
      </x:c>
      <x:c r="AC116" s="21" t="str">
        <x:v>https://en.wikipedia.org/wiki/List_of_fires_in_high-rise_buildings</x:v>
      </x:c>
      <x:c r="AD116" s="21" t="n">
        <x:v>2</x:v>
      </x:c>
      <x:c r="AE116" s="21" t="str">
        <x:v>可访问(200)</x:v>
      </x:c>
      <x:c r="AF116" s="21" t="str">
        <x:v>https://en.wikipedia.org/wiki/List_of_fires_in_high-rise_buildings =&gt; 可访问(200)</x:v>
      </x:c>
      <x:c r="AG116" s="24" t="n">
        <x:v>46260</x:v>
      </x:c>
      <x:c r="AH116" s="21" t="str"/>
      <x:c r="AI116" s="21" t="n">
        <x:v>1</x:v>
      </x:c>
      <x:c r="AJ116" s="21" t="str">
        <x:v>未评估（本事件表不建立热浪因果关系）</x:v>
      </x:c>
      <x:c r="AK116" s="21" t="str">
        <x:v>缺失/待核实</x:v>
      </x:c>
    </x:row>
    <x:row r="117" ht="42" customHeight="1">
      <x:c r="A117" s="33" t="n">
        <x:v>116</x:v>
      </x:c>
      <x:c r="B117" s="33" t="str">
        <x:v>HRF-0116</x:v>
      </x:c>
      <x:c r="C117" s="36" t="str">
        <x:v>欧洲</x:v>
      </x:c>
      <x:c r="D117" s="36" t="str">
        <x:v>Italy</x:v>
      </x:c>
      <x:c r="E117" s="21" t="str">
        <x:v>Via Antonini, Milan, Lombardy, Italy</x:v>
      </x:c>
      <x:c r="F117" s="21" t="str">
        <x:v>Torre dei Moro fire</x:v>
      </x:c>
      <x:c r="G117" s="39" t="n">
        <x:v>44437</x:v>
      </x:c>
      <x:c r="H117" s="21" t="str">
        <x:v>米兰18层住宅塔楼外墙构件在短时间内几乎全高燃烧。</x:v>
      </x:c>
      <x:c r="I117" s="21" t="str">
        <x:v>最终起火原因需查意大利调查结论；外墙覆层促进快速蔓延。</x:v>
      </x:c>
      <x:c r="J117" s="21" t="str">
        <x:v>无死亡；住户全部撤离，建筑严重损毁，约70户受影响。</x:v>
      </x:c>
      <x:c r="K117" s="21" t="str">
        <x:v>https://www.rainews.it/archivio-rainews/articoli/Grattacielo-in-fiamme-a-Milano-ancora-in-corso-le-operazioni-di-spegnimento-Nessuna-vittima-287fb407-626c-470a-8db3-efd789f646a8.html</x:v>
      </x:c>
      <x:c r="L117" s="27" t="n">
        <x:v>45.4376</x:v>
      </x:c>
      <x:c r="M117" s="27" t="n">
        <x:v>9.1805</x:v>
      </x:c>
      <x:c r="N117" s="21" t="str">
        <x:v>事件/建筑近似点（候选来源提供）</x:v>
      </x:c>
      <x:c r="O117" s="21" t="str">
        <x:v>high-rise residential façade fire</x:v>
      </x:c>
      <x:c r="P117" s="21" t="str">
        <x:v>residential</x:v>
      </x:c>
      <x:c r="Q117" s="21" t="str">
        <x:v>18 storeys / over 60 m</x:v>
      </x:c>
      <x:c r="R117" s="21" t="str">
        <x:v>20</x:v>
      </x:c>
      <x:c r="S117" s="21" t="str">
        <x:v>completed around 2011</x:v>
      </x:c>
      <x:c r="T117" s="42" t="n">
        <x:v>0</x:v>
      </x:c>
      <x:c r="U117" s="42" t="n">
        <x:v>0</x:v>
      </x:c>
      <x:c r="V117" s="42" t="n">
        <x:v>70</x:v>
      </x:c>
      <x:c r="W117" s="33" t="str">
        <x:v>B</x:v>
      </x:c>
      <x:c r="X117" s="33" t="str">
        <x:v>confirmed_highrise</x:v>
      </x:c>
      <x:c r="Y117" s="33" t="str">
        <x:v>严格确认</x:v>
      </x:c>
      <x:c r="Z117" s="21" t="str">
        <x:v>Rai报道引用意大利消防部门；另有建筑资料确认18层、约60米。</x:v>
      </x:c>
      <x:c r="AA117" s="21" t="str">
        <x:v>List of fires in high-rise buildings | List of high-rise façade fires | Wikipedia dynamic high-rise list (candidate discovery) | 区域代理-欧洲非洲</x:v>
      </x:c>
      <x:c r="AB117" s="21" t="str">
        <x:v>Wikipedia专题列表 | 区域代理-欧洲非洲 | 批量来源代理</x:v>
      </x:c>
      <x:c r="AC117" s="21" t="str">
        <x:v>https://en.wikipedia.org/wiki/List_of_fires_in_high-rise_buildings | https://en.wikipedia.org/wiki/Torre_dei_Moro_fire?action=edit&amp;redlink=1 | https://www.euronews.com/2021/08/30/no-victims-in-milan-towerblock-fire-reminiscent-of-grenfell-disaster</x:v>
      </x:c>
      <x:c r="AD117" s="21" t="n">
        <x:v>4</x:v>
      </x:c>
      <x:c r="AE117" s="21" t="str">
        <x:v>可访问(200)</x:v>
      </x:c>
      <x:c r="AF117" s="21" t="str">
        <x:v>https://en.wikipedia.org/wiki/List_of_fires_in_high-rise_buildings =&gt; 可访问(200) | https://en.wikipedia.org/wiki/Torre_dei_Moro_fire?action=edit&amp;redlink=1 =&gt; HTTP错误(404) | https://www.euronews.com/2021/08/30/no-victims-in-milan-towerblock-fire-reminiscent-of-grenfell-disaster =&gt; 可访问(200)</x:v>
      </x:c>
      <x:c r="AG117" s="24" t="n">
        <x:v>46260</x:v>
      </x:c>
      <x:c r="AH117" s="21" t="str"/>
      <x:c r="AI117" s="21" t="n">
        <x:v>1</x:v>
      </x:c>
      <x:c r="AJ117" s="21" t="str">
        <x:v>未评估（本事件表不建立热浪因果关系）</x:v>
      </x:c>
      <x:c r="AK117" s="21" t="str">
        <x:v>已有来源描述</x:v>
      </x:c>
    </x:row>
    <x:row r="118" ht="42" customHeight="1">
      <x:c r="A118" s="33" t="n">
        <x:v>117</x:v>
      </x:c>
      <x:c r="B118" s="33" t="str">
        <x:v>HRF-0117</x:v>
      </x:c>
      <x:c r="C118" s="36" t="str">
        <x:v>欧洲</x:v>
      </x:c>
      <x:c r="D118" s="36" t="str">
        <x:v>Spain</x:v>
      </x:c>
      <x:c r="E118" s="21" t="str">
        <x:v>València</x:v>
      </x:c>
      <x:c r="F118" s="21" t="str">
        <x:v>Unnamed Highrise fire</x:v>
      </x:c>
      <x:c r="G118" s="39" t="n">
        <x:v>45344</x:v>
      </x:c>
      <x:c r="H118" s="21" t="str">
        <x:v>2024 València residential complex fire</x:v>
      </x:c>
      <x:c r="I118" s="21" t="str">
        <x:v>未检索到/待核实</x:v>
      </x:c>
      <x:c r="J118" s="21" t="str">
        <x:v>2024 València residential complex fire</x:v>
      </x:c>
      <x:c r="K118" s="21" t="str">
        <x:v>https://en.wikipedia.org/wiki/List_of_fires_in_high-rise_buildings</x:v>
      </x:c>
      <x:c r="L118" s="27" t="n">
        <x:v>39.47391</x:v>
      </x:c>
      <x:c r="M118" s="27" t="n">
        <x:v>-0.37966</x:v>
      </x:c>
      <x:c r="N118" s="21" t="str">
        <x:v>城市代表点（来源明确说明不是火场坐标）</x:v>
      </x:c>
      <x:c r="O118" s="21" t="str">
        <x:v>高层建筑火灾</x:v>
      </x:c>
      <x:c r="P118" s="21" t="str">
        <x:v>residential</x:v>
      </x:c>
      <x:c r="Q118" s="21" t="str">
        <x:v>未检索到</x:v>
      </x:c>
      <x:c r="R118" s="21" t="str">
        <x:v>未检索到</x:v>
      </x:c>
      <x:c r="S118" s="21" t="str">
        <x:v>未检索到</x:v>
      </x:c>
      <x:c r="T118" s="42" t="n">
        <x:v>10</x:v>
      </x:c>
      <x:c r="U118" s="42"/>
      <x:c r="V118" s="42"/>
      <x:c r="W118" s="33" t="str">
        <x:v>C</x:v>
      </x:c>
      <x:c r="X118" s="33" t="str">
        <x:v>candidate_height_or_list_membership_needs_individual_source</x:v>
      </x:c>
      <x:c r="Y118" s="33" t="str">
        <x:v>候选待核实</x:v>
      </x:c>
      <x:c r="Z118" s="21" t="str">
        <x:v>listed in high-rise fire table；aggregate list is not sufficient for final inclusion; verify height/floors and event details with cited event or building source</x:v>
      </x:c>
      <x:c r="AA118" s="21" t="str">
        <x:v>Wikipedia dynamic high-rise list (candidate discovery)</x:v>
      </x:c>
      <x:c r="AB118" s="21" t="str">
        <x:v>批量来源代理</x:v>
      </x:c>
      <x:c r="AC118" s="21" t="str"/>
      <x:c r="AD118" s="21" t="n">
        <x:v>1</x:v>
      </x:c>
      <x:c r="AE118" s="21" t="str">
        <x:v>可访问(200)</x:v>
      </x:c>
      <x:c r="AF118" s="21" t="str"/>
      <x:c r="AG118" s="24" t="n">
        <x:v>46260</x:v>
      </x:c>
      <x:c r="AH118" s="21" t="str"/>
      <x:c r="AI118" s="21" t="n">
        <x:v>1</x:v>
      </x:c>
      <x:c r="AJ118" s="21" t="str">
        <x:v>未评估（本事件表不建立热浪因果关系）</x:v>
      </x:c>
      <x:c r="AK118" s="21" t="str">
        <x:v>缺失/待核实</x:v>
      </x:c>
    </x:row>
    <x:row r="119" ht="42" customHeight="1">
      <x:c r="A119" s="33" t="n">
        <x:v>118</x:v>
      </x:c>
      <x:c r="B119" s="33" t="str">
        <x:v>HRF-0118</x:v>
      </x:c>
      <x:c r="C119" s="36" t="str">
        <x:v>欧洲</x:v>
      </x:c>
      <x:c r="D119" s="36" t="str">
        <x:v>Spain</x:v>
      </x:c>
      <x:c r="E119" s="21" t="str">
        <x:v>Campanar, Valencia, Valencian Community, Spain</x:v>
      </x:c>
      <x:c r="F119" s="21" t="str">
        <x:v>Valencia residential complex fire</x:v>
      </x:c>
      <x:c r="G119" s="39" t="n">
        <x:v>45344</x:v>
      </x:c>
      <x:c r="H119" s="21" t="str">
        <x:v>14层住宅综合体一户起火后在强风下迅速蔓延至外墙和相邻楼体。</x:v>
      </x:c>
      <x:c r="I119" s="21" t="str">
        <x:v>火始于住宅单元；后续调查指向冰箱制冷剂泄漏后被火花点燃，但点火细节并非完全确定。</x:v>
      </x:c>
      <x:c r="J119" s="21" t="str">
        <x:v>10人死亡、15人接受伤情治疗；约140套住宅所在综合体严重烧毁，住户临时安置。</x:v>
      </x:c>
      <x:c r="K119" s="21" t="str">
        <x:v>https://apnews.com/article/e57323a53ece0d24e14ad67a3049ff47</x:v>
      </x:c>
      <x:c r="L119" s="27" t="n">
        <x:v>39.4862</x:v>
      </x:c>
      <x:c r="M119" s="27" t="n">
        <x:v>-0.4057</x:v>
      </x:c>
      <x:c r="N119" s="21" t="str">
        <x:v>事件/建筑近似点（候选来源提供）</x:v>
      </x:c>
      <x:c r="O119" s="21" t="str">
        <x:v>high-rise residential façade fire</x:v>
      </x:c>
      <x:c r="P119" s="21" t="str">
        <x:v>residential</x:v>
      </x:c>
      <x:c r="Q119" s="21" t="str">
        <x:v>14 storeys</x:v>
      </x:c>
      <x:c r="R119" s="21" t="str">
        <x:v>14</x:v>
      </x:c>
      <x:c r="S119" s="21" t="str">
        <x:v>modern residential complex</x:v>
      </x:c>
      <x:c r="T119" s="42" t="n">
        <x:v>10</x:v>
      </x:c>
      <x:c r="U119" s="42" t="n">
        <x:v>15</x:v>
      </x:c>
      <x:c r="V119" s="42" t="n">
        <x:v>140</x:v>
      </x:c>
      <x:c r="W119" s="33" t="str">
        <x:v>A</x:v>
      </x:c>
      <x:c r="X119" s="33" t="str">
        <x:v>confirmed_highrise</x:v>
      </x:c>
      <x:c r="Y119" s="33" t="str">
        <x:v>严格确认</x:v>
      </x:c>
      <x:c r="Z119" s="21" t="str">
        <x:v>AP后续报道确认最终10名死者、14层和约140套住宅；原因最终结论仍应以西班牙调查为准。</x:v>
      </x:c>
      <x:c r="AA119" s="21" t="str">
        <x:v>List of fires in high-rise buildings | List of high-rise façade fires | Wikipedia high-rise façade list; derived from Bonner et al./news (candidate discovery) | 区域代理-欧洲非洲</x:v>
      </x:c>
      <x:c r="AB119" s="21" t="str">
        <x:v>Wikipedia专题列表 | 区域代理-欧洲非洲 | 批量来源代理</x:v>
      </x:c>
      <x:c r="AC119" s="21" t="str">
        <x:v>https://en.wikipedia.org/wiki/2024_València_residential_complex_fire | https://en.wikipedia.org/wiki/List_of_high-rise_fa%C3%A7ade_fires</x:v>
      </x:c>
      <x:c r="AD119" s="21" t="n">
        <x:v>3</x:v>
      </x:c>
      <x:c r="AE119" s="21" t="str">
        <x:v>可访问(200)</x:v>
      </x:c>
      <x:c r="AF119" s="21" t="str">
        <x:v>https://en.wikipedia.org/wiki/2024_València_residential_complex_fire =&gt; 可访问(200) | https://en.wikipedia.org/wiki/List_of_high-rise_fa%C3%A7ade_fires =&gt; 可访问(200)</x:v>
      </x:c>
      <x:c r="AG119" s="24" t="n">
        <x:v>46260</x:v>
      </x:c>
      <x:c r="AH119" s="21" t="str"/>
      <x:c r="AI119" s="21" t="n">
        <x:v>1</x:v>
      </x:c>
      <x:c r="AJ119" s="21" t="str">
        <x:v>未评估（本事件表不建立热浪因果关系）</x:v>
      </x:c>
      <x:c r="AK119" s="21" t="str">
        <x:v>已有来源描述</x:v>
      </x:c>
    </x:row>
    <x:row r="120" ht="42" customHeight="1">
      <x:c r="A120" s="33" t="n">
        <x:v>119</x:v>
      </x:c>
      <x:c r="B120" s="33" t="str">
        <x:v>HRF-0119</x:v>
      </x:c>
      <x:c r="C120" s="36" t="str">
        <x:v>欧洲</x:v>
      </x:c>
      <x:c r="D120" s="36" t="str">
        <x:v>Russia</x:v>
      </x:c>
      <x:c r="E120" s="21" t="str">
        <x:v>Tver</x:v>
      </x:c>
      <x:c r="F120" s="21" t="str">
        <x:v>fire</x:v>
      </x:c>
      <x:c r="G120" s="39" t="n">
        <x:v>45365</x:v>
      </x:c>
      <x:c r="H120" s="21" t="str">
        <x:v>高层建筑火灾；建筑高度记录为 未列明。死亡人数：0。Occurred during construction</x:v>
      </x:c>
      <x:c r="I120" s="21" t="str">
        <x:v>未检索到/待核实</x:v>
      </x:c>
      <x:c r="J120" s="21" t="str">
        <x:v>死亡人数：0。Occurred during construction</x:v>
      </x:c>
      <x:c r="K120" s="21" t="str">
        <x:v>https://en.wikipedia.org/wiki/List_of_fires_in_high-rise_buildings</x:v>
      </x:c>
      <x:c r="L120" s="27" t="n">
        <x:v>56.85836</x:v>
      </x:c>
      <x:c r="M120" s="27" t="n">
        <x:v>35.90057</x:v>
      </x:c>
      <x:c r="N120" s="21" t="str">
        <x:v>城市代表点（来源明确说明不是火场坐标）</x:v>
      </x:c>
      <x:c r="O120" s="21" t="str">
        <x:v>高层建筑火灾</x:v>
      </x:c>
      <x:c r="P120" s="21" t="str">
        <x:v>未检索到</x:v>
      </x:c>
      <x:c r="Q120" s="21" t="str">
        <x:v>未检索到</x:v>
      </x:c>
      <x:c r="R120" s="21" t="str">
        <x:v>未检索到</x:v>
      </x:c>
      <x:c r="S120" s="21" t="str">
        <x:v>未检索到</x:v>
      </x:c>
      <x:c r="T120" s="42" t="n">
        <x:v>0</x:v>
      </x:c>
      <x:c r="U120" s="42"/>
      <x:c r="V120" s="42"/>
      <x:c r="W120" s="33" t="str">
        <x:v>C</x:v>
      </x:c>
      <x:c r="X120" s="33" t="str">
        <x:v>compendium_needs_independent_verification</x:v>
      </x:c>
      <x:c r="Y120" s="33" t="str">
        <x:v>专题汇编记录</x:v>
      </x:c>
      <x:c r="Z120" s="21" t="str">
        <x:v>Wikipedia高层建筑专题表；需补充独立来源核验</x:v>
      </x:c>
      <x:c r="AA120" s="21" t="str">
        <x:v>List of fires in high-rise buildings | Wikipedia dynamic high-rise list (candidate discovery)</x:v>
      </x:c>
      <x:c r="AB120" s="21" t="str">
        <x:v>Wikipedia专题列表 | 批量来源代理</x:v>
      </x:c>
      <x:c r="AC120" s="21" t="str"/>
      <x:c r="AD120" s="21" t="n">
        <x:v>1</x:v>
      </x:c>
      <x:c r="AE120" s="21" t="str">
        <x:v>可访问(200)</x:v>
      </x:c>
      <x:c r="AF120" s="21" t="str"/>
      <x:c r="AG120" s="24" t="n">
        <x:v>46260</x:v>
      </x:c>
      <x:c r="AH120" s="21" t="str"/>
      <x:c r="AI120" s="21" t="n">
        <x:v>1</x:v>
      </x:c>
      <x:c r="AJ120" s="21" t="str">
        <x:v>未评估（本事件表不建立热浪因果关系）</x:v>
      </x:c>
      <x:c r="AK120" s="21" t="str">
        <x:v>缺失/待核实</x:v>
      </x:c>
    </x:row>
    <x:row r="121" ht="42" customHeight="1">
      <x:c r="A121" s="33" t="n">
        <x:v>120</x:v>
      </x:c>
      <x:c r="B121" s="33" t="str">
        <x:v>HRF-0120</x:v>
      </x:c>
      <x:c r="C121" s="36" t="str">
        <x:v>欧洲</x:v>
      </x:c>
      <x:c r="D121" s="36" t="str">
        <x:v>France</x:v>
      </x:c>
      <x:c r="E121" s="21" t="str">
        <x:v>146 rue de Charonne, Paris, Île-de-France, France</x:v>
      </x:c>
      <x:c r="F121" s="21" t="str">
        <x:v>146 rue de Charonne fire</x:v>
      </x:c>
      <x:c r="G121" s="39" t="n">
        <x:v>45389</x:v>
      </x:c>
      <x:c r="H121" s="21" t="str">
        <x:v>巴黎一栋12层建筑7层发生火灾。</x:v>
      </x:c>
      <x:c r="I121" s="21" t="str">
        <x:v>未核实。</x:v>
      </x:c>
      <x:c r="J121" s="21" t="str">
        <x:v>3人死亡；表中未记录受伤。</x:v>
      </x:c>
      <x:c r="K121" s="21" t="str">
        <x:v>https://en.wikipedia.org/wiki/List_of_high-rise_fa%C3%A7ade_fires</x:v>
      </x:c>
      <x:c r="L121" s="27" t="n">
        <x:v>48.854</x:v>
      </x:c>
      <x:c r="M121" s="27" t="n">
        <x:v>2.389</x:v>
      </x:c>
      <x:c r="N121" s="21" t="str">
        <x:v>事件/建筑近似点（候选来源提供）</x:v>
      </x:c>
      <x:c r="O121" s="21" t="str">
        <x:v>high-rise residential fire</x:v>
      </x:c>
      <x:c r="P121" s="21" t="str">
        <x:v>residential / mixed-use to verify</x:v>
      </x:c>
      <x:c r="Q121" s="21" t="str">
        <x:v>12 storeys; fire on 7th floor</x:v>
      </x:c>
      <x:c r="R121" s="21" t="str">
        <x:v>7th of 12</x:v>
      </x:c>
      <x:c r="S121" s="21" t="str">
        <x:v>未检索到</x:v>
      </x:c>
      <x:c r="T121" s="42" t="n">
        <x:v>3</x:v>
      </x:c>
      <x:c r="U121" s="42" t="n">
        <x:v>0</x:v>
      </x:c>
      <x:c r="V121" s="42"/>
      <x:c r="W121" s="33" t="str">
        <x:v>C</x:v>
      </x:c>
      <x:c r="X121" s="33" t="str">
        <x:v>confirmed_height_needs_primary_source</x:v>
      </x:c>
      <x:c r="Y121" s="33" t="str">
        <x:v>确认但有待复核字段</x:v>
      </x:c>
      <x:c r="Z121" s="21" t="str">
        <x:v>高层外立面火灾汇总表确认12层、7层起火和3人死亡；需补法国警方或消防原始来源。</x:v>
      </x:c>
      <x:c r="AA121" s="21" t="str">
        <x:v>List of high-rise façade fires | Wikipedia high-rise façade list; derived from Bonner et al./news (candidate discovery) | 区域代理-欧洲非洲</x:v>
      </x:c>
      <x:c r="AB121" s="21" t="str">
        <x:v>Wikipedia专题列表 | 区域代理-欧洲非洲 | 批量来源代理</x:v>
      </x:c>
      <x:c r="AC121" s="21" t="str">
        <x:v>https://en.wikipedia.org/wiki/146_rue_de_Charonne_fire?action=edit&amp;redlink=1</x:v>
      </x:c>
      <x:c r="AD121" s="21" t="n">
        <x:v>2</x:v>
      </x:c>
      <x:c r="AE121" s="21" t="str">
        <x:v>可访问(200)</x:v>
      </x:c>
      <x:c r="AF121" s="21" t="str">
        <x:v>https://en.wikipedia.org/wiki/146_rue_de_Charonne_fire?action=edit&amp;redlink=1 =&gt; HTTP错误(404)</x:v>
      </x:c>
      <x:c r="AG121" s="24" t="n">
        <x:v>46260</x:v>
      </x:c>
      <x:c r="AH121" s="21" t="str"/>
      <x:c r="AI121" s="21" t="n">
        <x:v>1</x:v>
      </x:c>
      <x:c r="AJ121" s="21" t="str">
        <x:v>未评估（本事件表不建立热浪因果关系）</x:v>
      </x:c>
      <x:c r="AK121" s="21" t="str">
        <x:v>已有来源描述</x:v>
      </x:c>
    </x:row>
    <x:row r="122" ht="42" customHeight="1">
      <x:c r="A122" s="33" t="n">
        <x:v>121</x:v>
      </x:c>
      <x:c r="B122" s="33" t="str">
        <x:v>HRF-0121</x:v>
      </x:c>
      <x:c r="C122" s="36" t="str">
        <x:v>欧洲</x:v>
      </x:c>
      <x:c r="D122" s="36" t="str">
        <x:v>France</x:v>
      </x:c>
      <x:c r="E122" s="21" t="str">
        <x:v>Paris</x:v>
      </x:c>
      <x:c r="F122" s="21" t="str">
        <x:v>Asia of Ivry (fr, Asie d'Ivry) Wholesaler Chinese Pastry, 50 Av. de la Prte d'Ivry fire</x:v>
      </x:c>
      <x:c r="G122" s="39" t="n">
        <x:v>45552</x:v>
      </x:c>
      <x:c r="H122" s="21" t="str">
        <x:v>Asia of Ivry (fr, Asie d'Ivry) Wholesaler Chinese Pastry, 50 Av. de la Prte d'Ivry高层建筑外立面火灾。死亡 0，受伤 2；表中记录的受影响楼层为 7th (attic)。</x:v>
      </x:c>
      <x:c r="I122" s="21" t="str">
        <x:v>未检索到/待核实</x:v>
      </x:c>
      <x:c r="J122" s="21" t="str">
        <x:v>死亡 0，受伤 2；表中记录的受影响楼层为 7th (attic)。</x:v>
      </x:c>
      <x:c r="K122" s="21" t="str">
        <x:v>https://english.news.cn/europe/20240918/4f5f1d3157c342bba3a376dc712960fe/c.html</x:v>
      </x:c>
      <x:c r="L122" s="27" t="n">
        <x:v>48.85341</x:v>
      </x:c>
      <x:c r="M122" s="27" t="n">
        <x:v>2.3488</x:v>
      </x:c>
      <x:c r="N122" s="21" t="str">
        <x:v>城市代表点（来源明确说明不是火场坐标）</x:v>
      </x:c>
      <x:c r="O122" s="21" t="str">
        <x:v>高层建筑外立面火灾</x:v>
      </x:c>
      <x:c r="P122" s="21" t="str">
        <x:v>未检索到</x:v>
      </x:c>
      <x:c r="Q122" s="21" t="str">
        <x:v>21 m</x:v>
      </x:c>
      <x:c r="R122" s="21" t="str">
        <x:v>7th (attic)</x:v>
      </x:c>
      <x:c r="S122" s="21" t="str">
        <x:v>未检索到</x:v>
      </x:c>
      <x:c r="T122" s="42" t="n">
        <x:v>0</x:v>
      </x:c>
      <x:c r="U122" s="42" t="n">
        <x:v>2</x:v>
      </x:c>
      <x:c r="V122" s="42"/>
      <x:c r="W122" s="33" t="str">
        <x:v>C</x:v>
      </x:c>
      <x:c r="X122" s="33" t="str">
        <x:v>compendium_needs_independent_verification</x:v>
      </x:c>
      <x:c r="Y122" s="33" t="str">
        <x:v>专题汇编记录</x:v>
      </x:c>
      <x:c r="Z122" s="21" t="str">
        <x:v>Wikipedia高层专题表；需补充独立来源核验</x:v>
      </x:c>
      <x:c r="AA122" s="21" t="str">
        <x:v>List of fires in high-rise buildings | List of high-rise façade fires | Wikipedia dynamic high-rise list (candidate discovery) | Wikipedia high-rise façade list; derived from Bonner et al./news (candidate discovery)</x:v>
      </x:c>
      <x:c r="AB122" s="21" t="str">
        <x:v>Wikipedia专题列表 | 批量来源代理</x:v>
      </x:c>
      <x:c r="AC122" s="21" t="str">
        <x:v>https://en.wikipedia.org/wiki/List_of_fires_in_high-rise_buildings | https://en.wikipedia.org/wiki/List_of_high-rise_fa%C3%A7ade_fires</x:v>
      </x:c>
      <x:c r="AD122" s="21" t="n">
        <x:v>3</x:v>
      </x:c>
      <x:c r="AE122" s="21" t="str">
        <x:v>可访问(200)</x:v>
      </x:c>
      <x:c r="AF122" s="21" t="str">
        <x:v>https://en.wikipedia.org/wiki/List_of_fires_in_high-rise_buildings =&gt; 可访问(200) | https://en.wikipedia.org/wiki/List_of_high-rise_fa%C3%A7ade_fires =&gt; 可访问(200)</x:v>
      </x:c>
      <x:c r="AG122" s="24" t="n">
        <x:v>46260</x:v>
      </x:c>
      <x:c r="AH122" s="21" t="str"/>
      <x:c r="AI122" s="21" t="n">
        <x:v>1</x:v>
      </x:c>
      <x:c r="AJ122" s="21" t="str">
        <x:v>未评估（本事件表不建立热浪因果关系）</x:v>
      </x:c>
      <x:c r="AK122" s="21" t="str">
        <x:v>缺失/待核实</x:v>
      </x:c>
    </x:row>
    <x:row r="123" ht="42" customHeight="1">
      <x:c r="A123" s="33" t="n">
        <x:v>122</x:v>
      </x:c>
      <x:c r="B123" s="33" t="str">
        <x:v>HRF-0122</x:v>
      </x:c>
      <x:c r="C123" s="36" t="str">
        <x:v>欧洲</x:v>
      </x:c>
      <x:c r="D123" s="36" t="str">
        <x:v>France</x:v>
      </x:c>
      <x:c r="E123" s="21" t="str">
        <x:v>Paris</x:v>
      </x:c>
      <x:c r="F123" s="21" t="str">
        <x:v>26 Avenue d'Iéna fire</x:v>
      </x:c>
      <x:c r="G123" s="39" t="n">
        <x:v>45639</x:v>
      </x:c>
      <x:c r="H123" s="21" t="str">
        <x:v>26 Avenue d'Iéna高层建筑外立面火灾。死亡 0，受伤 0；表中记录的受影响楼层为 7th。</x:v>
      </x:c>
      <x:c r="I123" s="21" t="str">
        <x:v>未检索到/待核实</x:v>
      </x:c>
      <x:c r="J123" s="21" t="str">
        <x:v>死亡 0，受伤 0；表中记录的受影响楼层为 7th。</x:v>
      </x:c>
      <x:c r="K123" s="21" t="str">
        <x:v>https://www.sortiraparis.com/en/news/in-paris/articles/322526-fire-in-progress-avenue-d-iena-in-paris-16th-arrondissement</x:v>
      </x:c>
      <x:c r="L123" s="27" t="n">
        <x:v>48.85341</x:v>
      </x:c>
      <x:c r="M123" s="27" t="n">
        <x:v>2.3488</x:v>
      </x:c>
      <x:c r="N123" s="21" t="str">
        <x:v>城市代表点（来源明确说明不是火场坐标）</x:v>
      </x:c>
      <x:c r="O123" s="21" t="str">
        <x:v>高层建筑外立面火灾</x:v>
      </x:c>
      <x:c r="P123" s="21" t="str">
        <x:v>未检索到</x:v>
      </x:c>
      <x:c r="Q123" s="21" t="str">
        <x:v>未检索到</x:v>
      </x:c>
      <x:c r="R123" s="21" t="str">
        <x:v>7th</x:v>
      </x:c>
      <x:c r="S123" s="21" t="str">
        <x:v>未检索到</x:v>
      </x:c>
      <x:c r="T123" s="42" t="n">
        <x:v>0</x:v>
      </x:c>
      <x:c r="U123" s="42" t="n">
        <x:v>0</x:v>
      </x:c>
      <x:c r="V123" s="42"/>
      <x:c r="W123" s="33" t="str">
        <x:v>C</x:v>
      </x:c>
      <x:c r="X123" s="33" t="str">
        <x:v>compendium_needs_independent_verification</x:v>
      </x:c>
      <x:c r="Y123" s="33" t="str">
        <x:v>专题汇编记录</x:v>
      </x:c>
      <x:c r="Z123" s="21" t="str">
        <x:v>Wikipedia高层专题表；需补充独立来源核验</x:v>
      </x:c>
      <x:c r="AA123" s="21" t="str">
        <x:v>List of high-rise façade fires | Wikipedia high-rise façade list; derived from Bonner et al./news (candidate discovery)</x:v>
      </x:c>
      <x:c r="AB123" s="21" t="str">
        <x:v>Wikipedia专题列表 | 批量来源代理</x:v>
      </x:c>
      <x:c r="AC123" s="21" t="str">
        <x:v>https://en.wikipedia.org/wiki/List_of_high-rise_fa%C3%A7ade_fires</x:v>
      </x:c>
      <x:c r="AD123" s="21" t="n">
        <x:v>2</x:v>
      </x:c>
      <x:c r="AE123" s="21" t="str">
        <x:v>可访问(200)</x:v>
      </x:c>
      <x:c r="AF123" s="21" t="str">
        <x:v>https://en.wikipedia.org/wiki/List_of_high-rise_fa%C3%A7ade_fires =&gt; 可访问(200)</x:v>
      </x:c>
      <x:c r="AG123" s="24" t="n">
        <x:v>46260</x:v>
      </x:c>
      <x:c r="AH123" s="21" t="str"/>
      <x:c r="AI123" s="21" t="n">
        <x:v>1</x:v>
      </x:c>
      <x:c r="AJ123" s="21" t="str">
        <x:v>未评估（本事件表不建立热浪因果关系）</x:v>
      </x:c>
      <x:c r="AK123" s="21" t="str">
        <x:v>缺失/待核实</x:v>
      </x:c>
    </x:row>
    <x:row r="124" ht="42" customHeight="1">
      <x:c r="A124" s="33" t="n">
        <x:v>123</x:v>
      </x:c>
      <x:c r="B124" s="33" t="str">
        <x:v>HRF-0123</x:v>
      </x:c>
      <x:c r="C124" s="36" t="str">
        <x:v>欧洲</x:v>
      </x:c>
      <x:c r="D124" s="36" t="str">
        <x:v>France</x:v>
      </x:c>
      <x:c r="E124" s="21" t="str">
        <x:v>Paris</x:v>
      </x:c>
      <x:c r="F124" s="21" t="str">
        <x:v>GMF Assurances, 1 rue de la Pépinière fire</x:v>
      </x:c>
      <x:c r="G124" s="39" t="n">
        <x:v>45650</x:v>
      </x:c>
      <x:c r="H124" s="21" t="str">
        <x:v>GMF Assurances, 1 rue de la Pépinière高层建筑外立面火灾。死亡 0，受伤 1；表中记录的受影响楼层为 Top flr。</x:v>
      </x:c>
      <x:c r="I124" s="21" t="str">
        <x:v>未检索到/待核实</x:v>
      </x:c>
      <x:c r="J124" s="21" t="str">
        <x:v>死亡 0，受伤 1；表中记录的受影响楼层为 Top flr。</x:v>
      </x:c>
      <x:c r="K124" s="21" t="str">
        <x:v>https://www.sortiraparis.com/en/news/in-paris/articles/322834-fire-in-front-of-gare-saint-lazare-building-destroys-paris-8e-avoid-the-area</x:v>
      </x:c>
      <x:c r="L124" s="27" t="n">
        <x:v>48.85341</x:v>
      </x:c>
      <x:c r="M124" s="27" t="n">
        <x:v>2.3488</x:v>
      </x:c>
      <x:c r="N124" s="21" t="str">
        <x:v>城市代表点（来源明确说明不是火场坐标）</x:v>
      </x:c>
      <x:c r="O124" s="21" t="str">
        <x:v>高层建筑外立面火灾</x:v>
      </x:c>
      <x:c r="P124" s="21" t="str">
        <x:v>未检索到</x:v>
      </x:c>
      <x:c r="Q124" s="21" t="str">
        <x:v>未检索到</x:v>
      </x:c>
      <x:c r="R124" s="21" t="str">
        <x:v>Top flr</x:v>
      </x:c>
      <x:c r="S124" s="21" t="str">
        <x:v>未检索到</x:v>
      </x:c>
      <x:c r="T124" s="42" t="n">
        <x:v>0</x:v>
      </x:c>
      <x:c r="U124" s="42" t="n">
        <x:v>1</x:v>
      </x:c>
      <x:c r="V124" s="42"/>
      <x:c r="W124" s="33" t="str">
        <x:v>C</x:v>
      </x:c>
      <x:c r="X124" s="33" t="str">
        <x:v>compendium_needs_independent_verification</x:v>
      </x:c>
      <x:c r="Y124" s="33" t="str">
        <x:v>专题汇编记录</x:v>
      </x:c>
      <x:c r="Z124" s="21" t="str">
        <x:v>Wikipedia高层专题表；需补充独立来源核验</x:v>
      </x:c>
      <x:c r="AA124" s="21" t="str">
        <x:v>List of high-rise façade fires | Wikipedia high-rise façade list; derived from Bonner et al./news (candidate discovery)</x:v>
      </x:c>
      <x:c r="AB124" s="21" t="str">
        <x:v>Wikipedia专题列表 | 批量来源代理</x:v>
      </x:c>
      <x:c r="AC124" s="21" t="str">
        <x:v>https://en.wikipedia.org/wiki/List_of_high-rise_fa%C3%A7ade_fires</x:v>
      </x:c>
      <x:c r="AD124" s="21" t="n">
        <x:v>2</x:v>
      </x:c>
      <x:c r="AE124" s="21" t="str">
        <x:v>可访问(200)</x:v>
      </x:c>
      <x:c r="AF124" s="21" t="str">
        <x:v>https://en.wikipedia.org/wiki/List_of_high-rise_fa%C3%A7ade_fires =&gt; 可访问(200)</x:v>
      </x:c>
      <x:c r="AG124" s="24" t="n">
        <x:v>46260</x:v>
      </x:c>
      <x:c r="AH124" s="21" t="str"/>
      <x:c r="AI124" s="21" t="n">
        <x:v>1</x:v>
      </x:c>
      <x:c r="AJ124" s="21" t="str">
        <x:v>未评估（本事件表不建立热浪因果关系）</x:v>
      </x:c>
      <x:c r="AK124" s="21" t="str">
        <x:v>缺失/待核实</x:v>
      </x:c>
    </x:row>
    <x:row r="125" ht="42" customHeight="1">
      <x:c r="A125" s="33" t="n">
        <x:v>124</x:v>
      </x:c>
      <x:c r="B125" s="33" t="str">
        <x:v>HRF-0124</x:v>
      </x:c>
      <x:c r="C125" s="36" t="str">
        <x:v>欧洲</x:v>
      </x:c>
      <x:c r="D125" s="36" t="str">
        <x:v>France</x:v>
      </x:c>
      <x:c r="E125" s="21" t="str">
        <x:v>Paris</x:v>
      </x:c>
      <x:c r="F125" s="21" t="str">
        <x:v>The 12th District Town Hall fire</x:v>
      </x:c>
      <x:c r="G125" s="39" t="n">
        <x:v>45684</x:v>
      </x:c>
      <x:c r="H125" s="21" t="str">
        <x:v>The 12th District Town Hall高层建筑火灾；建筑高度记录为 36 m。死亡人数：0。Top flrs, possible electrical short in attic, 150 firefighters saved main structure, tower stabilized after collapse risk.</x:v>
      </x:c>
      <x:c r="I125" s="21" t="str">
        <x:v>Top flrs, possible electrical short in attic, 150 firefighters saved main structure, tower stabilized after collapse risk.</x:v>
      </x:c>
      <x:c r="J125" s="21" t="str">
        <x:v>死亡人数：0。Top flrs, possible electrical short in attic, 150 firefighters saved main structure, tower stabilized after collapse risk.</x:v>
      </x:c>
      <x:c r="K125" s="21" t="str">
        <x:v>https://apnews.com/article/paris-town-hall-fire-bell-tower-c6ff46a0f000b28d2a4cffb30ae82f08</x:v>
      </x:c>
      <x:c r="L125" s="27" t="n">
        <x:v>48.85341</x:v>
      </x:c>
      <x:c r="M125" s="27" t="n">
        <x:v>2.3488</x:v>
      </x:c>
      <x:c r="N125" s="21" t="str">
        <x:v>城市代表点（来源明确说明不是火场坐标）</x:v>
      </x:c>
      <x:c r="O125" s="21" t="str">
        <x:v>高层建筑火灾</x:v>
      </x:c>
      <x:c r="P125" s="21" t="str">
        <x:v>未检索到</x:v>
      </x:c>
      <x:c r="Q125" s="21" t="str">
        <x:v>36 m</x:v>
      </x:c>
      <x:c r="R125" s="21" t="str">
        <x:v>Top flrs</x:v>
      </x:c>
      <x:c r="S125" s="21" t="str">
        <x:v>未检索到</x:v>
      </x:c>
      <x:c r="T125" s="42" t="n">
        <x:v>0</x:v>
      </x:c>
      <x:c r="U125" s="42"/>
      <x:c r="V125" s="42"/>
      <x:c r="W125" s="33" t="str">
        <x:v>C</x:v>
      </x:c>
      <x:c r="X125" s="33" t="str">
        <x:v>compendium_needs_independent_verification</x:v>
      </x:c>
      <x:c r="Y125" s="33" t="str">
        <x:v>专题汇编记录</x:v>
      </x:c>
      <x:c r="Z125" s="21" t="str">
        <x:v>Wikipedia高层建筑专题表；需补充独立来源核验</x:v>
      </x:c>
      <x:c r="AA125" s="21" t="str">
        <x:v>List of fires in high-rise buildings | List of high-rise façade fires | Wikipedia dynamic high-rise list (candidate discovery)</x:v>
      </x:c>
      <x:c r="AB125" s="21" t="str">
        <x:v>Wikipedia专题列表 | 批量来源代理</x:v>
      </x:c>
      <x:c r="AC125" s="21" t="str">
        <x:v>https://en.wikipedia.org/wiki/List_of_fires_in_high-rise_buildings</x:v>
      </x:c>
      <x:c r="AD125" s="21" t="n">
        <x:v>2</x:v>
      </x:c>
      <x:c r="AE125" s="21" t="str">
        <x:v>可访问(200)</x:v>
      </x:c>
      <x:c r="AF125" s="21" t="str">
        <x:v>https://en.wikipedia.org/wiki/List_of_fires_in_high-rise_buildings =&gt; 可访问(200)</x:v>
      </x:c>
      <x:c r="AG125" s="24" t="n">
        <x:v>46260</x:v>
      </x:c>
      <x:c r="AH125" s="21" t="str"/>
      <x:c r="AI125" s="21" t="n">
        <x:v>1</x:v>
      </x:c>
      <x:c r="AJ125" s="21" t="str">
        <x:v>未评估（本事件表不建立热浪因果关系）</x:v>
      </x:c>
      <x:c r="AK125" s="21" t="str">
        <x:v>已有来源描述</x:v>
      </x:c>
    </x:row>
    <x:row r="126" ht="42" customHeight="1">
      <x:c r="A126" s="33" t="n">
        <x:v>125</x:v>
      </x:c>
      <x:c r="B126" s="33" t="str">
        <x:v>HRF-0125</x:v>
      </x:c>
      <x:c r="C126" s="36" t="str">
        <x:v>欧洲</x:v>
      </x:c>
      <x:c r="D126" s="36" t="str">
        <x:v>France</x:v>
      </x:c>
      <x:c r="E126" s="21" t="str">
        <x:v>Tours, Indre-et-Loire</x:v>
      </x:c>
      <x:c r="F126" s="21" t="str">
        <x:v>18 Jardin de Guillaume Bouzignac/18 Mail Gustave Flaubert fire</x:v>
      </x:c>
      <x:c r="G126" s="39" t="n">
        <x:v>45940</x:v>
      </x:c>
      <x:c r="H126" s="21" t="str">
        <x:v>18 Jardin de Guillaume Bouzignac/18 Mail Gustave Flaubert高层建筑火灾；建筑高度记录为 60 m。死亡人数：1。</x:v>
      </x:c>
      <x:c r="I126" s="21" t="str">
        <x:v>未检索到/待核实</x:v>
      </x:c>
      <x:c r="J126" s="21" t="str">
        <x:v>死亡人数：1。</x:v>
      </x:c>
      <x:c r="K126" s="21" t="str">
        <x:v>https://www.lanouvellerepublique.fr/tours/incendie-dans-un-appartement-du-quartier-bouzignac-a-tours-une-personne-retrouvee-decedee-1760119673</x:v>
      </x:c>
      <x:c r="L126" s="27" t="n">
        <x:v>47.39484</x:v>
      </x:c>
      <x:c r="M126" s="27" t="n">
        <x:v>0.70398</x:v>
      </x:c>
      <x:c r="N126" s="21" t="str">
        <x:v>城市代表点（GeoNames；不是建筑精确坐标）</x:v>
      </x:c>
      <x:c r="O126" s="21" t="str">
        <x:v>高层建筑火灾</x:v>
      </x:c>
      <x:c r="P126" s="21" t="str">
        <x:v>未检索到</x:v>
      </x:c>
      <x:c r="Q126" s="21" t="str">
        <x:v>60 m</x:v>
      </x:c>
      <x:c r="R126" s="21" t="str">
        <x:v>未检索到</x:v>
      </x:c>
      <x:c r="S126" s="21" t="str">
        <x:v>未检索到</x:v>
      </x:c>
      <x:c r="T126" s="42" t="n">
        <x:v>1</x:v>
      </x:c>
      <x:c r="U126" s="42"/>
      <x:c r="V126" s="42"/>
      <x:c r="W126" s="33" t="str">
        <x:v>C</x:v>
      </x:c>
      <x:c r="X126" s="33" t="str">
        <x:v>compendium_needs_independent_verification</x:v>
      </x:c>
      <x:c r="Y126" s="33" t="str">
        <x:v>专题汇编记录</x:v>
      </x:c>
      <x:c r="Z126" s="21" t="str">
        <x:v>Wikipedia高层建筑专题表；需补充独立来源核验</x:v>
      </x:c>
      <x:c r="AA126" s="21" t="str">
        <x:v>List of fires in high-rise buildings | Wikipedia dynamic high-rise list (candidate discovery)</x:v>
      </x:c>
      <x:c r="AB126" s="21" t="str">
        <x:v>Wikipedia专题列表 | 批量来源代理</x:v>
      </x:c>
      <x:c r="AC126" s="21" t="str">
        <x:v>https://en.wikipedia.org/wiki/List_of_fires_in_high-rise_buildings</x:v>
      </x:c>
      <x:c r="AD126" s="21" t="n">
        <x:v>2</x:v>
      </x:c>
      <x:c r="AE126" s="21" t="str">
        <x:v>受限(403)</x:v>
      </x:c>
      <x:c r="AF126" s="21" t="str">
        <x:v>https://en.wikipedia.org/wiki/List_of_fires_in_high-rise_buildings =&gt; 可访问(200)</x:v>
      </x:c>
      <x:c r="AG126" s="24" t="n">
        <x:v>46260</x:v>
      </x:c>
      <x:c r="AH126" s="21" t="str"/>
      <x:c r="AI126" s="21" t="n">
        <x:v>1</x:v>
      </x:c>
      <x:c r="AJ126" s="21" t="str">
        <x:v>未评估（本事件表不建立热浪因果关系）</x:v>
      </x:c>
      <x:c r="AK126" s="21" t="str">
        <x:v>缺失/待核实</x:v>
      </x:c>
    </x:row>
    <x:row r="127" ht="42" customHeight="1">
      <x:c r="A127" s="33" t="n">
        <x:v>126</x:v>
      </x:c>
      <x:c r="B127" s="33" t="str">
        <x:v>HRF-0126</x:v>
      </x:c>
      <x:c r="C127" s="36" t="str">
        <x:v>欧洲</x:v>
      </x:c>
      <x:c r="D127" s="36" t="str">
        <x:v>Bosnia and Herzegovina</x:v>
      </x:c>
      <x:c r="E127" s="21" t="str">
        <x:v>Tuzla</x:v>
      </x:c>
      <x:c r="F127" s="21" t="str">
        <x:v>Tuzla retirement home fire</x:v>
      </x:c>
      <x:c r="G127" s="39" t="n">
        <x:v>45965</x:v>
      </x:c>
      <x:c r="H127" s="21" t="str">
        <x:v>Tuzla Retirement Home高层建筑火灾；建筑高度记录为 未列明。死亡人数：17。Tuzla retirement home fire</x:v>
      </x:c>
      <x:c r="I127" s="21" t="str">
        <x:v>未检索到/待核实</x:v>
      </x:c>
      <x:c r="J127" s="21" t="str">
        <x:v>死亡人数：17。Tuzla retirement home fire</x:v>
      </x:c>
      <x:c r="K127" s="21" t="str">
        <x:v>https://en.wikipedia.org/wiki/Tuzla_retirement_home_fire</x:v>
      </x:c>
      <x:c r="L127" s="27" t="n">
        <x:v>44.53842</x:v>
      </x:c>
      <x:c r="M127" s="27" t="n">
        <x:v>18.66709</x:v>
      </x:c>
      <x:c r="N127" s="21" t="str">
        <x:v>城市代表点（来源明确说明不是火场坐标）</x:v>
      </x:c>
      <x:c r="O127" s="21" t="str">
        <x:v>高层建筑火灾</x:v>
      </x:c>
      <x:c r="P127" s="21" t="str">
        <x:v>healthcare/care</x:v>
      </x:c>
      <x:c r="Q127" s="21" t="str">
        <x:v>未检索到</x:v>
      </x:c>
      <x:c r="R127" s="21" t="str">
        <x:v>未检索到</x:v>
      </x:c>
      <x:c r="S127" s="21" t="str">
        <x:v>未检索到</x:v>
      </x:c>
      <x:c r="T127" s="42" t="n">
        <x:v>17</x:v>
      </x:c>
      <x:c r="U127" s="42"/>
      <x:c r="V127" s="42"/>
      <x:c r="W127" s="33" t="str">
        <x:v>B</x:v>
      </x:c>
      <x:c r="X127" s="33" t="str">
        <x:v>compendium_needs_independent_verification</x:v>
      </x:c>
      <x:c r="Y127" s="33" t="str">
        <x:v>专题汇编记录</x:v>
      </x:c>
      <x:c r="Z127" s="21" t="str">
        <x:v>Wikipedia具名事件页+高层建筑专题表</x:v>
      </x:c>
      <x:c r="AA127" s="21" t="str">
        <x:v>List of fires in high-rise buildings | Wikipedia dynamic high-rise list (candidate discovery)</x:v>
      </x:c>
      <x:c r="AB127" s="21" t="str">
        <x:v>Wikipedia专题列表 | 批量来源代理</x:v>
      </x:c>
      <x:c r="AC127" s="21" t="str">
        <x:v>https://en.wikipedia.org/wiki/List_of_fires_in_high-rise_buildings</x:v>
      </x:c>
      <x:c r="AD127" s="21" t="n">
        <x:v>2</x:v>
      </x:c>
      <x:c r="AE127" s="21" t="str">
        <x:v>可访问(200)</x:v>
      </x:c>
      <x:c r="AF127" s="21" t="str">
        <x:v>https://en.wikipedia.org/wiki/List_of_fires_in_high-rise_buildings =&gt; 可访问(200)</x:v>
      </x:c>
      <x:c r="AG127" s="24" t="n">
        <x:v>46260</x:v>
      </x:c>
      <x:c r="AH127" s="21" t="str"/>
      <x:c r="AI127" s="21" t="n">
        <x:v>1</x:v>
      </x:c>
      <x:c r="AJ127" s="21" t="str">
        <x:v>未评估（本事件表不建立热浪因果关系）</x:v>
      </x:c>
      <x:c r="AK127" s="21" t="str">
        <x:v>缺失/待核实</x:v>
      </x:c>
    </x:row>
    <x:row r="128" ht="42" customHeight="1">
      <x:c r="A128" s="33" t="n">
        <x:v>127</x:v>
      </x:c>
      <x:c r="B128" s="33" t="str">
        <x:v>HRF-0127</x:v>
      </x:c>
      <x:c r="C128" s="36" t="str">
        <x:v>欧洲</x:v>
      </x:c>
      <x:c r="D128" s="36" t="str">
        <x:v>Croatia</x:v>
      </x:c>
      <x:c r="E128" s="21" t="str">
        <x:v>Zagreb</x:v>
      </x:c>
      <x:c r="F128" s="21" t="str">
        <x:v>Vjesnik Building fire</x:v>
      </x:c>
      <x:c r="G128" s="39" t="n">
        <x:v>45978</x:v>
      </x:c>
      <x:c r="H128" s="21" t="str">
        <x:v>Vjesnik Building高层建筑火灾；建筑高度记录为 未列明。死亡人数：0。Fire started at the 15th floor by high school students. The building was vacant at the time of the fire, and will be demolished.</x:v>
      </x:c>
      <x:c r="I128" s="21" t="str">
        <x:v>Fire started at the 15th floor by high school students.</x:v>
      </x:c>
      <x:c r="J128" s="21" t="str">
        <x:v>死亡人数：0。Fire started at the 15th floor by high school students. The building was vacant at the time of the fire, and will be demolished.</x:v>
      </x:c>
      <x:c r="K128" s="21" t="str">
        <x:v>https://balkaninsight.com/2025/11/26/up-in-smoke-vjesnik-fire-symbolises-end-of-croatian-journalisms-golden-age/</x:v>
      </x:c>
      <x:c r="L128" s="27" t="n">
        <x:v>45.81444</x:v>
      </x:c>
      <x:c r="M128" s="27" t="n">
        <x:v>15.97798</x:v>
      </x:c>
      <x:c r="N128" s="21" t="str">
        <x:v>城市代表点（来源明确说明不是火场坐标）</x:v>
      </x:c>
      <x:c r="O128" s="21" t="str">
        <x:v>高层建筑火灾</x:v>
      </x:c>
      <x:c r="P128" s="21" t="str">
        <x:v>education</x:v>
      </x:c>
      <x:c r="Q128" s="21" t="str">
        <x:v>未检索到</x:v>
      </x:c>
      <x:c r="R128" s="21" t="str">
        <x:v>未检索到</x:v>
      </x:c>
      <x:c r="S128" s="21" t="str">
        <x:v>vacant</x:v>
      </x:c>
      <x:c r="T128" s="42" t="n">
        <x:v>0</x:v>
      </x:c>
      <x:c r="U128" s="42"/>
      <x:c r="V128" s="42"/>
      <x:c r="W128" s="33" t="str">
        <x:v>C</x:v>
      </x:c>
      <x:c r="X128" s="33" t="str">
        <x:v>compendium_needs_independent_verification</x:v>
      </x:c>
      <x:c r="Y128" s="33" t="str">
        <x:v>专题汇编记录</x:v>
      </x:c>
      <x:c r="Z128" s="21" t="str">
        <x:v>Wikipedia高层建筑专题表；需补充独立来源核验</x:v>
      </x:c>
      <x:c r="AA128" s="21" t="str">
        <x:v>List of fires in high-rise buildings | Wikipedia dynamic high-rise list (candidate discovery)</x:v>
      </x:c>
      <x:c r="AB128" s="21" t="str">
        <x:v>Wikipedia专题列表 | 批量来源代理</x:v>
      </x:c>
      <x:c r="AC128" s="21" t="str">
        <x:v>https://en.wikipedia.org/wiki/List_of_fires_in_high-rise_buildings</x:v>
      </x:c>
      <x:c r="AD128" s="21" t="n">
        <x:v>2</x:v>
      </x:c>
      <x:c r="AE128" s="21" t="str">
        <x:v>可访问(200)</x:v>
      </x:c>
      <x:c r="AF128" s="21" t="str">
        <x:v>https://en.wikipedia.org/wiki/List_of_fires_in_high-rise_buildings =&gt; 可访问(200)</x:v>
      </x:c>
      <x:c r="AG128" s="24" t="n">
        <x:v>46260</x:v>
      </x:c>
      <x:c r="AH128" s="21" t="str"/>
      <x:c r="AI128" s="21" t="n">
        <x:v>1</x:v>
      </x:c>
      <x:c r="AJ128" s="21" t="str">
        <x:v>未评估（本事件表不建立热浪因果关系）</x:v>
      </x:c>
      <x:c r="AK128" s="21" t="str">
        <x:v>已有来源描述</x:v>
      </x:c>
    </x:row>
    <x:row r="129" ht="42" customHeight="1">
      <x:c r="A129" s="33" t="n">
        <x:v>128</x:v>
      </x:c>
      <x:c r="B129" s="33" t="str">
        <x:v>HRF-0128</x:v>
      </x:c>
      <x:c r="C129" s="36" t="str">
        <x:v>欧洲</x:v>
      </x:c>
      <x:c r="D129" s="36" t="str">
        <x:v>Croatia</x:v>
      </x:c>
      <x:c r="E129" s="21" t="str">
        <x:v>Vjesnik Tower, Zagreb, City of Zagreb, Croatia</x:v>
      </x:c>
      <x:c r="F129" s="21" t="str">
        <x:v>Vjesnik Tower fire</x:v>
      </x:c>
      <x:c r="G129" s="39" t="n">
        <x:v>45978</x:v>
      </x:c>
      <x:c r="H129" s="21" t="str">
        <x:v>萨格勒布地标高层办公塔发生大火，建筑内部和上部楼层严重损毁。</x:v>
      </x:c>
      <x:c r="I129" s="21" t="str">
        <x:v>未核实。</x:v>
      </x:c>
      <x:c r="J129" s="21" t="str">
        <x:v>建筑几乎被完全烧毁；无人员伤亡。</x:v>
      </x:c>
      <x:c r="K129" s="21" t="str">
        <x:v>https://apnews.com/article/09f6463cc7981e4ee74cc79fbe922b07</x:v>
      </x:c>
      <x:c r="L129" s="27" t="n">
        <x:v>45.7997</x:v>
      </x:c>
      <x:c r="M129" s="27" t="n">
        <x:v>15.9614</x:v>
      </x:c>
      <x:c r="N129" s="21" t="str">
        <x:v>事件/建筑近似点（候选来源提供）</x:v>
      </x:c>
      <x:c r="O129" s="21" t="str">
        <x:v>high-rise office fire</x:v>
      </x:c>
      <x:c r="P129" s="21" t="str">
        <x:v>office / former newspaper headquarters</x:v>
      </x:c>
      <x:c r="Q129" s="21" t="str">
        <x:v>about 16 storeys / landmark tower</x:v>
      </x:c>
      <x:c r="R129" s="21" t="str">
        <x:v>未检索到</x:v>
      </x:c>
      <x:c r="S129" s="21" t="str">
        <x:v>older landmark office tower</x:v>
      </x:c>
      <x:c r="T129" s="42" t="n">
        <x:v>0</x:v>
      </x:c>
      <x:c r="U129" s="42" t="n">
        <x:v>0</x:v>
      </x:c>
      <x:c r="V129" s="42" t="n">
        <x:v>0</x:v>
      </x:c>
      <x:c r="W129" s="33" t="str">
        <x:v>A</x:v>
      </x:c>
      <x:c r="X129" s="33" t="str">
        <x:v>confirmed_highrise</x:v>
      </x:c>
      <x:c r="Y129" s="33" t="str">
        <x:v>严格确认</x:v>
      </x:c>
      <x:c r="Z129" s="21" t="str">
        <x:v>AP确认事件和无人员伤亡；建筑资料显示约16层，需再用业主或市政府资料核对确切层数。</x:v>
      </x:c>
      <x:c r="AA129" s="21" t="str">
        <x:v>区域代理-欧洲非洲</x:v>
      </x:c>
      <x:c r="AB129" s="21" t="str">
        <x:v>区域代理-欧洲非洲</x:v>
      </x:c>
      <x:c r="AC129" s="21" t="str"/>
      <x:c r="AD129" s="21" t="n">
        <x:v>1</x:v>
      </x:c>
      <x:c r="AE129" s="21" t="str">
        <x:v>可访问(200)</x:v>
      </x:c>
      <x:c r="AF129" s="21" t="str"/>
      <x:c r="AG129" s="24" t="n">
        <x:v>46260</x:v>
      </x:c>
      <x:c r="AH129" s="21" t="str"/>
      <x:c r="AI129" s="21" t="n">
        <x:v>1</x:v>
      </x:c>
      <x:c r="AJ129" s="21" t="str">
        <x:v>未评估（本事件表不建立热浪因果关系）</x:v>
      </x:c>
      <x:c r="AK129" s="21" t="str">
        <x:v>已有来源描述</x:v>
      </x:c>
    </x:row>
    <x:row r="130" ht="42" customHeight="1">
      <x:c r="A130" s="33" t="n">
        <x:v>129</x:v>
      </x:c>
      <x:c r="B130" s="33" t="str">
        <x:v>HRF-0129</x:v>
      </x:c>
      <x:c r="C130" s="36" t="str">
        <x:v>非洲</x:v>
      </x:c>
      <x:c r="D130" s="36" t="str">
        <x:v>South Africa</x:v>
      </x:c>
      <x:c r="E130" s="21" t="str">
        <x:v>Johannesburg CBD, Gauteng, South Africa</x:v>
      </x:c>
      <x:c r="F130" s="21" t="str">
        <x:v>Rand Inn International Hotel fire</x:v>
      </x:c>
      <x:c r="G130" s="39" t="n">
        <x:v>37685</x:v>
      </x:c>
      <x:c r="H130" s="21" t="str">
        <x:v>约21层住宅旅馆低层餐厅/厨房起火，烟气通过楼梯间和电梯井充满整栋高层。</x:v>
      </x:c>
      <x:c r="I130" s="21" t="str">
        <x:v>餐厅厨房火花起火为CTIF汇总说法；同期报道仅确认火集中于2至3层，原因应再查消防调查。</x:v>
      </x:c>
      <x:c r="J130" s="21" t="str">
        <x:v>同期报道5死61伤，其中有人从高层跳下；CTIF汇总为6死67伤。</x:v>
      </x:c>
      <x:c r="K130" s="21" t="str">
        <x:v>https://iol.co.za/news/south-africa/2003-03-05-joburg-fire-victims-leap-to-their-death/</x:v>
      </x:c>
      <x:c r="L130" s="27" t="n">
        <x:v>-26.2041</x:v>
      </x:c>
      <x:c r="M130" s="27" t="n">
        <x:v>28.0473</x:v>
      </x:c>
      <x:c r="N130" s="21" t="str">
        <x:v>事件/建筑近似点（候选来源提供）</x:v>
      </x:c>
      <x:c r="O130" s="21" t="str">
        <x:v>high-rise hotel / residential fire</x:v>
      </x:c>
      <x:c r="P130" s="21" t="str">
        <x:v>residential hotel</x:v>
      </x:c>
      <x:c r="Q130" s="21" t="str">
        <x:v>20-21 storeys</x:v>
      </x:c>
      <x:c r="R130" s="21" t="str">
        <x:v>未检索到</x:v>
      </x:c>
      <x:c r="S130" s="21" t="str">
        <x:v>older inner-city residential hotel</x:v>
      </x:c>
      <x:c r="T130" s="42" t="n">
        <x:v>5</x:v>
      </x:c>
      <x:c r="U130" s="42" t="n">
        <x:v>61</x:v>
      </x:c>
      <x:c r="V130" s="42"/>
      <x:c r="W130" s="33" t="str">
        <x:v>B</x:v>
      </x:c>
      <x:c r="X130" s="33" t="str">
        <x:v>confirmed_highrise_casualty_discrepancy</x:v>
      </x:c>
      <x:c r="Y130" s="33" t="str">
        <x:v>确认但有待复核字段</x:v>
      </x:c>
      <x:c r="Z130" s="21" t="str">
        <x:v>IOL同期报道明确20层烟气传播、5死61伤；CTIF二次汇总记21层、6死67伤，存在版本差异。</x:v>
      </x:c>
      <x:c r="AA130" s="21" t="str">
        <x:v>区域代理-欧洲非洲</x:v>
      </x:c>
      <x:c r="AB130" s="21" t="str">
        <x:v>区域代理-欧洲非洲</x:v>
      </x:c>
      <x:c r="AC130" s="21" t="str"/>
      <x:c r="AD130" s="21" t="n">
        <x:v>1</x:v>
      </x:c>
      <x:c r="AE130" s="21" t="str">
        <x:v>可访问(200)</x:v>
      </x:c>
      <x:c r="AF130" s="21" t="str"/>
      <x:c r="AG130" s="24" t="n">
        <x:v>46260</x:v>
      </x:c>
      <x:c r="AH130" s="21" t="str"/>
      <x:c r="AI130" s="21" t="n">
        <x:v>1</x:v>
      </x:c>
      <x:c r="AJ130" s="21" t="str">
        <x:v>未评估（本事件表不建立热浪因果关系）</x:v>
      </x:c>
      <x:c r="AK130" s="21" t="str">
        <x:v>已有来源描述</x:v>
      </x:c>
    </x:row>
    <x:row r="131" ht="42" customHeight="1">
      <x:c r="A131" s="33" t="n">
        <x:v>130</x:v>
      </x:c>
      <x:c r="B131" s="33" t="str">
        <x:v>HRF-0130</x:v>
      </x:c>
      <x:c r="C131" s="36" t="str">
        <x:v>非洲</x:v>
      </x:c>
      <x:c r="D131" s="36" t="str">
        <x:v>Egypt</x:v>
      </x:c>
      <x:c r="E131" s="21" t="str">
        <x:v>Abbas Al-Aqqad Street, Nasr City, Cairo, Egypt</x:v>
      </x:c>
      <x:c r="F131" s="21" t="str">
        <x:v>Nasr City high-rise fire and collapse</x:v>
      </x:c>
      <x:c r="G131" s="39" t="n">
        <x:v>38012</x:v>
      </x:c>
      <x:c r="H131" s="21" t="str">
        <x:v>开罗Nasr City一栋12层住宅商住楼底层商店起火后发生气瓶爆炸并整体坍塌。</x:v>
      </x:c>
      <x:c r="I131" s="21" t="str">
        <x:v>底层家电商店/仓库起火，餐馆气瓶受热爆炸；违法加层和较差施工被认为导致坍塌。</x:v>
      </x:c>
      <x:c r="J131" s="21" t="str">
        <x:v>最终报道14人死亡、36至40余人受伤；相邻两栋楼被疏散。</x:v>
      </x:c>
      <x:c r="K131" s="21" t="str">
        <x:v>https://www.cbsnews.com/news/collapsed-cairo-high-rise-traps-15/</x:v>
      </x:c>
      <x:c r="L131" s="27" t="n">
        <x:v>30.056</x:v>
      </x:c>
      <x:c r="M131" s="27" t="n">
        <x:v>31.33</x:v>
      </x:c>
      <x:c r="N131" s="21" t="str">
        <x:v>事件/建筑近似点（候选来源提供）</x:v>
      </x:c>
      <x:c r="O131" s="21" t="str">
        <x:v>high-rise mixed-use fire and collapse</x:v>
      </x:c>
      <x:c r="P131" s="21" t="str">
        <x:v>residential with ground-floor commercial uses</x:v>
      </x:c>
      <x:c r="Q131" s="21" t="str">
        <x:v>11-12 storeys; originally permitted 4-5 floors</x:v>
      </x:c>
      <x:c r="R131" s="21" t="str">
        <x:v>未检索到</x:v>
      </x:c>
      <x:c r="S131" s="21" t="str">
        <x:v>built 1981; 6-7 floors added illegally</x:v>
      </x:c>
      <x:c r="T131" s="42" t="n">
        <x:v>14</x:v>
      </x:c>
      <x:c r="U131" s="42" t="n">
        <x:v>36</x:v>
      </x:c>
      <x:c r="V131" s="42"/>
      <x:c r="W131" s="33" t="str">
        <x:v>A</x:v>
      </x:c>
      <x:c r="X131" s="33" t="str">
        <x:v>confirmed_highrise_floor_discrepancy</x:v>
      </x:c>
      <x:c r="Y131" s="33" t="str">
        <x:v>确认但有待复核字段</x:v>
      </x:c>
      <x:c r="Z131" s="21" t="str">
        <x:v>CBS刊载AP同期报道；Al Jazeera后续确认14死36伤，楼层报道11至12层不一。</x:v>
      </x:c>
      <x:c r="AA131" s="21" t="str">
        <x:v>区域代理-欧洲非洲</x:v>
      </x:c>
      <x:c r="AB131" s="21" t="str">
        <x:v>区域代理-欧洲非洲</x:v>
      </x:c>
      <x:c r="AC131" s="21" t="str"/>
      <x:c r="AD131" s="21" t="n">
        <x:v>1</x:v>
      </x:c>
      <x:c r="AE131" s="21" t="str">
        <x:v>可访问(200)</x:v>
      </x:c>
      <x:c r="AF131" s="21" t="str"/>
      <x:c r="AG131" s="24" t="n">
        <x:v>46260</x:v>
      </x:c>
      <x:c r="AH131" s="21" t="str"/>
      <x:c r="AI131" s="21" t="n">
        <x:v>1</x:v>
      </x:c>
      <x:c r="AJ131" s="21" t="str">
        <x:v>未评估（本事件表不建立热浪因果关系）</x:v>
      </x:c>
      <x:c r="AK131" s="21" t="str">
        <x:v>已有来源描述</x:v>
      </x:c>
    </x:row>
    <x:row r="132" ht="42" customHeight="1">
      <x:c r="A132" s="33" t="n">
        <x:v>131</x:v>
      </x:c>
      <x:c r="B132" s="33" t="str">
        <x:v>HRF-0131</x:v>
      </x:c>
      <x:c r="C132" s="36" t="str">
        <x:v>非洲</x:v>
      </x:c>
      <x:c r="D132" s="36" t="str">
        <x:v>Nigeria</x:v>
      </x:c>
      <x:c r="E132" s="21" t="str">
        <x:v>47/57 Martins Street, Lagos Island, Lagos State, Nigeria</x:v>
      </x:c>
      <x:c r="F132" s="21" t="str">
        <x:v>Great Nigeria House fire</x:v>
      </x:c>
      <x:c r="G132" s="39" t="n">
        <x:v>41582</x:v>
      </x:c>
      <x:c r="H132" s="21" t="str">
        <x:v>25层商业大楼低层起火并持续燃烧约24小时，影响1至3层及夹层。</x:v>
      </x:c>
      <x:c r="I132" s="21" t="str">
        <x:v>确切原因未定；同期目击者称恢复供电后出现浓烟，可燃商品加剧火势。</x:v>
      </x:c>
      <x:c r="J132" s="21" t="str">
        <x:v>无死亡；同期报道2至3人受伤，超过200名商户受影响，财产损失巨大。</x:v>
      </x:c>
      <x:c r="K132" s="21" t="str">
        <x:v>https://www.greatnigeriaplc.com/report/2014FinancialStatementFull.pdf</x:v>
      </x:c>
      <x:c r="L132" s="27" t="n">
        <x:v>6.454</x:v>
      </x:c>
      <x:c r="M132" s="27" t="n">
        <x:v>3.392</x:v>
      </x:c>
      <x:c r="N132" s="21" t="str">
        <x:v>事件/建筑近似点（候选来源提供）</x:v>
      </x:c>
      <x:c r="O132" s="21" t="str">
        <x:v>high-rise commercial fire</x:v>
      </x:c>
      <x:c r="P132" s="21" t="str">
        <x:v>commercial / offices / trading and storage</x:v>
      </x:c>
      <x:c r="Q132" s="21" t="str">
        <x:v>25 storeys; floors 1-3 and mezzanine mainly affected</x:v>
      </x:c>
      <x:c r="R132" s="21" t="str">
        <x:v>未检索到</x:v>
      </x:c>
      <x:c r="S132" s="21" t="str">
        <x:v>over 30 years old in 2013</x:v>
      </x:c>
      <x:c r="T132" s="42" t="n">
        <x:v>0</x:v>
      </x:c>
      <x:c r="U132" s="42" t="n">
        <x:v>3</x:v>
      </x:c>
      <x:c r="V132" s="42" t="n">
        <x:v>200</x:v>
      </x:c>
      <x:c r="W132" s="33" t="str">
        <x:v>A</x:v>
      </x:c>
      <x:c r="X132" s="33" t="str">
        <x:v>confirmed_highrise</x:v>
      </x:c>
      <x:c r="Y132" s="33" t="str">
        <x:v>严格确认</x:v>
      </x:c>
      <x:c r="Z132" s="21" t="str">
        <x:v>业主2014财务报表确认地址、日期及主要受影响楼层；同期新闻确认25层和人员影响。</x:v>
      </x:c>
      <x:c r="AA132" s="21" t="str">
        <x:v>区域代理-欧洲非洲</x:v>
      </x:c>
      <x:c r="AB132" s="21" t="str">
        <x:v>区域代理-欧洲非洲</x:v>
      </x:c>
      <x:c r="AC132" s="21" t="str"/>
      <x:c r="AD132" s="21" t="n">
        <x:v>1</x:v>
      </x:c>
      <x:c r="AE132" s="21" t="str">
        <x:v>可访问(200)</x:v>
      </x:c>
      <x:c r="AF132" s="21" t="str"/>
      <x:c r="AG132" s="24" t="n">
        <x:v>46260</x:v>
      </x:c>
      <x:c r="AH132" s="21" t="str"/>
      <x:c r="AI132" s="21" t="n">
        <x:v>1</x:v>
      </x:c>
      <x:c r="AJ132" s="21" t="str">
        <x:v>未评估（本事件表不建立热浪因果关系）</x:v>
      </x:c>
      <x:c r="AK132" s="21" t="str">
        <x:v>已有来源描述</x:v>
      </x:c>
    </x:row>
    <x:row r="133" ht="42" customHeight="1">
      <x:c r="A133" s="33" t="n">
        <x:v>132</x:v>
      </x:c>
      <x:c r="B133" s="33" t="str">
        <x:v>HRF-0132</x:v>
      </x:c>
      <x:c r="C133" s="36" t="str">
        <x:v>非洲</x:v>
      </x:c>
      <x:c r="D133" s="36" t="str">
        <x:v>Nigeria</x:v>
      </x:c>
      <x:c r="E133" s="21" t="str">
        <x:v>Marina, Lagos Island, Lagos State, Nigeria</x:v>
      </x:c>
      <x:c r="F133" s="21" t="str">
        <x:v>Mamman Kontagora House fire</x:v>
      </x:c>
      <x:c r="G133" s="39" t="n">
        <x:v>42109</x:v>
      </x:c>
      <x:c r="H133" s="21" t="str">
        <x:v>拉各斯Marina一栋高层办公楼发电机房起火，火势向上影响至约7层。</x:v>
      </x:c>
      <x:c r="I133" s="21" t="str">
        <x:v>发电机/发电机房被消防部门认定为起火点。</x:v>
      </x:c>
      <x:c r="J133" s="21" t="str">
        <x:v>无已报告死亡；办公机构临时迁出，具体损失待评估。</x:v>
      </x:c>
      <x:c r="K133" s="21" t="str">
        <x:v>https://www.channelstv.com/2015/04/15/fire-guts-kontagora-house-in-lagos/</x:v>
      </x:c>
      <x:c r="L133" s="27" t="n">
        <x:v>6.448</x:v>
      </x:c>
      <x:c r="M133" s="27" t="n">
        <x:v>3.397</x:v>
      </x:c>
      <x:c r="N133" s="21" t="str">
        <x:v>事件/建筑近似点（候选来源提供）</x:v>
      </x:c>
      <x:c r="O133" s="21" t="str">
        <x:v>high-rise office fire</x:v>
      </x:c>
      <x:c r="P133" s="21" t="str">
        <x:v>office / government and financial institutions</x:v>
      </x:c>
      <x:c r="Q133" s="21" t="str">
        <x:v>high-rise; fire reportedly reached 7th floor; total floors to verify</x:v>
      </x:c>
      <x:c r="R133" s="21" t="str">
        <x:v>未检索到</x:v>
      </x:c>
      <x:c r="S133" s="21" t="str">
        <x:v>未检索到</x:v>
      </x:c>
      <x:c r="T133" s="42" t="n">
        <x:v>0</x:v>
      </x:c>
      <x:c r="U133" s="42"/>
      <x:c r="V133" s="42"/>
      <x:c r="W133" s="33" t="str">
        <x:v>B</x:v>
      </x:c>
      <x:c r="X133" s="33" t="str">
        <x:v>candidate_needs_total_floor_count</x:v>
      </x:c>
      <x:c r="Y133" s="33" t="str">
        <x:v>候选待核实</x:v>
      </x:c>
      <x:c r="Z133" s="21" t="str">
        <x:v>Channels TV明确称高层建筑并记录消防响应；总层数未在所用正文中给出。</x:v>
      </x:c>
      <x:c r="AA133" s="21" t="str">
        <x:v>区域代理-欧洲非洲</x:v>
      </x:c>
      <x:c r="AB133" s="21" t="str">
        <x:v>区域代理-欧洲非洲</x:v>
      </x:c>
      <x:c r="AC133" s="21" t="str"/>
      <x:c r="AD133" s="21" t="n">
        <x:v>1</x:v>
      </x:c>
      <x:c r="AE133" s="21" t="str">
        <x:v>可访问(200)</x:v>
      </x:c>
      <x:c r="AF133" s="21" t="str"/>
      <x:c r="AG133" s="24" t="n">
        <x:v>46260</x:v>
      </x:c>
      <x:c r="AH133" s="21" t="str"/>
      <x:c r="AI133" s="21" t="n">
        <x:v>1</x:v>
      </x:c>
      <x:c r="AJ133" s="21" t="str">
        <x:v>未评估（本事件表不建立热浪因果关系）</x:v>
      </x:c>
      <x:c r="AK133" s="21" t="str">
        <x:v>已有来源描述</x:v>
      </x:c>
    </x:row>
    <x:row r="134" ht="42" customHeight="1">
      <x:c r="A134" s="33" t="n">
        <x:v>133</x:v>
      </x:c>
      <x:c r="B134" s="33" t="str">
        <x:v>HRF-0133</x:v>
      </x:c>
      <x:c r="C134" s="36" t="str">
        <x:v>非洲</x:v>
      </x:c>
      <x:c r="D134" s="36" t="str">
        <x:v>Nigeria</x:v>
      </x:c>
      <x:c r="E134" s="21" t="str">
        <x:v>NECOM House, Marina, Lagos Island, Lagos State, Nigeria</x:v>
      </x:c>
      <x:c r="F134" s="21" t="str">
        <x:v>NECOM House top-floor fire</x:v>
      </x:c>
      <x:c r="G134" s="39" t="n">
        <x:v>42346</x:v>
      </x:c>
      <x:c r="H134" s="21" t="str">
        <x:v>NECOM House最高层发生电气火灾，被工作人员和消防部门迅速扑灭。</x:v>
      </x:c>
      <x:c r="I134" s="21" t="str">
        <x:v>顶部楼层电缆电气火花；可燃废旧物品加剧火势。</x:v>
      </x:c>
      <x:c r="J134" s="21" t="str">
        <x:v>无死亡、无严重建筑损坏报道。</x:v>
      </x:c>
      <x:c r="K134" s="21" t="str">
        <x:v>https://www.vanguardngr.com/2015/12/nitel-building-fire-caused-by-electrical-sparks/</x:v>
      </x:c>
      <x:c r="L134" s="27" t="n">
        <x:v>6.449</x:v>
      </x:c>
      <x:c r="M134" s="27" t="n">
        <x:v>3.398</x:v>
      </x:c>
      <x:c r="N134" s="21" t="str">
        <x:v>事件/建筑近似点（候选来源提供）</x:v>
      </x:c>
      <x:c r="O134" s="21" t="str">
        <x:v>skyscraper office fire</x:v>
      </x:c>
      <x:c r="P134" s="21" t="str">
        <x:v>office / telecommunications</x:v>
      </x:c>
      <x:c r="Q134" s="21" t="str">
        <x:v>32 storeys / about 160 m</x:v>
      </x:c>
      <x:c r="R134" s="21" t="str">
        <x:v>未检索到</x:v>
      </x:c>
      <x:c r="S134" s="21" t="str">
        <x:v>completed 1979</x:v>
      </x:c>
      <x:c r="T134" s="42" t="n">
        <x:v>0</x:v>
      </x:c>
      <x:c r="U134" s="42" t="n">
        <x:v>0</x:v>
      </x:c>
      <x:c r="V134" s="42"/>
      <x:c r="W134" s="33" t="str">
        <x:v>B</x:v>
      </x:c>
      <x:c r="X134" s="33" t="str">
        <x:v>confirmed_highrise</x:v>
      </x:c>
      <x:c r="Y134" s="33" t="str">
        <x:v>严格确认</x:v>
      </x:c>
      <x:c r="Z134" s="21" t="str">
        <x:v>报道明确32层和顶部起火；Skyscraper Center列建筑为32层、约160米。</x:v>
      </x:c>
      <x:c r="AA134" s="21" t="str">
        <x:v>区域代理-欧洲非洲</x:v>
      </x:c>
      <x:c r="AB134" s="21" t="str">
        <x:v>区域代理-欧洲非洲</x:v>
      </x:c>
      <x:c r="AC134" s="21" t="str"/>
      <x:c r="AD134" s="21" t="n">
        <x:v>1</x:v>
      </x:c>
      <x:c r="AE134" s="21" t="str">
        <x:v>受限(403)</x:v>
      </x:c>
      <x:c r="AF134" s="21" t="str"/>
      <x:c r="AG134" s="24" t="n">
        <x:v>46260</x:v>
      </x:c>
      <x:c r="AH134" s="21" t="str"/>
      <x:c r="AI134" s="21" t="n">
        <x:v>1</x:v>
      </x:c>
      <x:c r="AJ134" s="21" t="str">
        <x:v>未评估（本事件表不建立热浪因果关系）</x:v>
      </x:c>
      <x:c r="AK134" s="21" t="str">
        <x:v>已有来源描述</x:v>
      </x:c>
    </x:row>
    <x:row r="135" ht="42" customHeight="1">
      <x:c r="A135" s="33" t="n">
        <x:v>134</x:v>
      </x:c>
      <x:c r="B135" s="33" t="str">
        <x:v>HRF-0134</x:v>
      </x:c>
      <x:c r="C135" s="36" t="str">
        <x:v>非洲</x:v>
      </x:c>
      <x:c r="D135" s="36" t="str">
        <x:v>South Africa</x:v>
      </x:c>
      <x:c r="E135" s="21" t="str">
        <x:v>Bank of Lisbon Building, Johannesburg CBD, Gauteng, South Africa</x:v>
      </x:c>
      <x:c r="F135" s="21" t="str">
        <x:v>Bank of Lisbon Building fire</x:v>
      </x:c>
      <x:c r="G135" s="39" t="n">
        <x:v>43348</x:v>
      </x:c>
      <x:c r="H135" s="21" t="str">
        <x:v>约23层政府办公高楼持续燃烧三天，三名消防员死亡，建筑随后因不安全被爆破拆除。</x:v>
      </x:c>
      <x:c r="I135" s="21" t="str">
        <x:v>最终起火原因未确定。</x:v>
      </x:c>
      <x:c r="J135" s="21" t="str">
        <x:v>3名消防员死亡、多人受伤；建筑严重受损并于2019年拆除。</x:v>
      </x:c>
      <x:c r="K135" s="21" t="str">
        <x:v>https://ctif.org/sites/default/files/2025-08/CTIF_Report30.pdf</x:v>
      </x:c>
      <x:c r="L135" s="27" t="n">
        <x:v>-26.205</x:v>
      </x:c>
      <x:c r="M135" s="27" t="n">
        <x:v>28.043</x:v>
      </x:c>
      <x:c r="N135" s="21" t="str">
        <x:v>事件/建筑近似点（候选来源提供）</x:v>
      </x:c>
      <x:c r="O135" s="21" t="str">
        <x:v>high-rise office fire</x:v>
      </x:c>
      <x:c r="P135" s="21" t="str">
        <x:v>government offices</x:v>
      </x:c>
      <x:c r="Q135" s="21" t="str">
        <x:v>23 storeys / 101 m</x:v>
      </x:c>
      <x:c r="R135" s="21" t="str">
        <x:v>未检索到</x:v>
      </x:c>
      <x:c r="S135" s="21" t="str">
        <x:v>older office building</x:v>
      </x:c>
      <x:c r="T135" s="42" t="n">
        <x:v>3</x:v>
      </x:c>
      <x:c r="U135" s="42"/>
      <x:c r="V135" s="42"/>
      <x:c r="W135" s="33" t="str">
        <x:v>B</x:v>
      </x:c>
      <x:c r="X135" s="33" t="str">
        <x:v>confirmed_highrise</x:v>
      </x:c>
      <x:c r="Y135" s="33" t="str">
        <x:v>严格确认</x:v>
      </x:c>
      <x:c r="Z135" s="21" t="str">
        <x:v>CTIF报告明确23层、101米、3名消防员死亡和后续拆除；日期在个别来源有5/6日差异，按起火日5日记录。</x:v>
      </x:c>
      <x:c r="AA135" s="21" t="str">
        <x:v>区域代理-欧洲非洲</x:v>
      </x:c>
      <x:c r="AB135" s="21" t="str">
        <x:v>区域代理-欧洲非洲</x:v>
      </x:c>
      <x:c r="AC135" s="21" t="str"/>
      <x:c r="AD135" s="21" t="n">
        <x:v>1</x:v>
      </x:c>
      <x:c r="AE135" s="21" t="str">
        <x:v>可访问(200)</x:v>
      </x:c>
      <x:c r="AF135" s="21" t="str"/>
      <x:c r="AG135" s="24" t="n">
        <x:v>46260</x:v>
      </x:c>
      <x:c r="AH135" s="21" t="str"/>
      <x:c r="AI135" s="21" t="n">
        <x:v>1</x:v>
      </x:c>
      <x:c r="AJ135" s="21" t="str">
        <x:v>未评估（本事件表不建立热浪因果关系）</x:v>
      </x:c>
      <x:c r="AK135" s="21" t="str">
        <x:v>已有来源描述</x:v>
      </x:c>
    </x:row>
    <x:row r="136" ht="42" customHeight="1">
      <x:c r="A136" s="33" t="n">
        <x:v>135</x:v>
      </x:c>
      <x:c r="B136" s="33" t="str">
        <x:v>HRF-0135</x:v>
      </x:c>
      <x:c r="C136" s="36" t="str">
        <x:v>非洲</x:v>
      </x:c>
      <x:c r="D136" s="36" t="str">
        <x:v>South Africa</x:v>
      </x:c>
      <x:c r="E136" s="21" t="str">
        <x:v>Johannesburg</x:v>
      </x:c>
      <x:c r="F136" s="21" t="str">
        <x:v>Bank of Lisbon building fire</x:v>
      </x:c>
      <x:c r="G136" s="39" t="n">
        <x:v>43349</x:v>
      </x:c>
      <x:c r="H136" s="21" t="str">
        <x:v>Bank of Lisbon building高层建筑火灾；建筑高度记录为 108 m。死亡人数：3。Building demolished/Imploded on November 24, 2019</x:v>
      </x:c>
      <x:c r="I136" s="21" t="str">
        <x:v>未检索到/待核实</x:v>
      </x:c>
      <x:c r="J136" s="21" t="str">
        <x:v>死亡人数：3。Building demolished/Imploded on November 24, 2019</x:v>
      </x:c>
      <x:c r="K136" s="21" t="str">
        <x:v>https://en.wikipedia.org/wiki/List_of_fires_in_high-rise_buildings</x:v>
      </x:c>
      <x:c r="L136" s="27" t="n">
        <x:v>-26.20227</x:v>
      </x:c>
      <x:c r="M136" s="27" t="n">
        <x:v>28.04363</x:v>
      </x:c>
      <x:c r="N136" s="21" t="str">
        <x:v>城市代表点（来源明确说明不是火场坐标）</x:v>
      </x:c>
      <x:c r="O136" s="21" t="str">
        <x:v>高层建筑火灾</x:v>
      </x:c>
      <x:c r="P136" s="21" t="str">
        <x:v>office/government</x:v>
      </x:c>
      <x:c r="Q136" s="21" t="str">
        <x:v>108 m</x:v>
      </x:c>
      <x:c r="R136" s="21" t="str">
        <x:v>未检索到</x:v>
      </x:c>
      <x:c r="S136" s="21" t="str">
        <x:v>未检索到</x:v>
      </x:c>
      <x:c r="T136" s="42" t="n">
        <x:v>3</x:v>
      </x:c>
      <x:c r="U136" s="42"/>
      <x:c r="V136" s="42"/>
      <x:c r="W136" s="33" t="str">
        <x:v>C</x:v>
      </x:c>
      <x:c r="X136" s="33" t="str">
        <x:v>compendium_needs_independent_verification</x:v>
      </x:c>
      <x:c r="Y136" s="33" t="str">
        <x:v>专题汇编记录</x:v>
      </x:c>
      <x:c r="Z136" s="21" t="str">
        <x:v>Wikipedia高层建筑专题表；需补充独立来源核验</x:v>
      </x:c>
      <x:c r="AA136" s="21" t="str">
        <x:v>List of fires in high-rise buildings | Wikipedia dynamic high-rise list (candidate discovery)</x:v>
      </x:c>
      <x:c r="AB136" s="21" t="str">
        <x:v>Wikipedia专题列表 | 批量来源代理</x:v>
      </x:c>
      <x:c r="AC136" s="21" t="str"/>
      <x:c r="AD136" s="21" t="n">
        <x:v>1</x:v>
      </x:c>
      <x:c r="AE136" s="21" t="str">
        <x:v>可访问(200)</x:v>
      </x:c>
      <x:c r="AF136" s="21" t="str"/>
      <x:c r="AG136" s="24" t="n">
        <x:v>46260</x:v>
      </x:c>
      <x:c r="AH136" s="21" t="str"/>
      <x:c r="AI136" s="21" t="n">
        <x:v>1</x:v>
      </x:c>
      <x:c r="AJ136" s="21" t="str">
        <x:v>未评估（本事件表不建立热浪因果关系）</x:v>
      </x:c>
      <x:c r="AK136" s="21" t="str">
        <x:v>缺失/待核实</x:v>
      </x:c>
    </x:row>
    <x:row r="137" ht="42" customHeight="1">
      <x:c r="A137" s="33" t="n">
        <x:v>136</x:v>
      </x:c>
      <x:c r="B137" s="33" t="str">
        <x:v>HRF-0136</x:v>
      </x:c>
      <x:c r="C137" s="36" t="str">
        <x:v>非洲</x:v>
      </x:c>
      <x:c r="D137" s="36" t="str">
        <x:v>Nigeria</x:v>
      </x:c>
      <x:c r="E137" s="21" t="str">
        <x:v>World Trade Centre, Central Business District, Abuja, FCT, Nigeria</x:v>
      </x:c>
      <x:c r="F137" s="21" t="str">
        <x:v>Abuja World Trade Centre fire</x:v>
      </x:c>
      <x:c r="G137" s="39" t="n">
        <x:v>44025</x:v>
      </x:c>
      <x:c r="H137" s="21" t="str">
        <x:v>Abuja世界贸易中心上部楼层发生小范围火灾，建筑自动高压喷淋系统将其扑灭。</x:v>
      </x:c>
      <x:c r="I137" s="21" t="str">
        <x:v>未确定；起火位置接近顶部设备竖井。</x:v>
      </x:c>
      <x:c r="J137" s="21" t="str">
        <x:v>无已报告伤亡；损伤范围较小，建筑被称保持安全完整。</x:v>
      </x:c>
      <x:c r="K137" s="21" t="str">
        <x:v>https://www.thecable.ng/fire-breaks-out-at-abuja-world-trade-centre/</x:v>
      </x:c>
      <x:c r="L137" s="27" t="n">
        <x:v>9.0579</x:v>
      </x:c>
      <x:c r="M137" s="27" t="n">
        <x:v>7.4951</x:v>
      </x:c>
      <x:c r="N137" s="21" t="str">
        <x:v>事件/建筑近似点（候选来源提供）</x:v>
      </x:c>
      <x:c r="O137" s="21" t="str">
        <x:v>high-rise office fire</x:v>
      </x:c>
      <x:c r="P137" s="21" t="str">
        <x:v>office / mixed-use tower</x:v>
      </x:c>
      <x:c r="Q137" s="21" t="str">
        <x:v>24 floors in owner statement; contemporaneous report says over 30 floors</x:v>
      </x:c>
      <x:c r="R137" s="21" t="str">
        <x:v>未检索到</x:v>
      </x:c>
      <x:c r="S137" s="21" t="str">
        <x:v>newer high-rise complex</x:v>
      </x:c>
      <x:c r="T137" s="42" t="n">
        <x:v>0</x:v>
      </x:c>
      <x:c r="U137" s="42" t="n">
        <x:v>0</x:v>
      </x:c>
      <x:c r="V137" s="42"/>
      <x:c r="W137" s="33" t="str">
        <x:v>B</x:v>
      </x:c>
      <x:c r="X137" s="33" t="str">
        <x:v>confirmed_highrise_floor_count_recheck</x:v>
      </x:c>
      <x:c r="Y137" s="33" t="str">
        <x:v>严格确认</x:v>
      </x:c>
      <x:c r="Z137" s="21" t="str">
        <x:v>TheCable称两栋楼均超过30层；业主后续报道涉及一栋24层楼，层数口径有矛盾，需核具体塔楼。</x:v>
      </x:c>
      <x:c r="AA137" s="21" t="str">
        <x:v>区域代理-欧洲非洲</x:v>
      </x:c>
      <x:c r="AB137" s="21" t="str">
        <x:v>区域代理-欧洲非洲</x:v>
      </x:c>
      <x:c r="AC137" s="21" t="str"/>
      <x:c r="AD137" s="21" t="n">
        <x:v>1</x:v>
      </x:c>
      <x:c r="AE137" s="21" t="str">
        <x:v>可访问(200)</x:v>
      </x:c>
      <x:c r="AF137" s="21" t="str"/>
      <x:c r="AG137" s="24" t="n">
        <x:v>46260</x:v>
      </x:c>
      <x:c r="AH137" s="21" t="str"/>
      <x:c r="AI137" s="21" t="n">
        <x:v>1</x:v>
      </x:c>
      <x:c r="AJ137" s="21" t="str">
        <x:v>未评估（本事件表不建立热浪因果关系）</x:v>
      </x:c>
      <x:c r="AK137" s="21" t="str">
        <x:v>已有来源描述</x:v>
      </x:c>
    </x:row>
    <x:row r="138" ht="42" customHeight="1">
      <x:c r="A138" s="33" t="n">
        <x:v>137</x:v>
      </x:c>
      <x:c r="B138" s="33" t="str">
        <x:v>HRF-0137</x:v>
      </x:c>
      <x:c r="C138" s="36" t="str">
        <x:v>非洲</x:v>
      </x:c>
      <x:c r="D138" s="36" t="str">
        <x:v>Sudan</x:v>
      </x:c>
      <x:c r="E138" s="21" t="str">
        <x:v>Khartoum</x:v>
      </x:c>
      <x:c r="F138" s="21" t="str">
        <x:v>Greater Nile Petroleum Oil Company Tower fire</x:v>
      </x:c>
      <x:c r="G138" s="39" t="n">
        <x:v>45186</x:v>
      </x:c>
      <x:c r="H138" s="21" t="str">
        <x:v>Greater Nile Petroleum Oil Company Tower高层建筑火灾；建筑高度记录为 65.72 m。死亡人数：?。Occurred during War in Sudan (2023)</x:v>
      </x:c>
      <x:c r="I138" s="21" t="str">
        <x:v>未检索到/待核实</x:v>
      </x:c>
      <x:c r="J138" s="21" t="str">
        <x:v>死亡人数：?。Occurred during War in Sudan (2023)</x:v>
      </x:c>
      <x:c r="K138" s="21" t="str">
        <x:v>https://en.wikipedia.org/wiki/List_of_fires_in_high-rise_buildings</x:v>
      </x:c>
      <x:c r="L138" s="27" t="n">
        <x:v>15.55177</x:v>
      </x:c>
      <x:c r="M138" s="27" t="n">
        <x:v>32.53241</x:v>
      </x:c>
      <x:c r="N138" s="21" t="str">
        <x:v>城市代表点（来源明确说明不是火场坐标）</x:v>
      </x:c>
      <x:c r="O138" s="21" t="str">
        <x:v>高层建筑火灾</x:v>
      </x:c>
      <x:c r="P138" s="21" t="str">
        <x:v>未检索到</x:v>
      </x:c>
      <x:c r="Q138" s="21" t="str">
        <x:v>65.72 m</x:v>
      </x:c>
      <x:c r="R138" s="21" t="str">
        <x:v>未检索到</x:v>
      </x:c>
      <x:c r="S138" s="21" t="str">
        <x:v>未检索到</x:v>
      </x:c>
      <x:c r="T138" s="42"/>
      <x:c r="U138" s="42"/>
      <x:c r="V138" s="42"/>
      <x:c r="W138" s="33" t="str">
        <x:v>C</x:v>
      </x:c>
      <x:c r="X138" s="33" t="str">
        <x:v>compendium_needs_independent_verification</x:v>
      </x:c>
      <x:c r="Y138" s="33" t="str">
        <x:v>专题汇编记录</x:v>
      </x:c>
      <x:c r="Z138" s="21" t="str">
        <x:v>Wikipedia高层建筑专题表；需补充独立来源核验</x:v>
      </x:c>
      <x:c r="AA138" s="21" t="str">
        <x:v>List of fires in high-rise buildings | Wikipedia dynamic high-rise list (candidate discovery)</x:v>
      </x:c>
      <x:c r="AB138" s="21" t="str">
        <x:v>Wikipedia专题列表 | 批量来源代理</x:v>
      </x:c>
      <x:c r="AC138" s="21" t="str"/>
      <x:c r="AD138" s="21" t="n">
        <x:v>1</x:v>
      </x:c>
      <x:c r="AE138" s="21" t="str">
        <x:v>可访问(200)</x:v>
      </x:c>
      <x:c r="AF138" s="21" t="str"/>
      <x:c r="AG138" s="24" t="n">
        <x:v>46260</x:v>
      </x:c>
      <x:c r="AH138" s="21" t="str"/>
      <x:c r="AI138" s="21" t="n">
        <x:v>1</x:v>
      </x:c>
      <x:c r="AJ138" s="21" t="str">
        <x:v>未评估（本事件表不建立热浪因果关系）</x:v>
      </x:c>
      <x:c r="AK138" s="21" t="str">
        <x:v>缺失/待核实</x:v>
      </x:c>
    </x:row>
    <x:row r="139" ht="42" customHeight="1">
      <x:c r="A139" s="33" t="n">
        <x:v>138</x:v>
      </x:c>
      <x:c r="B139" s="33" t="str">
        <x:v>HRF-0138</x:v>
      </x:c>
      <x:c r="C139" s="36" t="str">
        <x:v>非洲</x:v>
      </x:c>
      <x:c r="D139" s="36" t="str">
        <x:v>Egypt</x:v>
      </x:c>
      <x:c r="E139" s="21" t="str">
        <x:v>Ramses Central, Cairo, Cairo Governorate, Egypt</x:v>
      </x:c>
      <x:c r="F139" s="21" t="str">
        <x:v>Ramses Exchange fire</x:v>
      </x:c>
      <x:c r="G139" s="39" t="n">
        <x:v>45845</x:v>
      </x:c>
      <x:c r="H139" s="21" t="str">
        <x:v>开罗市中心10层电信枢纽7层设备区域起火并向其他楼层蔓延，造成全国通信和交易中断。</x:v>
      </x:c>
      <x:c r="I139" s="21" t="str">
        <x:v>7层电信设备房/运营大厅起火；确切点火原因未公布。</x:v>
      </x:c>
      <x:c r="J139" s="21" t="str">
        <x:v>4人死亡、27人住院；全国网络连接降至正常约62%，航班和证券交易受影响。</x:v>
      </x:c>
      <x:c r="K139" s="21" t="str">
        <x:v>https://apnews.com/article/2675a5740d566e11cd4f2c80354da61c</x:v>
      </x:c>
      <x:c r="L139" s="27" t="n">
        <x:v>30.0626</x:v>
      </x:c>
      <x:c r="M139" s="27" t="n">
        <x:v>31.2461</x:v>
      </x:c>
      <x:c r="N139" s="21" t="str">
        <x:v>事件/建筑近似点（候选来源提供）</x:v>
      </x:c>
      <x:c r="O139" s="21" t="str">
        <x:v>high-rise infrastructure / office fire</x:v>
      </x:c>
      <x:c r="P139" s="21" t="str">
        <x:v>telecommunications / office</x:v>
      </x:c>
      <x:c r="Q139" s="21" t="str">
        <x:v>10 storeys; fire began on 7th floor</x:v>
      </x:c>
      <x:c r="R139" s="21" t="str">
        <x:v>未检索到</x:v>
      </x:c>
      <x:c r="S139" s="21" t="str">
        <x:v>landmark older telecom building</x:v>
      </x:c>
      <x:c r="T139" s="42" t="n">
        <x:v>4</x:v>
      </x:c>
      <x:c r="U139" s="42" t="n">
        <x:v>27</x:v>
      </x:c>
      <x:c r="V139" s="42"/>
      <x:c r="W139" s="33" t="str">
        <x:v>A</x:v>
      </x:c>
      <x:c r="X139" s="33" t="str">
        <x:v>confirmed_10_storeys_threshold_review</x:v>
      </x:c>
      <x:c r="Y139" s="33" t="str">
        <x:v>确认但有待复核字段</x:v>
      </x:c>
      <x:c r="Z139" s="21" t="str">
        <x:v>AP后续报道确认10层、4死27伤及通信影响；10层是否纳入高层由最终阈值决定。</x:v>
      </x:c>
      <x:c r="AA139" s="21" t="str">
        <x:v>区域代理-欧洲非洲</x:v>
      </x:c>
      <x:c r="AB139" s="21" t="str">
        <x:v>区域代理-欧洲非洲</x:v>
      </x:c>
      <x:c r="AC139" s="21" t="str"/>
      <x:c r="AD139" s="21" t="n">
        <x:v>1</x:v>
      </x:c>
      <x:c r="AE139" s="21" t="str">
        <x:v>可访问(200)</x:v>
      </x:c>
      <x:c r="AF139" s="21" t="str"/>
      <x:c r="AG139" s="24" t="n">
        <x:v>46260</x:v>
      </x:c>
      <x:c r="AH139" s="21" t="str"/>
      <x:c r="AI139" s="21" t="n">
        <x:v>1</x:v>
      </x:c>
      <x:c r="AJ139" s="21" t="str">
        <x:v>未评估（本事件表不建立热浪因果关系）</x:v>
      </x:c>
      <x:c r="AK139" s="21" t="str">
        <x:v>已有来源描述</x:v>
      </x:c>
    </x:row>
    <x:row r="140" ht="42" customHeight="1">
      <x:c r="A140" s="33" t="n">
        <x:v>139</x:v>
      </x:c>
      <x:c r="B140" s="33" t="str">
        <x:v>HRF-0139</x:v>
      </x:c>
      <x:c r="C140" s="36" t="str">
        <x:v>非洲</x:v>
      </x:c>
      <x:c r="D140" s="36" t="str">
        <x:v>Nigeria</x:v>
      </x:c>
      <x:c r="E140" s="21" t="str">
        <x:v>Afriland Towers, Broad Street, Lagos Island, Lagos State, Nigeria</x:v>
      </x:c>
      <x:c r="F140" s="21" t="str">
        <x:v>Afriland Towers fire</x:v>
      </x:c>
      <x:c r="G140" s="39" t="n">
        <x:v>45916</x:v>
      </x:c>
      <x:c r="H140" s="21" t="str">
        <x:v>商业办公楼地下室逆变器房起火，浓烟沿楼内迅速传播并封阻疏散路线。</x:v>
      </x:c>
      <x:c r="I140" s="21" t="str">
        <x:v>地下室逆变器房起火；浓烟和高温迅速扩散。</x:v>
      </x:c>
      <x:c r="J140" s="21" t="str">
        <x:v>10人因烟气吸入死亡；部分人员砸窗跳楼逃生，企业运营中断。</x:v>
      </x:c>
      <x:c r="K140" s="21" t="str">
        <x:v>https://www.channelstv.com/2025/09/20/afriland-publishes-detailed-faqs-on-towers-fire-incident/</x:v>
      </x:c>
      <x:c r="L140" s="27" t="n">
        <x:v>6.4494</x:v>
      </x:c>
      <x:c r="M140" s="27" t="n">
        <x:v>3.397</x:v>
      </x:c>
      <x:c r="N140" s="21" t="str">
        <x:v>事件/建筑近似点（候选来源提供）</x:v>
      </x:c>
      <x:c r="O140" s="21" t="str">
        <x:v>multi-storey commercial office fire</x:v>
      </x:c>
      <x:c r="P140" s="21" t="str">
        <x:v>commercial offices / bank / tax offices</x:v>
      </x:c>
      <x:c r="Q140" s="21" t="str">
        <x:v>6-7 storeys</x:v>
      </x:c>
      <x:c r="R140" s="21" t="str">
        <x:v>未检索到</x:v>
      </x:c>
      <x:c r="S140" s="21" t="str">
        <x:v>未检索到</x:v>
      </x:c>
      <x:c r="T140" s="42" t="n">
        <x:v>10</x:v>
      </x:c>
      <x:c r="U140" s="42"/>
      <x:c r="V140" s="42"/>
      <x:c r="W140" s="33" t="str">
        <x:v>B</x:v>
      </x:c>
      <x:c r="X140" s="33" t="str">
        <x:v>exclude_if_threshold_ge_10_storeys</x:v>
      </x:c>
      <x:c r="Y140" s="33" t="str">
        <x:v>边界/建议排除</x:v>
      </x:c>
      <x:c r="Z140" s="21" t="str">
        <x:v>业主FAQ和政府发布确认起火房间、死亡机制和10名死者；楼层有6层和7层两种报道，严格高层阈值下可能排除。</x:v>
      </x:c>
      <x:c r="AA140" s="21" t="str">
        <x:v>区域代理-欧洲非洲</x:v>
      </x:c>
      <x:c r="AB140" s="21" t="str">
        <x:v>区域代理-欧洲非洲</x:v>
      </x:c>
      <x:c r="AC140" s="21" t="str"/>
      <x:c r="AD140" s="21" t="n">
        <x:v>1</x:v>
      </x:c>
      <x:c r="AE140" s="21" t="str">
        <x:v>可访问(200)</x:v>
      </x:c>
      <x:c r="AF140" s="21" t="str"/>
      <x:c r="AG140" s="24" t="n">
        <x:v>46260</x:v>
      </x:c>
      <x:c r="AH140" s="21" t="str"/>
      <x:c r="AI140" s="21" t="n">
        <x:v>1</x:v>
      </x:c>
      <x:c r="AJ140" s="21" t="str">
        <x:v>未评估（本事件表不建立热浪因果关系）</x:v>
      </x:c>
      <x:c r="AK140" s="21" t="str">
        <x:v>已有来源描述</x:v>
      </x:c>
    </x:row>
    <x:row r="141" ht="42" customHeight="1">
      <x:c r="A141" s="33" t="n">
        <x:v>140</x:v>
      </x:c>
      <x:c r="B141" s="33" t="str">
        <x:v>HRF-0140</x:v>
      </x:c>
      <x:c r="C141" s="36" t="str">
        <x:v>非洲</x:v>
      </x:c>
      <x:c r="D141" s="36" t="str">
        <x:v>Nigeria</x:v>
      </x:c>
      <x:c r="E141" s="21" t="str">
        <x:v>Great Nigeria Insurance House, Martins Street, Lagos Island, Lagos State, Nigeria</x:v>
      </x:c>
      <x:c r="F141" s="21" t="str">
        <x:v>Great Nigeria Insurance House fire</x:v>
      </x:c>
      <x:c r="G141" s="39" t="n">
        <x:v>46015</x:v>
      </x:c>
      <x:c r="H141" s="21" t="str">
        <x:v>25层高层商用建筑4层起火并广泛破坏楼内商品及相邻物业。</x:v>
      </x:c>
      <x:c r="I141" s="21" t="str">
        <x:v>火源位于4层；截至所用来源，最终点火原因未明确。</x:v>
      </x:c>
      <x:c r="J141" s="21" t="str">
        <x:v>8人死亡、13人获救；建筑和周边商业严重受损，区域封锁搜救。</x:v>
      </x:c>
      <x:c r="K141" s="21" t="str">
        <x:v>https://www.channelstv.com/2026/01/02/lagos-govt-confirms-eight-deaths-at-gni-building-fire/</x:v>
      </x:c>
      <x:c r="L141" s="27" t="n">
        <x:v>6.454</x:v>
      </x:c>
      <x:c r="M141" s="27" t="n">
        <x:v>3.392</x:v>
      </x:c>
      <x:c r="N141" s="21" t="str">
        <x:v>事件/建筑近似点（候选来源提供）</x:v>
      </x:c>
      <x:c r="O141" s="21" t="str">
        <x:v>high-rise commercial fire</x:v>
      </x:c>
      <x:c r="P141" s="21" t="str">
        <x:v>commercial / trading and storage</x:v>
      </x:c>
      <x:c r="Q141" s="21" t="str">
        <x:v>25 storeys</x:v>
      </x:c>
      <x:c r="R141" s="21" t="str">
        <x:v>未检索到</x:v>
      </x:c>
      <x:c r="S141" s="21" t="str">
        <x:v>same older building affected by 2013 fire</x:v>
      </x:c>
      <x:c r="T141" s="42" t="n">
        <x:v>8</x:v>
      </x:c>
      <x:c r="U141" s="42"/>
      <x:c r="V141" s="42" t="n">
        <x:v>13</x:v>
      </x:c>
      <x:c r="W141" s="33" t="str">
        <x:v>B</x:v>
      </x:c>
      <x:c r="X141" s="33" t="str">
        <x:v>confirmed_highrise</x:v>
      </x:c>
      <x:c r="Y141" s="33" t="str">
        <x:v>严格确认</x:v>
      </x:c>
      <x:c r="Z141" s="21" t="str">
        <x:v>Channels TV引用拉各斯州长确认25层、8死和13名获救者；同址2013年火灾为独立事件。</x:v>
      </x:c>
      <x:c r="AA141" s="21" t="str">
        <x:v>区域代理-欧洲非洲</x:v>
      </x:c>
      <x:c r="AB141" s="21" t="str">
        <x:v>区域代理-欧洲非洲</x:v>
      </x:c>
      <x:c r="AC141" s="21" t="str"/>
      <x:c r="AD141" s="21" t="n">
        <x:v>1</x:v>
      </x:c>
      <x:c r="AE141" s="21" t="str">
        <x:v>可访问(200)</x:v>
      </x:c>
      <x:c r="AF141" s="21" t="str"/>
      <x:c r="AG141" s="24" t="n">
        <x:v>46260</x:v>
      </x:c>
      <x:c r="AH141" s="21" t="str"/>
      <x:c r="AI141" s="21" t="n">
        <x:v>1</x:v>
      </x:c>
      <x:c r="AJ141" s="21" t="str">
        <x:v>未评估（本事件表不建立热浪因果关系）</x:v>
      </x:c>
      <x:c r="AK141" s="21" t="str">
        <x:v>已有来源描述</x:v>
      </x:c>
    </x:row>
    <x:row r="142" ht="42" customHeight="1">
      <x:c r="A142" s="33" t="n">
        <x:v>141</x:v>
      </x:c>
      <x:c r="B142" s="33" t="str">
        <x:v>HRF-0141</x:v>
      </x:c>
      <x:c r="C142" s="36" t="str">
        <x:v>北美洲</x:v>
      </x:c>
      <x:c r="D142" s="36" t="str">
        <x:v>United States</x:v>
      </x:c>
      <x:c r="E142" s="21" t="str">
        <x:v>World Trade Center site, New York City, New York</x:v>
      </x:c>
      <x:c r="F142" s="21" t="str">
        <x:v>September 11 World Trade Center high-rise fires</x:v>
      </x:c>
      <x:c r="G142" s="39" t="n">
        <x:v>37145</x:v>
      </x:c>
      <x:c r="H142" s="21" t="str">
        <x:v>Hijacked aircraft struck 1 and 2 World Trade Center, igniting multi-floor fires; both 110-storey towers collapsed. Debris caused secondary fires and severe damage in 7 World Trade Center, 90 West Street and 130 Cedar Street.</x:v>
      </x:c>
      <x:c r="I142" s="21" t="str">
        <x:v>Deliberate aircraft impacts during the September 11 attacks; debris-related secondary fires in nearby high-rises</x:v>
      </x:c>
      <x:c r="J142" s="21" t="str">
        <x:v>The twin towers and 7 World Trade Center collapsed. CTIF lists 2,312 deaths for the 1/2 WTC high-rise entry, 2 for 90 West Street, and 0 for 7 WTC and 130 Cedar Street; these are building-entry figures, not the total 9/11 death toll.</x:v>
      </x:c>
      <x:c r="K142" s="21" t="str">
        <x:v>https://ctif.org/sites/default/files/2025-08/CTIF_Report30.pdf</x:v>
      </x:c>
      <x:c r="L142" s="27" t="n">
        <x:v>40.7118</x:v>
      </x:c>
      <x:c r="M142" s="27" t="n">
        <x:v>-74.0131</x:v>
      </x:c>
      <x:c r="N142" s="21" t="str">
        <x:v>World Trade Center site representative point</x:v>
      </x:c>
      <x:c r="O142" s="21" t="str">
        <x:v>high-rise building fire</x:v>
      </x:c>
      <x:c r="P142" s="21" t="str">
        <x:v>office / mixed high-rise complex</x:v>
      </x:c>
      <x:c r="Q142" s="21" t="str">
        <x:v>multiple buildings: 110-storey twin towers; 47-storey 7 WTC; 23-storey 90 West; about 22-storey 130 Cedar</x:v>
      </x:c>
      <x:c r="R142" s="21" t="str">
        <x:v>未检索到</x:v>
      </x:c>
      <x:c r="S142" s="21" t="str">
        <x:v>completed 1931; older building</x:v>
      </x:c>
      <x:c r="T142" s="42"/>
      <x:c r="U142" s="42"/>
      <x:c r="V142" s="42"/>
      <x:c r="W142" s="33" t="str">
        <x:v>A2</x:v>
      </x:c>
      <x:c r="X142" s="33" t="str">
        <x:v>confirmed</x:v>
      </x:c>
      <x:c r="Y142" s="33" t="str">
        <x:v>严格确认</x:v>
      </x:c>
      <x:c r="Z142" s="21" t="str">
        <x:v>CTIF Table 8.0-10 verifies the high-rise event. Same September 11 disaster as other WTC rows.；主表按一次复合事件合并，建筑级原始记录保留在原始候选表。</x:v>
      </x:c>
      <x:c r="AA142" s="21" t="str">
        <x:v>List of fires in high-rise buildings | Wikipedia dynamic high-rise list (candidate discovery) | 区域代理-美洲</x:v>
      </x:c>
      <x:c r="AB142" s="21" t="str">
        <x:v>Wikipedia专题列表 | 区域代理-美洲 | 批量来源代理</x:v>
      </x:c>
      <x:c r="AC142" s="21" t="str">
        <x:v>https://en.wikipedia.org/wiki/List_of_fires_in_high-rise_buildings</x:v>
      </x:c>
      <x:c r="AD142" s="21" t="n">
        <x:v>2</x:v>
      </x:c>
      <x:c r="AE142" s="21" t="str">
        <x:v>可访问(200)</x:v>
      </x:c>
      <x:c r="AF142" s="21" t="str">
        <x:v>https://en.wikipedia.org/wiki/List_of_fires_in_high-rise_buildings =&gt; 可访问(200)</x:v>
      </x:c>
      <x:c r="AG142" s="24" t="n">
        <x:v>46260</x:v>
      </x:c>
      <x:c r="AH142" s="21" t="str">
        <x:v>GRP-20010911-WTC</x:v>
      </x:c>
      <x:c r="AI142" s="21" t="n">
        <x:v>1</x:v>
      </x:c>
      <x:c r="AJ142" s="21" t="str">
        <x:v>未评估（本事件表不建立热浪因果关系）</x:v>
      </x:c>
      <x:c r="AK142" s="21" t="str">
        <x:v>已有来源描述</x:v>
      </x:c>
    </x:row>
    <x:row r="143" ht="42" customHeight="1">
      <x:c r="A143" s="33" t="n">
        <x:v>142</x:v>
      </x:c>
      <x:c r="B143" s="33" t="str">
        <x:v>HRF-0142</x:v>
      </x:c>
      <x:c r="C143" s="36" t="str">
        <x:v>北美洲</x:v>
      </x:c>
      <x:c r="D143" s="36" t="str">
        <x:v>United States</x:v>
      </x:c>
      <x:c r="E143" s="21" t="str">
        <x:v>Arlington County, Virginia</x:v>
      </x:c>
      <x:c r="F143" s="21" t="str">
        <x:v>The Pentagon fire</x:v>
      </x:c>
      <x:c r="G143" s="39" t="n">
        <x:v>37145</x:v>
      </x:c>
      <x:c r="H143" s="21" t="str">
        <x:v>Part of the September 11 attacks. Caused damaged at the southwestern side from one hijacked airliner Flight 77 of the impact and partial collapse.</x:v>
      </x:c>
      <x:c r="I143" s="21" t="str">
        <x:v>未检索到/待核实</x:v>
      </x:c>
      <x:c r="J143" s="21" t="str">
        <x:v>Part of the September 11 attacks. Caused damaged at the southwestern side from one hijacked airliner Flight 77 of the impact and partial collapse.</x:v>
      </x:c>
      <x:c r="K143" s="21" t="str">
        <x:v>https://en.wikipedia.org/wiki/List_of_fires_in_high-rise_buildings</x:v>
      </x:c>
      <x:c r="L143" s="27"/>
      <x:c r="M143" s="27"/>
      <x:c r="N143" s="21" t="str">
        <x:v>未提供坐标</x:v>
      </x:c>
      <x:c r="O143" s="21" t="str">
        <x:v>高层建筑火灾</x:v>
      </x:c>
      <x:c r="P143" s="21" t="str">
        <x:v>未检索到</x:v>
      </x:c>
      <x:c r="Q143" s="21" t="str">
        <x:v>23 m</x:v>
      </x:c>
      <x:c r="R143" s="21" t="str">
        <x:v>未检索到</x:v>
      </x:c>
      <x:c r="S143" s="21" t="str">
        <x:v>未检索到</x:v>
      </x:c>
      <x:c r="T143" s="42" t="n">
        <x:v>125</x:v>
      </x:c>
      <x:c r="U143" s="42"/>
      <x:c r="V143" s="42"/>
      <x:c r="W143" s="33" t="str">
        <x:v>C</x:v>
      </x:c>
      <x:c r="X143" s="33" t="str">
        <x:v>exclude_lowrise_borderline_23m_five_storeys</x:v>
      </x:c>
      <x:c r="Y143" s="33" t="str">
        <x:v>边界/建议排除</x:v>
      </x:c>
      <x:c r="Z143" s="21" t="str">
        <x:v>height=23 m; listed in high-rise fire table；aggregate list is not sufficient for final inclusion; verify height/floors and event details with cited event or building source；建筑仅约5层，虽高度约23 m，建议从高层建筑分析排除。</x:v>
      </x:c>
      <x:c r="AA143" s="21" t="str">
        <x:v>Wikipedia dynamic high-rise list (candidate discovery)</x:v>
      </x:c>
      <x:c r="AB143" s="21" t="str">
        <x:v>批量来源代理</x:v>
      </x:c>
      <x:c r="AC143" s="21" t="str"/>
      <x:c r="AD143" s="21" t="n">
        <x:v>1</x:v>
      </x:c>
      <x:c r="AE143" s="21" t="str">
        <x:v>可访问(200)</x:v>
      </x:c>
      <x:c r="AF143" s="21" t="str"/>
      <x:c r="AG143" s="24" t="n">
        <x:v>46260</x:v>
      </x:c>
      <x:c r="AH143" s="21" t="str"/>
      <x:c r="AI143" s="21" t="n">
        <x:v>1</x:v>
      </x:c>
      <x:c r="AJ143" s="21" t="str">
        <x:v>未评估（本事件表不建立热浪因果关系）</x:v>
      </x:c>
      <x:c r="AK143" s="21" t="str">
        <x:v>缺失/待核实</x:v>
      </x:c>
    </x:row>
    <x:row r="144" ht="42" customHeight="1">
      <x:c r="A144" s="33" t="n">
        <x:v>143</x:v>
      </x:c>
      <x:c r="B144" s="33" t="str">
        <x:v>HRF-0143</x:v>
      </x:c>
      <x:c r="C144" s="36" t="str">
        <x:v>北美洲</x:v>
      </x:c>
      <x:c r="D144" s="36" t="str">
        <x:v>United States</x:v>
      </x:c>
      <x:c r="E144" s="21" t="str">
        <x:v>Clearwater, Florida</x:v>
      </x:c>
      <x:c r="F144" s="21" t="str">
        <x:v>Clearwater condominium high-rise fire</x:v>
      </x:c>
      <x:c r="G144" s="39" t="n">
        <x:v>37435</x:v>
      </x:c>
      <x:c r="H144" s="21" t="str">
        <x:v>A condominium high-rise fire in Clearwater listed by CTIF caused fatalities and injuries.</x:v>
      </x:c>
      <x:c r="I144" s="21" t="str">
        <x:v>not established in the consulted compendium</x:v>
      </x:c>
      <x:c r="J144" s="21" t="str">
        <x:v>CTIF lists 2 deaths and 5 injuries.</x:v>
      </x:c>
      <x:c r="K144" s="21" t="str">
        <x:v>https://ctif.org/sites/default/files/2025-08/CTIF_Report30.pdf</x:v>
      </x:c>
      <x:c r="L144" s="27" t="n">
        <x:v>27.9659</x:v>
      </x:c>
      <x:c r="M144" s="27" t="n">
        <x:v>-82.8001</x:v>
      </x:c>
      <x:c r="N144" s="21" t="str">
        <x:v>事件/建筑近似点（候选来源提供）</x:v>
      </x:c>
      <x:c r="O144" s="21" t="str">
        <x:v>high-rise building fire</x:v>
      </x:c>
      <x:c r="P144" s="21" t="str">
        <x:v>residential condominium</x:v>
      </x:c>
      <x:c r="Q144" s="21" t="str">
        <x:v>high-rise; exact building/floor count unresolved</x:v>
      </x:c>
      <x:c r="R144" s="21" t="str">
        <x:v>未检索到</x:v>
      </x:c>
      <x:c r="S144" s="21" t="str">
        <x:v>unknown</x:v>
      </x:c>
      <x:c r="T144" s="42" t="n">
        <x:v>2</x:v>
      </x:c>
      <x:c r="U144" s="42" t="n">
        <x:v>5</x:v>
      </x:c>
      <x:c r="V144" s="42"/>
      <x:c r="W144" s="33" t="str">
        <x:v>A2</x:v>
      </x:c>
      <x:c r="X144" s="33" t="str">
        <x:v>candidate_needs_height_detail</x:v>
      </x:c>
      <x:c r="Y144" s="33" t="str">
        <x:v>候选待核实</x:v>
      </x:c>
      <x:c r="Z144" s="21" t="str">
        <x:v>CTIF Table 8.0-10 verifies date, city and casualties, but the building identity and height still need a second source.</x:v>
      </x:c>
      <x:c r="AA144" s="21" t="str">
        <x:v>区域代理-美洲</x:v>
      </x:c>
      <x:c r="AB144" s="21" t="str">
        <x:v>区域代理-美洲</x:v>
      </x:c>
      <x:c r="AC144" s="21" t="str"/>
      <x:c r="AD144" s="21" t="n">
        <x:v>1</x:v>
      </x:c>
      <x:c r="AE144" s="21" t="str">
        <x:v>可访问(200)</x:v>
      </x:c>
      <x:c r="AF144" s="21" t="str"/>
      <x:c r="AG144" s="24" t="n">
        <x:v>46260</x:v>
      </x:c>
      <x:c r="AH144" s="21" t="str"/>
      <x:c r="AI144" s="21" t="n">
        <x:v>1</x:v>
      </x:c>
      <x:c r="AJ144" s="21" t="str">
        <x:v>未评估（本事件表不建立热浪因果关系）</x:v>
      </x:c>
      <x:c r="AK144" s="21" t="str">
        <x:v>已有来源描述</x:v>
      </x:c>
    </x:row>
    <x:row r="145" ht="42" customHeight="1">
      <x:c r="A145" s="33" t="n">
        <x:v>144</x:v>
      </x:c>
      <x:c r="B145" s="33" t="str">
        <x:v>HRF-0144</x:v>
      </x:c>
      <x:c r="C145" s="36" t="str">
        <x:v>北美洲</x:v>
      </x:c>
      <x:c r="D145" s="36" t="str">
        <x:v>United States</x:v>
      </x:c>
      <x:c r="E145" s="21" t="str">
        <x:v>Chicago, Illinois</x:v>
      </x:c>
      <x:c r="F145" s="21" t="str">
        <x:v>Cook County Administration Building fire</x:v>
      </x:c>
      <x:c r="G145" s="39" t="n">
        <x:v>37911</x:v>
      </x:c>
      <x:c r="H145" s="21" t="str">
        <x:v>A fire on the 12th floor of a 35-storey government office building filled stairways with smoke.</x:v>
      </x:c>
      <x:c r="I145" s="21" t="str">
        <x:v>Fire began on shelving in a storage room beneath a ceiling light fixture; exact ignition details investigated</x:v>
      </x:c>
      <x:c r="J145" s="21" t="str">
        <x:v>6 deaths; several injuries; smoke spread into locked stairways.</x:v>
      </x:c>
      <x:c r="K145" s="21" t="str">
        <x:v>https://www.nist.gov/el/fire-research-division-73300/firegov-fire-service/video-cook-county-administration-building-fire</x:v>
      </x:c>
      <x:c r="L145" s="27" t="n">
        <x:v>41.8833</x:v>
      </x:c>
      <x:c r="M145" s="27" t="n">
        <x:v>-87.6302</x:v>
      </x:c>
      <x:c r="N145" s="21" t="str">
        <x:v>事件/建筑近似点（候选来源提供）</x:v>
      </x:c>
      <x:c r="O145" s="21" t="str">
        <x:v>high-rise building fire</x:v>
      </x:c>
      <x:c r="P145" s="21" t="str">
        <x:v>government office</x:v>
      </x:c>
      <x:c r="Q145" s="21" t="str">
        <x:v>35 floors</x:v>
      </x:c>
      <x:c r="R145" s="21" t="str">
        <x:v>未检索到</x:v>
      </x:c>
      <x:c r="S145" s="21" t="str">
        <x:v>completed 1964; older unsprinklered high-rise</x:v>
      </x:c>
      <x:c r="T145" s="42" t="n">
        <x:v>6</x:v>
      </x:c>
      <x:c r="U145" s="42" t="n">
        <x:v>7</x:v>
      </x:c>
      <x:c r="V145" s="42"/>
      <x:c r="W145" s="33" t="str">
        <x:v>A1</x:v>
      </x:c>
      <x:c r="X145" s="33" t="str">
        <x:v>confirmed</x:v>
      </x:c>
      <x:c r="Y145" s="33" t="str">
        <x:v>严格确认</x:v>
      </x:c>
      <x:c r="Z145" s="21" t="str">
        <x:v>NIST and Cook County records independently verify the date, use, floor count and six deaths; CTIF lists 7 injuries.</x:v>
      </x:c>
      <x:c r="AA145" s="21" t="str">
        <x:v>List of fires in high-rise buildings | Wikipedia dynamic high-rise list (candidate discovery) | 区域代理-美洲</x:v>
      </x:c>
      <x:c r="AB145" s="21" t="str">
        <x:v>Wikipedia专题列表 | 区域代理-美洲 | 批量来源代理</x:v>
      </x:c>
      <x:c r="AC145" s="21" t="str">
        <x:v>https://en.wikipedia.org/wiki/List_of_fires_in_high-rise_buildings | https://www.chicagotribune.com/2003/10/18/6-die-in-loop-blaze/</x:v>
      </x:c>
      <x:c r="AD145" s="21" t="n">
        <x:v>3</x:v>
      </x:c>
      <x:c r="AE145" s="21" t="str">
        <x:v>可访问(200)</x:v>
      </x:c>
      <x:c r="AF145" s="21" t="str">
        <x:v>https://en.wikipedia.org/wiki/List_of_fires_in_high-rise_buildings =&gt; 可访问(200) | https://www.chicagotribune.com/2003/10/18/6-die-in-loop-blaze/ =&gt; 受限(403)</x:v>
      </x:c>
      <x:c r="AG145" s="24" t="n">
        <x:v>46260</x:v>
      </x:c>
      <x:c r="AH145" s="21" t="str"/>
      <x:c r="AI145" s="21" t="n">
        <x:v>1</x:v>
      </x:c>
      <x:c r="AJ145" s="21" t="str">
        <x:v>未评估（本事件表不建立热浪因果关系）</x:v>
      </x:c>
      <x:c r="AK145" s="21" t="str">
        <x:v>已有来源描述</x:v>
      </x:c>
    </x:row>
    <x:row r="146" ht="42" customHeight="1">
      <x:c r="A146" s="33" t="n">
        <x:v>145</x:v>
      </x:c>
      <x:c r="B146" s="33" t="str">
        <x:v>HRF-0145</x:v>
      </x:c>
      <x:c r="C146" s="36" t="str">
        <x:v>北美洲</x:v>
      </x:c>
      <x:c r="D146" s="36" t="str">
        <x:v>United States</x:v>
      </x:c>
      <x:c r="E146" s="21" t="str">
        <x:v>Chicago, Illinois</x:v>
      </x:c>
      <x:c r="F146" s="21" t="str">
        <x:v>LaSalle Bank Building fire</x:v>
      </x:c>
      <x:c r="G146" s="39" t="n">
        <x:v>38328</x:v>
      </x:c>
      <x:c r="H146" s="21" t="str">
        <x:v>Fire originated on the 29th floor of a 45-storey downtown office tower.</x:v>
      </x:c>
      <x:c r="I146" s="21" t="str">
        <x:v>under investigation in contemporary reports</x:v>
      </x:c>
      <x:c r="J146" s="21" t="str">
        <x:v>No deaths; CTIF lists 25 injuries, while CBS/AP reported 37 hurt.</x:v>
      </x:c>
      <x:c r="K146" s="21" t="str">
        <x:v>https://www.cbsnews.com/news/37-hurt-in-chicago-skyscraper-fire/</x:v>
      </x:c>
      <x:c r="L146" s="27" t="n">
        <x:v>41.881</x:v>
      </x:c>
      <x:c r="M146" s="27" t="n">
        <x:v>-87.632</x:v>
      </x:c>
      <x:c r="N146" s="21" t="str">
        <x:v>事件/建筑近似点（候选来源提供）</x:v>
      </x:c>
      <x:c r="O146" s="21" t="str">
        <x:v>high-rise building fire</x:v>
      </x:c>
      <x:c r="P146" s="21" t="str">
        <x:v>office/bank</x:v>
      </x:c>
      <x:c r="Q146" s="21" t="str">
        <x:v>45 floors; 163.1 m</x:v>
      </x:c>
      <x:c r="R146" s="21" t="str">
        <x:v>未检索到</x:v>
      </x:c>
      <x:c r="S146" s="21" t="str">
        <x:v>completed 1934; older high-rise</x:v>
      </x:c>
      <x:c r="T146" s="42" t="n">
        <x:v>0</x:v>
      </x:c>
      <x:c r="U146" s="42" t="n">
        <x:v>25</x:v>
      </x:c>
      <x:c r="V146" s="42"/>
      <x:c r="W146" s="33" t="str">
        <x:v>B1</x:v>
      </x:c>
      <x:c r="X146" s="33" t="str">
        <x:v>confirmed</x:v>
      </x:c>
      <x:c r="Y146" s="33" t="str">
        <x:v>严格确认</x:v>
      </x:c>
      <x:c r="Z146" s="21" t="str">
        <x:v>CTIF Table 8.0-10 verifies the entry; casualty discrepancy is retained rather than silently harmonized.</x:v>
      </x:c>
      <x:c r="AA146" s="21" t="str">
        <x:v>List of fires in high-rise buildings | Wikipedia dynamic high-rise list (candidate discovery) | 区域代理-美洲</x:v>
      </x:c>
      <x:c r="AB146" s="21" t="str">
        <x:v>Wikipedia专题列表 | 区域代理-美洲 | 批量来源代理</x:v>
      </x:c>
      <x:c r="AC146" s="21" t="str">
        <x:v>https://en.wikipedia.org/wiki/List_of_fires_in_high-rise_buildings | https://www.chicagotribune.com/chi-0412070131dec07-story.html</x:v>
      </x:c>
      <x:c r="AD146" s="21" t="n">
        <x:v>3</x:v>
      </x:c>
      <x:c r="AE146" s="21" t="str">
        <x:v>可访问(200)</x:v>
      </x:c>
      <x:c r="AF146" s="21" t="str">
        <x:v>https://en.wikipedia.org/wiki/List_of_fires_in_high-rise_buildings =&gt; 可访问(200) | https://www.chicagotribune.com/chi-0412070131dec07-story.html =&gt; 受限(403)</x:v>
      </x:c>
      <x:c r="AG146" s="24" t="n">
        <x:v>46260</x:v>
      </x:c>
      <x:c r="AH146" s="21" t="str"/>
      <x:c r="AI146" s="21" t="n">
        <x:v>1</x:v>
      </x:c>
      <x:c r="AJ146" s="21" t="str">
        <x:v>未评估（本事件表不建立热浪因果关系）</x:v>
      </x:c>
      <x:c r="AK146" s="21" t="str">
        <x:v>已有来源描述</x:v>
      </x:c>
    </x:row>
    <x:row r="147" ht="42" customHeight="1">
      <x:c r="A147" s="33" t="n">
        <x:v>146</x:v>
      </x:c>
      <x:c r="B147" s="33" t="str">
        <x:v>HRF-0146</x:v>
      </x:c>
      <x:c r="C147" s="36" t="str">
        <x:v>北美洲</x:v>
      </x:c>
      <x:c r="D147" s="36" t="str">
        <x:v>United States</x:v>
      </x:c>
      <x:c r="E147" s="21" t="str">
        <x:v>New York City, New York</x:v>
      </x:c>
      <x:c r="F147" s="21" t="str">
        <x:v>Belaire Apartments aircraft-impact fire</x:v>
      </x:c>
      <x:c r="G147" s="39" t="n">
        <x:v>39001</x:v>
      </x:c>
      <x:c r="H147" s="21" t="str">
        <x:v>A small aircraft struck the 50-storey residential tower and ignited a fire.</x:v>
      </x:c>
      <x:c r="I147" s="21" t="str">
        <x:v>small aircraft collision</x:v>
      </x:c>
      <x:c r="J147" s="21" t="str">
        <x:v>2 deaths and 21 injuries listed by CTIF.</x:v>
      </x:c>
      <x:c r="K147" s="21" t="str">
        <x:v>https://ctif.org/sites/default/files/2025-08/CTIF_Report30.pdf</x:v>
      </x:c>
      <x:c r="L147" s="27" t="n">
        <x:v>40.7684</x:v>
      </x:c>
      <x:c r="M147" s="27" t="n">
        <x:v>-73.9557</x:v>
      </x:c>
      <x:c r="N147" s="21" t="str">
        <x:v>事件/建筑近似点（候选来源提供）</x:v>
      </x:c>
      <x:c r="O147" s="21" t="str">
        <x:v>high-rise building fire</x:v>
      </x:c>
      <x:c r="P147" s="21" t="str">
        <x:v>residential</x:v>
      </x:c>
      <x:c r="Q147" s="21" t="str">
        <x:v>50 floors; 156 m</x:v>
      </x:c>
      <x:c r="R147" s="21" t="str">
        <x:v>未检索到</x:v>
      </x:c>
      <x:c r="S147" s="21" t="str">
        <x:v>completed 1988</x:v>
      </x:c>
      <x:c r="T147" s="42" t="n">
        <x:v>2</x:v>
      </x:c>
      <x:c r="U147" s="42" t="n">
        <x:v>21</x:v>
      </x:c>
      <x:c r="V147" s="42"/>
      <x:c r="W147" s="33" t="str">
        <x:v>A2</x:v>
      </x:c>
      <x:c r="X147" s="33" t="str">
        <x:v>confirmed</x:v>
      </x:c>
      <x:c r="Y147" s="33" t="str">
        <x:v>严格确认</x:v>
      </x:c>
      <x:c r="Z147" s="21" t="str">
        <x:v>CTIF Table 8.0-11 verifies city/date/casualties; high-rise list supplies height and cause.</x:v>
      </x:c>
      <x:c r="AA147" s="21" t="str">
        <x:v>List of fires in high-rise buildings | Wikipedia dynamic high-rise list (candidate discovery) | 区域代理-美洲</x:v>
      </x:c>
      <x:c r="AB147" s="21" t="str">
        <x:v>Wikipedia专题列表 | 区域代理-美洲 | 批量来源代理</x:v>
      </x:c>
      <x:c r="AC147" s="21" t="str">
        <x:v>https://en.wikipedia.org/wiki/List_of_fires_in_high-rise_buildings</x:v>
      </x:c>
      <x:c r="AD147" s="21" t="n">
        <x:v>2</x:v>
      </x:c>
      <x:c r="AE147" s="21" t="str">
        <x:v>可访问(200)</x:v>
      </x:c>
      <x:c r="AF147" s="21" t="str">
        <x:v>https://en.wikipedia.org/wiki/List_of_fires_in_high-rise_buildings =&gt; 可访问(200)</x:v>
      </x:c>
      <x:c r="AG147" s="24" t="n">
        <x:v>46260</x:v>
      </x:c>
      <x:c r="AH147" s="21" t="str"/>
      <x:c r="AI147" s="21" t="n">
        <x:v>1</x:v>
      </x:c>
      <x:c r="AJ147" s="21" t="str">
        <x:v>未评估（本事件表不建立热浪因果关系）</x:v>
      </x:c>
      <x:c r="AK147" s="21" t="str">
        <x:v>已有来源描述</x:v>
      </x:c>
    </x:row>
    <x:row r="148" ht="42" customHeight="1">
      <x:c r="A148" s="33" t="n">
        <x:v>147</x:v>
      </x:c>
      <x:c r="B148" s="33" t="str">
        <x:v>HRF-0147</x:v>
      </x:c>
      <x:c r="C148" s="36" t="str">
        <x:v>北美洲</x:v>
      </x:c>
      <x:c r="D148" s="36" t="str">
        <x:v>United States</x:v>
      </x:c>
      <x:c r="E148" s="21" t="str">
        <x:v>New York City, New York</x:v>
      </x:c>
      <x:c r="F148" s="21" t="str">
        <x:v>Deutsche Bank Building fire</x:v>
      </x:c>
      <x:c r="G148" s="39" t="n">
        <x:v>39312</x:v>
      </x:c>
      <x:c r="H148" s="21" t="str">
        <x:v>Fire occurred in a damaged office high-rise while it was being dismantled after 9/11 damage.</x:v>
      </x:c>
      <x:c r="I148" s="21" t="str">
        <x:v>smoking materials were identified in investigations</x:v>
      </x:c>
      <x:c r="J148" s="21" t="str">
        <x:v>2 firefighter deaths; CTIF lists 115 injuries.</x:v>
      </x:c>
      <x:c r="K148" s="21" t="str">
        <x:v>https://ctif.org/sites/default/files/2025-08/CTIF_Report30.pdf</x:v>
      </x:c>
      <x:c r="L148" s="27" t="n">
        <x:v>40.7108</x:v>
      </x:c>
      <x:c r="M148" s="27" t="n">
        <x:v>-74.0138</x:v>
      </x:c>
      <x:c r="N148" s="21" t="str">
        <x:v>事件/建筑近似点（候选来源提供）</x:v>
      </x:c>
      <x:c r="O148" s="21" t="str">
        <x:v>high-rise building fire</x:v>
      </x:c>
      <x:c r="P148" s="21" t="str">
        <x:v>former office; under deconstruction</x:v>
      </x:c>
      <x:c r="Q148" s="21" t="str">
        <x:v>about 39-41 floors; 157.6 m</x:v>
      </x:c>
      <x:c r="R148" s="21" t="str">
        <x:v>未检索到</x:v>
      </x:c>
      <x:c r="S148" s="21" t="str">
        <x:v>completed 1974; severely damaged and being dismantled</x:v>
      </x:c>
      <x:c r="T148" s="42" t="n">
        <x:v>2</x:v>
      </x:c>
      <x:c r="U148" s="42" t="n">
        <x:v>115</x:v>
      </x:c>
      <x:c r="V148" s="42"/>
      <x:c r="W148" s="33" t="str">
        <x:v>A2</x:v>
      </x:c>
      <x:c r="X148" s="33" t="str">
        <x:v>confirmed</x:v>
      </x:c>
      <x:c r="Y148" s="33" t="str">
        <x:v>严格确认</x:v>
      </x:c>
      <x:c r="Z148" s="21" t="str">
        <x:v>CTIF Table 8.0-11 verifies the event; building status and height are corroborated by the high-rise list.</x:v>
      </x:c>
      <x:c r="AA148" s="21" t="str">
        <x:v>List of fires in high-rise buildings | Wikipedia dynamic high-rise list (candidate discovery) | 区域代理-美洲</x:v>
      </x:c>
      <x:c r="AB148" s="21" t="str">
        <x:v>Wikipedia专题列表 | 区域代理-美洲 | 批量来源代理</x:v>
      </x:c>
      <x:c r="AC148" s="21" t="str">
        <x:v>https://en.wikipedia.org/wiki/List_of_fires_in_high-rise_buildings</x:v>
      </x:c>
      <x:c r="AD148" s="21" t="n">
        <x:v>2</x:v>
      </x:c>
      <x:c r="AE148" s="21" t="str">
        <x:v>可访问(200)</x:v>
      </x:c>
      <x:c r="AF148" s="21" t="str">
        <x:v>https://en.wikipedia.org/wiki/List_of_fires_in_high-rise_buildings =&gt; 可访问(200)</x:v>
      </x:c>
      <x:c r="AG148" s="24" t="n">
        <x:v>46260</x:v>
      </x:c>
      <x:c r="AH148" s="21" t="str"/>
      <x:c r="AI148" s="21" t="n">
        <x:v>1</x:v>
      </x:c>
      <x:c r="AJ148" s="21" t="str">
        <x:v>未评估（本事件表不建立热浪因果关系）</x:v>
      </x:c>
      <x:c r="AK148" s="21" t="str">
        <x:v>已有来源描述</x:v>
      </x:c>
    </x:row>
    <x:row r="149" ht="42" customHeight="1">
      <x:c r="A149" s="33" t="n">
        <x:v>148</x:v>
      </x:c>
      <x:c r="B149" s="33" t="str">
        <x:v>HRF-0148</x:v>
      </x:c>
      <x:c r="C149" s="36" t="str">
        <x:v>北美洲</x:v>
      </x:c>
      <x:c r="D149" s="36" t="str">
        <x:v>United States</x:v>
      </x:c>
      <x:c r="E149" s="21" t="str">
        <x:v>Atlantic City, New Jersey</x:v>
      </x:c>
      <x:c r="F149" s="21" t="str">
        <x:v>Water Club Tower construction fire</x:v>
      </x:c>
      <x:c r="G149" s="39" t="n">
        <x:v>39348</x:v>
      </x:c>
      <x:c r="H149" s="21" t="str">
        <x:v>A facade/construction fire affected the 44-storey hotel tower while it was being built.</x:v>
      </x:c>
      <x:c r="I149" s="21" t="str">
        <x:v>construction-related ignition; exact cause needs primary report</x:v>
      </x:c>
      <x:c r="J149" s="21" t="str">
        <x:v>No deaths; facade-fire list records no injuries.</x:v>
      </x:c>
      <x:c r="K149" s="21" t="str">
        <x:v>https://ctif.org/sites/default/files/2025-08/CTIF_Report30.pdf</x:v>
      </x:c>
      <x:c r="L149" s="27" t="n">
        <x:v>39.3786</x:v>
      </x:c>
      <x:c r="M149" s="27" t="n">
        <x:v>-74.4351</x:v>
      </x:c>
      <x:c r="N149" s="21" t="str">
        <x:v>事件/建筑近似点（候选来源提供）</x:v>
      </x:c>
      <x:c r="O149" s="21" t="str">
        <x:v>high-rise building fire</x:v>
      </x:c>
      <x:c r="P149" s="21" t="str">
        <x:v>hotel; under construction</x:v>
      </x:c>
      <x:c r="Q149" s="21" t="str">
        <x:v>44 floors; 125.4 m</x:v>
      </x:c>
      <x:c r="R149" s="21" t="str">
        <x:v>39</x:v>
      </x:c>
      <x:c r="S149" s="21" t="str">
        <x:v>under construction</x:v>
      </x:c>
      <x:c r="T149" s="42" t="n">
        <x:v>0</x:v>
      </x:c>
      <x:c r="U149" s="42" t="n">
        <x:v>0</x:v>
      </x:c>
      <x:c r="V149" s="42"/>
      <x:c r="W149" s="33" t="str">
        <x:v>A2</x:v>
      </x:c>
      <x:c r="X149" s="33" t="str">
        <x:v>confirmed</x:v>
      </x:c>
      <x:c r="Y149" s="33" t="str">
        <x:v>严格确认</x:v>
      </x:c>
      <x:c r="Z149" s="21" t="str">
        <x:v>CTIF Table 8.0-11 and facade-fire list independently identify the same event.</x:v>
      </x:c>
      <x:c r="AA149" s="21" t="str">
        <x:v>List of high-rise façade fires | Wikipedia dynamic high-rise list (candidate discovery) | Wikipedia high-rise façade list; derived from Bonner et al./news (candidate discovery) | 区域代理-美洲</x:v>
      </x:c>
      <x:c r="AB149" s="21" t="str">
        <x:v>Wikipedia专题列表 | 区域代理-美洲 | 批量来源代理</x:v>
      </x:c>
      <x:c r="AC149" s="21" t="str">
        <x:v>https://doi.org/10.1007%2F978-1-4939-2898-9_4 | https://en.wikipedia.org/wiki/List_of_fires_in_high-rise_buildings | https://en.wikipedia.org/wiki/List_of_high-rise_fa%C3%A7ade_fires</x:v>
      </x:c>
      <x:c r="AD149" s="21" t="n">
        <x:v>4</x:v>
      </x:c>
      <x:c r="AE149" s="21" t="str">
        <x:v>可访问(200)</x:v>
      </x:c>
      <x:c r="AF149" s="21" t="str">
        <x:v>https://doi.org/10.1007%2F978-1-4939-2898-9_4 =&gt; 可访问(200) | https://en.wikipedia.org/wiki/List_of_fires_in_high-rise_buildings =&gt; 可访问(200) | https://en.wikipedia.org/wiki/List_of_high-rise_fa%C3%A7ade_fires =&gt; 可访问(200)</x:v>
      </x:c>
      <x:c r="AG149" s="24" t="n">
        <x:v>46260</x:v>
      </x:c>
      <x:c r="AH149" s="21" t="str"/>
      <x:c r="AI149" s="21" t="n">
        <x:v>1</x:v>
      </x:c>
      <x:c r="AJ149" s="21" t="str">
        <x:v>未评估（本事件表不建立热浪因果关系）</x:v>
      </x:c>
      <x:c r="AK149" s="21" t="str">
        <x:v>已有来源描述</x:v>
      </x:c>
    </x:row>
    <x:row r="150" ht="42" customHeight="1">
      <x:c r="A150" s="33" t="n">
        <x:v>149</x:v>
      </x:c>
      <x:c r="B150" s="33" t="str">
        <x:v>HRF-0149</x:v>
      </x:c>
      <x:c r="C150" s="36" t="str">
        <x:v>北美洲</x:v>
      </x:c>
      <x:c r="D150" s="36" t="str">
        <x:v>United States</x:v>
      </x:c>
      <x:c r="E150" s="21" t="str">
        <x:v>Las Vegas, Nevada</x:v>
      </x:c>
      <x:c r="F150" s="21" t="str">
        <x:v>Monte Carlo Resort and Casino facade fire</x:v>
      </x:c>
      <x:c r="G150" s="39" t="n">
        <x:v>39472</x:v>
      </x:c>
      <x:c r="H150" s="21" t="str">
        <x:v>Exterior fire affected upper floors of the 32-storey hotel-casino tower.</x:v>
      </x:c>
      <x:c r="I150" s="21" t="str">
        <x:v>welding operations were reported as the likely ignition source</x:v>
      </x:c>
      <x:c r="J150" s="21" t="str">
        <x:v>No deaths; CTIF lists 13 injuries.</x:v>
      </x:c>
      <x:c r="K150" s="21" t="str">
        <x:v>https://ctif.org/sites/default/files/2025-08/CTIF_Report30.pdf</x:v>
      </x:c>
      <x:c r="L150" s="27" t="n">
        <x:v>36.1031</x:v>
      </x:c>
      <x:c r="M150" s="27" t="n">
        <x:v>-115.1765</x:v>
      </x:c>
      <x:c r="N150" s="21" t="str">
        <x:v>事件/建筑近似点（候选来源提供）</x:v>
      </x:c>
      <x:c r="O150" s="21" t="str">
        <x:v>high-rise building fire</x:v>
      </x:c>
      <x:c r="P150" s="21" t="str">
        <x:v>hotel/casino</x:v>
      </x:c>
      <x:c r="Q150" s="21" t="str">
        <x:v>32 floors; about 110 m</x:v>
      </x:c>
      <x:c r="R150" s="21" t="str">
        <x:v>4</x:v>
      </x:c>
      <x:c r="S150" s="21" t="str">
        <x:v>opened 1996</x:v>
      </x:c>
      <x:c r="T150" s="42" t="n">
        <x:v>0</x:v>
      </x:c>
      <x:c r="U150" s="42" t="n">
        <x:v>13</x:v>
      </x:c>
      <x:c r="V150" s="42"/>
      <x:c r="W150" s="33" t="str">
        <x:v>A2</x:v>
      </x:c>
      <x:c r="X150" s="33" t="str">
        <x:v>confirmed</x:v>
      </x:c>
      <x:c r="Y150" s="33" t="str">
        <x:v>严格确认</x:v>
      </x:c>
      <x:c r="Z150" s="21" t="str">
        <x:v>CTIF Table 8.0-11 verifies the event; facade-fire list confirms external spread.</x:v>
      </x:c>
      <x:c r="AA150" s="21" t="str">
        <x:v>List of high-rise façade fires | Wikipedia dynamic high-rise list (candidate discovery) | Wikipedia high-rise façade list; derived from Bonner et al./news (candidate discovery) | 区域代理-美洲</x:v>
      </x:c>
      <x:c r="AB150" s="21" t="str">
        <x:v>Wikipedia专题列表 | 区域代理-美洲 | 批量来源代理</x:v>
      </x:c>
      <x:c r="AC150" s="21" t="str">
        <x:v>https://doi.org/10.1007%2F978-1-4939-2898-9_4 | https://en.wikipedia.org/wiki/List_of_fires_in_high-rise_buildings | https://en.wikipedia.org/wiki/List_of_high-rise_fa%C3%A7ade_fires</x:v>
      </x:c>
      <x:c r="AD150" s="21" t="n">
        <x:v>4</x:v>
      </x:c>
      <x:c r="AE150" s="21" t="str">
        <x:v>可访问(200)</x:v>
      </x:c>
      <x:c r="AF150" s="21" t="str">
        <x:v>https://doi.org/10.1007%2F978-1-4939-2898-9_4 =&gt; 可访问(200) | https://en.wikipedia.org/wiki/List_of_fires_in_high-rise_buildings =&gt; 可访问(200) | https://en.wikipedia.org/wiki/List_of_high-rise_fa%C3%A7ade_fires =&gt; 可访问(200)</x:v>
      </x:c>
      <x:c r="AG150" s="24" t="n">
        <x:v>46260</x:v>
      </x:c>
      <x:c r="AH150" s="21" t="str"/>
      <x:c r="AI150" s="21" t="n">
        <x:v>1</x:v>
      </x:c>
      <x:c r="AJ150" s="21" t="str">
        <x:v>未评估（本事件表不建立热浪因果关系）</x:v>
      </x:c>
      <x:c r="AK150" s="21" t="str">
        <x:v>已有来源描述</x:v>
      </x:c>
    </x:row>
    <x:row r="151" ht="42" customHeight="1">
      <x:c r="A151" s="33" t="n">
        <x:v>150</x:v>
      </x:c>
      <x:c r="B151" s="33" t="str">
        <x:v>HRF-0150</x:v>
      </x:c>
      <x:c r="C151" s="36" t="str">
        <x:v>北美洲</x:v>
      </x:c>
      <x:c r="D151" s="36" t="str">
        <x:v>Mexico</x:v>
      </x:c>
      <x:c r="E151" s="21" t="str">
        <x:v>Mexico City, Mexico City</x:v>
      </x:c>
      <x:c r="F151" s="21" t="str">
        <x:v>Torre Ejecutiva Pemex explosion and fire</x:v>
      </x:c>
      <x:c r="G151" s="39" t="n">
        <x:v>41305</x:v>
      </x:c>
      <x:c r="H151" s="21" t="str">
        <x:v>An explosion and fire damaged the 14-storey annex of the 54-storey Pemex headquarters complex.</x:v>
      </x:c>
      <x:c r="I151" s="21" t="str">
        <x:v>gas accumulation/explosion reported by investigation</x:v>
      </x:c>
      <x:c r="J151" s="21" t="str">
        <x:v>CTIF lists 37 deaths and 121 injuries; substantial annex damage.</x:v>
      </x:c>
      <x:c r="K151" s="21" t="str">
        <x:v>https://ctif.org/sites/default/files/2025-08/CTIF_Report30.pdf</x:v>
      </x:c>
      <x:c r="L151" s="27" t="n">
        <x:v>19.438</x:v>
      </x:c>
      <x:c r="M151" s="27" t="n">
        <x:v>-99.174</x:v>
      </x:c>
      <x:c r="N151" s="21" t="str">
        <x:v>事件/建筑近似点（候选来源提供）</x:v>
      </x:c>
      <x:c r="O151" s="21" t="str">
        <x:v>high-rise building fire</x:v>
      </x:c>
      <x:c r="P151" s="21" t="str">
        <x:v>office/headquarters</x:v>
      </x:c>
      <x:c r="Q151" s="21" t="str">
        <x:v>54-storey main tower; 214 m; 14-storey annex affected</x:v>
      </x:c>
      <x:c r="R151" s="21" t="str">
        <x:v>未检索到</x:v>
      </x:c>
      <x:c r="S151" s="21" t="str">
        <x:v>completed 1984</x:v>
      </x:c>
      <x:c r="T151" s="42" t="n">
        <x:v>37</x:v>
      </x:c>
      <x:c r="U151" s="42" t="n">
        <x:v>121</x:v>
      </x:c>
      <x:c r="V151" s="42"/>
      <x:c r="W151" s="33" t="str">
        <x:v>A2</x:v>
      </x:c>
      <x:c r="X151" s="33" t="str">
        <x:v>confirmed</x:v>
      </x:c>
      <x:c r="Y151" s="33" t="str">
        <x:v>严格确认</x:v>
      </x:c>
      <x:c r="Z151" s="21" t="str">
        <x:v>CTIF Table 8.0-12 verifies date/city/casualties. Fire affected the annex but belongs to a high-rise complex.</x:v>
      </x:c>
      <x:c r="AA151" s="21" t="str">
        <x:v>List of fires in high-rise buildings | Wikipedia dynamic high-rise list (candidate discovery) | 区域代理-美洲</x:v>
      </x:c>
      <x:c r="AB151" s="21" t="str">
        <x:v>Wikipedia专题列表 | 区域代理-美洲 | 批量来源代理</x:v>
      </x:c>
      <x:c r="AC151" s="21" t="str">
        <x:v>https://en.wikipedia.org/wiki/List_of_fires_in_high-rise_buildings | https://en.wikipedia.org/wiki/Torre_Ejecutiva_Pemex_explosion</x:v>
      </x:c>
      <x:c r="AD151" s="21" t="n">
        <x:v>3</x:v>
      </x:c>
      <x:c r="AE151" s="21" t="str">
        <x:v>可访问(200)</x:v>
      </x:c>
      <x:c r="AF151" s="21" t="str">
        <x:v>https://en.wikipedia.org/wiki/List_of_fires_in_high-rise_buildings =&gt; 可访问(200) | https://en.wikipedia.org/wiki/Torre_Ejecutiva_Pemex_explosion =&gt; 可访问(200)</x:v>
      </x:c>
      <x:c r="AG151" s="24" t="n">
        <x:v>46260</x:v>
      </x:c>
      <x:c r="AH151" s="21" t="str"/>
      <x:c r="AI151" s="21" t="n">
        <x:v>1</x:v>
      </x:c>
      <x:c r="AJ151" s="21" t="str">
        <x:v>未评估（本事件表不建立热浪因果关系）</x:v>
      </x:c>
      <x:c r="AK151" s="21" t="str">
        <x:v>已有来源描述</x:v>
      </x:c>
    </x:row>
    <x:row r="152" ht="42" customHeight="1">
      <x:c r="A152" s="33" t="n">
        <x:v>151</x:v>
      </x:c>
      <x:c r="B152" s="33" t="str">
        <x:v>HRF-0151</x:v>
      </x:c>
      <x:c r="C152" s="36" t="str">
        <x:v>北美洲</x:v>
      </x:c>
      <x:c r="D152" s="36" t="str">
        <x:v>United States</x:v>
      </x:c>
      <x:c r="E152" s="21" t="str">
        <x:v>New York City, New York</x:v>
      </x:c>
      <x:c r="F152" s="21" t="str">
        <x:v>The Strand condominium fire</x:v>
      </x:c>
      <x:c r="G152" s="39" t="n">
        <x:v>41644</x:v>
      </x:c>
      <x:c r="H152" s="21" t="str">
        <x:v>A three-alarm fire began in a 20th-floor apartment of the 41-storey condominium.</x:v>
      </x:c>
      <x:c r="I152" s="21" t="str">
        <x:v>ruled accidental; exact ignition item not established in consulted source</x:v>
      </x:c>
      <x:c r="J152" s="21" t="str">
        <x:v>1 death and at least 1 critical injury.</x:v>
      </x:c>
      <x:c r="K152" s="21" t="str">
        <x:v>https://www.cbsnews.com/newyork/news/3-alarm-blaze-breaks-out-on-west-side/</x:v>
      </x:c>
      <x:c r="L152" s="27" t="n">
        <x:v>40.7603</x:v>
      </x:c>
      <x:c r="M152" s="27" t="n">
        <x:v>-73.9954</x:v>
      </x:c>
      <x:c r="N152" s="21" t="str">
        <x:v>事件/建筑近似点（候选来源提供）</x:v>
      </x:c>
      <x:c r="O152" s="21" t="str">
        <x:v>high-rise building fire</x:v>
      </x:c>
      <x:c r="P152" s="21" t="str">
        <x:v>residential condominium</x:v>
      </x:c>
      <x:c r="Q152" s="21" t="str">
        <x:v>41 floors</x:v>
      </x:c>
      <x:c r="R152" s="21" t="str">
        <x:v>未检索到</x:v>
      </x:c>
      <x:c r="S152" s="21" t="str">
        <x:v>completed 1989</x:v>
      </x:c>
      <x:c r="T152" s="42" t="n">
        <x:v>1</x:v>
      </x:c>
      <x:c r="U152" s="42" t="n">
        <x:v>1</x:v>
      </x:c>
      <x:c r="V152" s="42"/>
      <x:c r="W152" s="33" t="str">
        <x:v>B1</x:v>
      </x:c>
      <x:c r="X152" s="33" t="str">
        <x:v>confirmed</x:v>
      </x:c>
      <x:c r="Y152" s="33" t="str">
        <x:v>严格确认</x:v>
      </x:c>
      <x:c r="Z152" s="21" t="str">
        <x:v>CBS reports the date, address, 20th-floor origin and fatality; CTIF independently lists the event.</x:v>
      </x:c>
      <x:c r="AA152" s="21" t="str">
        <x:v>List of fires in high-rise buildings | Wikipedia dynamic high-rise list (candidate discovery) | 区域代理-美洲</x:v>
      </x:c>
      <x:c r="AB152" s="21" t="str">
        <x:v>Wikipedia专题列表 | 区域代理-美洲 | 批量来源代理</x:v>
      </x:c>
      <x:c r="AC152" s="21" t="str">
        <x:v>https://en.wikipedia.org/wiki/List_of_fires_in_high-rise_buildings | https://www.nytimes.com/2014/01/06/nyregion/fire-at-manhattan-high-rise-injures-two.html</x:v>
      </x:c>
      <x:c r="AD152" s="21" t="n">
        <x:v>3</x:v>
      </x:c>
      <x:c r="AE152" s="21" t="str">
        <x:v>可访问(200)</x:v>
      </x:c>
      <x:c r="AF152" s="21" t="str">
        <x:v>https://en.wikipedia.org/wiki/List_of_fires_in_high-rise_buildings =&gt; 可访问(200) | https://www.nytimes.com/2014/01/06/nyregion/fire-at-manhattan-high-rise-injures-two.html =&gt; 可访问(200)</x:v>
      </x:c>
      <x:c r="AG152" s="24" t="n">
        <x:v>46260</x:v>
      </x:c>
      <x:c r="AH152" s="21" t="str"/>
      <x:c r="AI152" s="21" t="n">
        <x:v>1</x:v>
      </x:c>
      <x:c r="AJ152" s="21" t="str">
        <x:v>未评估（本事件表不建立热浪因果关系）</x:v>
      </x:c>
      <x:c r="AK152" s="21" t="str">
        <x:v>已有来源描述</x:v>
      </x:c>
    </x:row>
    <x:row r="153" ht="42" customHeight="1">
      <x:c r="A153" s="33" t="n">
        <x:v>152</x:v>
      </x:c>
      <x:c r="B153" s="33" t="str">
        <x:v>HRF-0152</x:v>
      </x:c>
      <x:c r="C153" s="36" t="str">
        <x:v>北美洲</x:v>
      </x:c>
      <x:c r="D153" s="36" t="str">
        <x:v>United States</x:v>
      </x:c>
      <x:c r="E153" s="21" t="str">
        <x:v>New York City</x:v>
      </x:c>
      <x:c r="F153" s="21" t="str">
        <x:v>One57 fire</x:v>
      </x:c>
      <x:c r="G153" s="39" t="n">
        <x:v>41712</x:v>
      </x:c>
      <x:c r="H153" s="21" t="str">
        <x:v>One57高层建筑火灾；建筑高度记录为 306 m。死亡人数：0。Fire broke out in the loading dock, then spread to the courtyard and a neighboring property.</x:v>
      </x:c>
      <x:c r="I153" s="21" t="str">
        <x:v>未检索到/待核实</x:v>
      </x:c>
      <x:c r="J153" s="21" t="str">
        <x:v>死亡人数：0。Fire broke out in the loading dock, then spread to the courtyard and a neighboring property.</x:v>
      </x:c>
      <x:c r="K153" s="21" t="str">
        <x:v>https://www.dnainfo.com/new-york/20140316/midtown/fire-breaks-out-at-problematic-one57-construction-site</x:v>
      </x:c>
      <x:c r="L153" s="27" t="n">
        <x:v>40.71427</x:v>
      </x:c>
      <x:c r="M153" s="27" t="n">
        <x:v>-74.00597</x:v>
      </x:c>
      <x:c r="N153" s="21" t="str">
        <x:v>城市代表点（来源明确说明不是火场坐标）</x:v>
      </x:c>
      <x:c r="O153" s="21" t="str">
        <x:v>高层建筑火灾</x:v>
      </x:c>
      <x:c r="P153" s="21" t="str">
        <x:v>未检索到</x:v>
      </x:c>
      <x:c r="Q153" s="21" t="str">
        <x:v>306 m</x:v>
      </x:c>
      <x:c r="R153" s="21" t="str">
        <x:v>未检索到</x:v>
      </x:c>
      <x:c r="S153" s="21" t="str">
        <x:v>未检索到</x:v>
      </x:c>
      <x:c r="T153" s="42" t="n">
        <x:v>0</x:v>
      </x:c>
      <x:c r="U153" s="42"/>
      <x:c r="V153" s="42"/>
      <x:c r="W153" s="33" t="str">
        <x:v>C</x:v>
      </x:c>
      <x:c r="X153" s="33" t="str">
        <x:v>compendium_needs_independent_verification</x:v>
      </x:c>
      <x:c r="Y153" s="33" t="str">
        <x:v>专题汇编记录</x:v>
      </x:c>
      <x:c r="Z153" s="21" t="str">
        <x:v>Wikipedia高层建筑专题表；需补充独立来源核验</x:v>
      </x:c>
      <x:c r="AA153" s="21" t="str">
        <x:v>List of fires in high-rise buildings | Wikipedia dynamic high-rise list (candidate discovery)</x:v>
      </x:c>
      <x:c r="AB153" s="21" t="str">
        <x:v>Wikipedia专题列表 | 批量来源代理</x:v>
      </x:c>
      <x:c r="AC153" s="21" t="str">
        <x:v>https://en.wikipedia.org/wiki/List_of_fires_in_high-rise_buildings</x:v>
      </x:c>
      <x:c r="AD153" s="21" t="n">
        <x:v>2</x:v>
      </x:c>
      <x:c r="AE153" s="21" t="str">
        <x:v>可访问(200)</x:v>
      </x:c>
      <x:c r="AF153" s="21" t="str">
        <x:v>https://en.wikipedia.org/wiki/List_of_fires_in_high-rise_buildings =&gt; 可访问(200)</x:v>
      </x:c>
      <x:c r="AG153" s="24" t="n">
        <x:v>46260</x:v>
      </x:c>
      <x:c r="AH153" s="21" t="str"/>
      <x:c r="AI153" s="21" t="n">
        <x:v>1</x:v>
      </x:c>
      <x:c r="AJ153" s="21" t="str">
        <x:v>未评估（本事件表不建立热浪因果关系）</x:v>
      </x:c>
      <x:c r="AK153" s="21" t="str">
        <x:v>缺失/待核实</x:v>
      </x:c>
    </x:row>
    <x:row r="154" ht="42" customHeight="1">
      <x:c r="A154" s="33" t="n">
        <x:v>153</x:v>
      </x:c>
      <x:c r="B154" s="33" t="str">
        <x:v>HRF-0153</x:v>
      </x:c>
      <x:c r="C154" s="36" t="str">
        <x:v>北美洲</x:v>
      </x:c>
      <x:c r="D154" s="36" t="str">
        <x:v>United States</x:v>
      </x:c>
      <x:c r="E154" s="21" t="str">
        <x:v>New York City, New York</x:v>
      </x:c>
      <x:c r="F154" s="21" t="str">
        <x:v>One57 loading-dock fire</x:v>
      </x:c>
      <x:c r="G154" s="39" t="n">
        <x:v>41713</x:v>
      </x:c>
      <x:c r="H154" s="21" t="str">
        <x:v>A fire at the base/loading area of the 75-storey tower spread into a courtyard and adjacent property.</x:v>
      </x:c>
      <x:c r="I154" s="21" t="str">
        <x:v>not established in the consulted compendium</x:v>
      </x:c>
      <x:c r="J154" s="21" t="str">
        <x:v>No deaths listed by CTIF.</x:v>
      </x:c>
      <x:c r="K154" s="21" t="str">
        <x:v>https://ctif.org/sites/default/files/2025-08/CTIF_Report30.pdf</x:v>
      </x:c>
      <x:c r="L154" s="27" t="n">
        <x:v>40.7653</x:v>
      </x:c>
      <x:c r="M154" s="27" t="n">
        <x:v>-73.9792</x:v>
      </x:c>
      <x:c r="N154" s="21" t="str">
        <x:v>事件/建筑近似点（候选来源提供）</x:v>
      </x:c>
      <x:c r="O154" s="21" t="str">
        <x:v>high-rise building fire</x:v>
      </x:c>
      <x:c r="P154" s="21" t="str">
        <x:v>residential tower; construction-phase context</x:v>
      </x:c>
      <x:c r="Q154" s="21" t="str">
        <x:v>75 floors; 306 m</x:v>
      </x:c>
      <x:c r="R154" s="21" t="str">
        <x:v>未检索到</x:v>
      </x:c>
      <x:c r="S154" s="21" t="str">
        <x:v>completed 2014</x:v>
      </x:c>
      <x:c r="T154" s="42" t="n">
        <x:v>0</x:v>
      </x:c>
      <x:c r="U154" s="42"/>
      <x:c r="V154" s="42"/>
      <x:c r="W154" s="33" t="str">
        <x:v>A2</x:v>
      </x:c>
      <x:c r="X154" s="33" t="str">
        <x:v>confirmed_fire_at_highrise_base</x:v>
      </x:c>
      <x:c r="Y154" s="33" t="str">
        <x:v>严格确认</x:v>
      </x:c>
      <x:c r="Z154" s="21" t="str">
        <x:v>CTIF Table 8.0-12 verifies the high-rise event. Fire was at the base, so retain a spatial-scope flag.</x:v>
      </x:c>
      <x:c r="AA154" s="21" t="str">
        <x:v>区域代理-美洲</x:v>
      </x:c>
      <x:c r="AB154" s="21" t="str">
        <x:v>区域代理-美洲</x:v>
      </x:c>
      <x:c r="AC154" s="21" t="str"/>
      <x:c r="AD154" s="21" t="n">
        <x:v>1</x:v>
      </x:c>
      <x:c r="AE154" s="21" t="str">
        <x:v>可访问(200)</x:v>
      </x:c>
      <x:c r="AF154" s="21" t="str"/>
      <x:c r="AG154" s="24" t="n">
        <x:v>46260</x:v>
      </x:c>
      <x:c r="AH154" s="21" t="str"/>
      <x:c r="AI154" s="21" t="n">
        <x:v>1</x:v>
      </x:c>
      <x:c r="AJ154" s="21" t="str">
        <x:v>未评估（本事件表不建立热浪因果关系）</x:v>
      </x:c>
      <x:c r="AK154" s="21" t="str">
        <x:v>已有来源描述</x:v>
      </x:c>
    </x:row>
    <x:row r="155" ht="42" customHeight="1">
      <x:c r="A155" s="33" t="n">
        <x:v>154</x:v>
      </x:c>
      <x:c r="B155" s="33" t="str">
        <x:v>HRF-0154</x:v>
      </x:c>
      <x:c r="C155" s="36" t="str">
        <x:v>北美洲</x:v>
      </x:c>
      <x:c r="D155" s="36" t="str">
        <x:v>United States</x:v>
      </x:c>
      <x:c r="E155" s="21" t="str">
        <x:v>Castle Hills, Texas</x:v>
      </x:c>
      <x:c r="F155" s="21" t="str">
        <x:v>The Wedgwood senior-apartment fire</x:v>
      </x:c>
      <x:c r="G155" s="39" t="n">
        <x:v>42001</x:v>
      </x:c>
      <x:c r="H155" s="21" t="str">
        <x:v>A fire in an 11-storey senior living high-rise caused extensive smoke spread.</x:v>
      </x:c>
      <x:c r="I155" s="21" t="str">
        <x:v>not established in consulted source</x:v>
      </x:c>
      <x:c r="J155" s="21" t="str">
        <x:v>5 deaths; injury count unresolved.</x:v>
      </x:c>
      <x:c r="K155" s="21" t="str">
        <x:v>https://ctif.org/sites/default/files/2025-08/CTIF_Report30.pdf</x:v>
      </x:c>
      <x:c r="L155" s="27" t="n">
        <x:v>29.5252</x:v>
      </x:c>
      <x:c r="M155" s="27" t="n">
        <x:v>-98.5148</x:v>
      </x:c>
      <x:c r="N155" s="21" t="str">
        <x:v>事件/建筑近似点（候选来源提供）</x:v>
      </x:c>
      <x:c r="O155" s="21" t="str">
        <x:v>high-rise building fire</x:v>
      </x:c>
      <x:c r="P155" s="21" t="str">
        <x:v>senior residential</x:v>
      </x:c>
      <x:c r="Q155" s="21" t="str">
        <x:v>11 floors; about 30 m</x:v>
      </x:c>
      <x:c r="R155" s="21" t="str">
        <x:v>未检索到</x:v>
      </x:c>
      <x:c r="S155" s="21" t="str">
        <x:v>older building; built in the 1960s</x:v>
      </x:c>
      <x:c r="T155" s="42" t="n">
        <x:v>5</x:v>
      </x:c>
      <x:c r="U155" s="42"/>
      <x:c r="V155" s="42"/>
      <x:c r="W155" s="33" t="str">
        <x:v>A2</x:v>
      </x:c>
      <x:c r="X155" s="33" t="str">
        <x:v>confirmed</x:v>
      </x:c>
      <x:c r="Y155" s="33" t="str">
        <x:v>严格确认</x:v>
      </x:c>
      <x:c r="Z155" s="21" t="str">
        <x:v>CTIF Table 8.0-12 verifies date/city/deaths and high-rise classification.</x:v>
      </x:c>
      <x:c r="AA155" s="21" t="str">
        <x:v>List of fires in high-rise buildings | Wikipedia dynamic high-rise list (candidate discovery) | 区域代理-美洲</x:v>
      </x:c>
      <x:c r="AB155" s="21" t="str">
        <x:v>Wikipedia专题列表 | 区域代理-美洲 | 批量来源代理</x:v>
      </x:c>
      <x:c r="AC155" s="21" t="str">
        <x:v>https://en.wikipedia.org/wiki/List_of_fires_in_high-rise_buildings | https://www.cbsnews.com/news/at-least-five-killed-in-blaze-at-senior-apartments-in-san-antonio/</x:v>
      </x:c>
      <x:c r="AD155" s="21" t="n">
        <x:v>3</x:v>
      </x:c>
      <x:c r="AE155" s="21" t="str">
        <x:v>可访问(200)</x:v>
      </x:c>
      <x:c r="AF155" s="21" t="str">
        <x:v>https://en.wikipedia.org/wiki/List_of_fires_in_high-rise_buildings =&gt; 可访问(200) | https://www.cbsnews.com/news/at-least-five-killed-in-blaze-at-senior-apartments-in-san-antonio/ =&gt; 可访问(200)</x:v>
      </x:c>
      <x:c r="AG155" s="24" t="n">
        <x:v>46260</x:v>
      </x:c>
      <x:c r="AH155" s="21" t="str"/>
      <x:c r="AI155" s="21" t="n">
        <x:v>1</x:v>
      </x:c>
      <x:c r="AJ155" s="21" t="str">
        <x:v>未评估（本事件表不建立热浪因果关系）</x:v>
      </x:c>
      <x:c r="AK155" s="21" t="str">
        <x:v>已有来源描述</x:v>
      </x:c>
    </x:row>
    <x:row r="156" ht="42" customHeight="1">
      <x:c r="A156" s="33" t="n">
        <x:v>155</x:v>
      </x:c>
      <x:c r="B156" s="33" t="str">
        <x:v>HRF-0155</x:v>
      </x:c>
      <x:c r="C156" s="36" t="str">
        <x:v>北美洲</x:v>
      </x:c>
      <x:c r="D156" s="36" t="str">
        <x:v>United States</x:v>
      </x:c>
      <x:c r="E156" s="21" t="str">
        <x:v>Las Vegas, Nevada</x:v>
      </x:c>
      <x:c r="F156" s="21" t="str">
        <x:v>Cosmopolitan of Las Vegas pool-deck fire</x:v>
      </x:c>
      <x:c r="G156" s="39" t="n">
        <x:v>42210</x:v>
      </x:c>
      <x:c r="H156" s="21" t="str">
        <x:v>Cabanas and artificial vegetation burned on a high outdoor pool deck of the hotel tower.</x:v>
      </x:c>
      <x:c r="I156" s="21" t="str">
        <x:v>unknown/undetermined in consulted sources</x:v>
      </x:c>
      <x:c r="J156" s="21" t="str">
        <x:v>No deaths; 2 smoke-inhalation injuries listed by CTIF.</x:v>
      </x:c>
      <x:c r="K156" s="21" t="str">
        <x:v>https://ctif.org/sites/default/files/2025-08/CTIF_Report30.pdf</x:v>
      </x:c>
      <x:c r="L156" s="27" t="n">
        <x:v>36.1099</x:v>
      </x:c>
      <x:c r="M156" s="27" t="n">
        <x:v>-115.1745</x:v>
      </x:c>
      <x:c r="N156" s="21" t="str">
        <x:v>事件/建筑近似点（候选来源提供）</x:v>
      </x:c>
      <x:c r="O156" s="21" t="str">
        <x:v>high-rise building fire</x:v>
      </x:c>
      <x:c r="P156" s="21" t="str">
        <x:v>hotel/casino</x:v>
      </x:c>
      <x:c r="Q156" s="21" t="str">
        <x:v>52 floors; about 184 m</x:v>
      </x:c>
      <x:c r="R156" s="21" t="str">
        <x:v>未检索到</x:v>
      </x:c>
      <x:c r="S156" s="21" t="str">
        <x:v>opened 2010</x:v>
      </x:c>
      <x:c r="T156" s="42" t="n">
        <x:v>0</x:v>
      </x:c>
      <x:c r="U156" s="42" t="n">
        <x:v>2</x:v>
      </x:c>
      <x:c r="V156" s="42"/>
      <x:c r="W156" s="33" t="str">
        <x:v>A2</x:v>
      </x:c>
      <x:c r="X156" s="33" t="str">
        <x:v>confirmed_fire_on_highrise_podium</x:v>
      </x:c>
      <x:c r="Y156" s="33" t="str">
        <x:v>严格确认</x:v>
      </x:c>
      <x:c r="Z156" s="21" t="str">
        <x:v>CTIF Table 8.0-13 verifies the event. Fire was on a pool deck rather than within occupied floors.</x:v>
      </x:c>
      <x:c r="AA156" s="21" t="str">
        <x:v>List of fires in high-rise buildings | Wikipedia dynamic high-rise list (candidate discovery) | 区域代理-美洲</x:v>
      </x:c>
      <x:c r="AB156" s="21" t="str">
        <x:v>Wikipedia专题列表 | 区域代理-美洲 | 批量来源代理</x:v>
      </x:c>
      <x:c r="AC156" s="21" t="str">
        <x:v>https://abcnews.go.com/US/fire-rages-cosmopolitan-hotel-las-vegas/story?id=32685666 | https://en.wikipedia.org/wiki/List_of_fires_in_high-rise_buildings</x:v>
      </x:c>
      <x:c r="AD156" s="21" t="n">
        <x:v>3</x:v>
      </x:c>
      <x:c r="AE156" s="21" t="str">
        <x:v>可访问(200)</x:v>
      </x:c>
      <x:c r="AF156" s="21" t="str">
        <x:v>https://abcnews.go.com/US/fire-rages-cosmopolitan-hotel-las-vegas/story?id=32685666 =&gt; 可访问(200) | https://en.wikipedia.org/wiki/List_of_fires_in_high-rise_buildings =&gt; 可访问(200)</x:v>
      </x:c>
      <x:c r="AG156" s="24" t="n">
        <x:v>46260</x:v>
      </x:c>
      <x:c r="AH156" s="21" t="str"/>
      <x:c r="AI156" s="21" t="n">
        <x:v>1</x:v>
      </x:c>
      <x:c r="AJ156" s="21" t="str">
        <x:v>未评估（本事件表不建立热浪因果关系）</x:v>
      </x:c>
      <x:c r="AK156" s="21" t="str">
        <x:v>缺失/待核实</x:v>
      </x:c>
    </x:row>
    <x:row r="157" ht="42" customHeight="1">
      <x:c r="A157" s="33" t="n">
        <x:v>156</x:v>
      </x:c>
      <x:c r="B157" s="33" t="str">
        <x:v>HRF-0156</x:v>
      </x:c>
      <x:c r="C157" s="36" t="str">
        <x:v>北美洲</x:v>
      </x:c>
      <x:c r="D157" s="36" t="str">
        <x:v>United States</x:v>
      </x:c>
      <x:c r="E157" s="21" t="str">
        <x:v>Chicago, Illinois</x:v>
      </x:c>
      <x:c r="F157" s="21" t="str">
        <x:v>John Hancock Center 50th-floor fire</x:v>
      </x:c>
      <x:c r="G157" s="39" t="n">
        <x:v>42329</x:v>
      </x:c>
      <x:c r="H157" s="21" t="str">
        <x:v>A two-alarm fire broke out on the 50th floor of the 100-storey mixed-use tower.</x:v>
      </x:c>
      <x:c r="I157" s="21" t="str">
        <x:v>not established in consulted source</x:v>
      </x:c>
      <x:c r="J157" s="21" t="str">
        <x:v>No deaths; CTIF lists 5 injuries.</x:v>
      </x:c>
      <x:c r="K157" s="21" t="str">
        <x:v>https://ctif.org/sites/default/files/2025-08/CTIF_Report30.pdf</x:v>
      </x:c>
      <x:c r="L157" s="27" t="n">
        <x:v>41.8988</x:v>
      </x:c>
      <x:c r="M157" s="27" t="n">
        <x:v>-87.623</x:v>
      </x:c>
      <x:c r="N157" s="21" t="str">
        <x:v>事件/建筑近似点（候选来源提供）</x:v>
      </x:c>
      <x:c r="O157" s="21" t="str">
        <x:v>high-rise building fire</x:v>
      </x:c>
      <x:c r="P157" s="21" t="str">
        <x:v>mixed office/residential/observation</x:v>
      </x:c>
      <x:c r="Q157" s="21" t="str">
        <x:v>100 floors; 344 m roof / 457 m antenna</x:v>
      </x:c>
      <x:c r="R157" s="21" t="str">
        <x:v>未检索到</x:v>
      </x:c>
      <x:c r="S157" s="21" t="str">
        <x:v>completed 1969</x:v>
      </x:c>
      <x:c r="T157" s="42" t="n">
        <x:v>0</x:v>
      </x:c>
      <x:c r="U157" s="42" t="n">
        <x:v>5</x:v>
      </x:c>
      <x:c r="V157" s="42"/>
      <x:c r="W157" s="33" t="str">
        <x:v>A2</x:v>
      </x:c>
      <x:c r="X157" s="33" t="str">
        <x:v>confirmed</x:v>
      </x:c>
      <x:c r="Y157" s="33" t="str">
        <x:v>严格确认</x:v>
      </x:c>
      <x:c r="Z157" s="21" t="str">
        <x:v>CTIF Table 8.0-13 verifies the date, building and casualties.</x:v>
      </x:c>
      <x:c r="AA157" s="21" t="str">
        <x:v>List of fires in high-rise buildings | Wikipedia dynamic high-rise list (candidate discovery) | 区域代理-美洲</x:v>
      </x:c>
      <x:c r="AB157" s="21" t="str">
        <x:v>Wikipedia专题列表 | 区域代理-美洲 | 批量来源代理</x:v>
      </x:c>
      <x:c r="AC157" s="21" t="str">
        <x:v>https://en.wikipedia.org/wiki/List_of_fires_in_high-rise_buildings</x:v>
      </x:c>
      <x:c r="AD157" s="21" t="n">
        <x:v>2</x:v>
      </x:c>
      <x:c r="AE157" s="21" t="str">
        <x:v>可访问(200)</x:v>
      </x:c>
      <x:c r="AF157" s="21" t="str">
        <x:v>https://en.wikipedia.org/wiki/List_of_fires_in_high-rise_buildings =&gt; 可访问(200)</x:v>
      </x:c>
      <x:c r="AG157" s="24" t="n">
        <x:v>46260</x:v>
      </x:c>
      <x:c r="AH157" s="21" t="str"/>
      <x:c r="AI157" s="21" t="n">
        <x:v>1</x:v>
      </x:c>
      <x:c r="AJ157" s="21" t="str">
        <x:v>未评估（本事件表不建立热浪因果关系）</x:v>
      </x:c>
      <x:c r="AK157" s="21" t="str">
        <x:v>已有来源描述</x:v>
      </x:c>
    </x:row>
    <x:row r="158" ht="42" customHeight="1">
      <x:c r="A158" s="33" t="n">
        <x:v>157</x:v>
      </x:c>
      <x:c r="B158" s="33" t="str">
        <x:v>HRF-0157</x:v>
      </x:c>
      <x:c r="C158" s="36" t="str">
        <x:v>北美洲</x:v>
      </x:c>
      <x:c r="D158" s="36" t="str">
        <x:v>United States</x:v>
      </x:c>
      <x:c r="E158" s="21" t="str">
        <x:v>Honolulu, Hawaii</x:v>
      </x:c>
      <x:c r="F158" s="21" t="str">
        <x:v>Marco Polo condominium fire</x:v>
      </x:c>
      <x:c r="G158" s="39" t="n">
        <x:v>42930</x:v>
      </x:c>
      <x:c r="H158" s="21" t="str">
        <x:v>Fire started on the 26th floor of a 36-storey condominium and spread to additional floors.</x:v>
      </x:c>
      <x:c r="I158" s="21" t="str">
        <x:v>undetermined</x:v>
      </x:c>
      <x:c r="J158" s="21" t="str">
        <x:v>4 deaths, 13 injuries and more than 200 units damaged or affected.</x:v>
      </x:c>
      <x:c r="K158" s="21" t="str">
        <x:v>https://en.wikipedia.org/wiki/Marco_Polo_condo_fire</x:v>
      </x:c>
      <x:c r="L158" s="27" t="n">
        <x:v>21.2883</x:v>
      </x:c>
      <x:c r="M158" s="27" t="n">
        <x:v>-157.826</x:v>
      </x:c>
      <x:c r="N158" s="21" t="str">
        <x:v>事件/建筑近似点（候选来源提供）</x:v>
      </x:c>
      <x:c r="O158" s="21" t="str">
        <x:v>high-rise building fire</x:v>
      </x:c>
      <x:c r="P158" s="21" t="str">
        <x:v>residential condominium</x:v>
      </x:c>
      <x:c r="Q158" s="21" t="str">
        <x:v>36 floors; 118.8 m</x:v>
      </x:c>
      <x:c r="R158" s="21" t="str">
        <x:v>未检索到</x:v>
      </x:c>
      <x:c r="S158" s="21" t="str">
        <x:v>completed 1971; older unsprinklered high-rise</x:v>
      </x:c>
      <x:c r="T158" s="42" t="n">
        <x:v>4</x:v>
      </x:c>
      <x:c r="U158" s="42" t="n">
        <x:v>13</x:v>
      </x:c>
      <x:c r="V158" s="42"/>
      <x:c r="W158" s="33" t="str">
        <x:v>B1</x:v>
      </x:c>
      <x:c r="X158" s="33" t="str">
        <x:v>confirmed</x:v>
      </x:c>
      <x:c r="Y158" s="33" t="str">
        <x:v>严格确认</x:v>
      </x:c>
      <x:c r="Z158" s="21" t="str">
        <x:v>Dedicated page and CTIF Table 8.0-13 agree on date and 4 deaths/13 injuries; the generic high-rise list displayed an outdated 3-death count.</x:v>
      </x:c>
      <x:c r="AA158" s="21" t="str">
        <x:v>List of fires in high-rise buildings | Wikipedia dynamic high-rise list (candidate discovery) | 区域代理-美洲</x:v>
      </x:c>
      <x:c r="AB158" s="21" t="str">
        <x:v>Wikipedia专题列表 | 区域代理-美洲 | 批量来源代理</x:v>
      </x:c>
      <x:c r="AC158" s="21" t="str">
        <x:v>https://en.wikipedia.org/wiki/List_of_fires_in_high-rise_buildings</x:v>
      </x:c>
      <x:c r="AD158" s="21" t="n">
        <x:v>2</x:v>
      </x:c>
      <x:c r="AE158" s="21" t="str">
        <x:v>可访问(200)</x:v>
      </x:c>
      <x:c r="AF158" s="21" t="str">
        <x:v>https://en.wikipedia.org/wiki/List_of_fires_in_high-rise_buildings =&gt; 可访问(200)</x:v>
      </x:c>
      <x:c r="AG158" s="24" t="n">
        <x:v>46260</x:v>
      </x:c>
      <x:c r="AH158" s="21" t="str"/>
      <x:c r="AI158" s="21" t="n">
        <x:v>1</x:v>
      </x:c>
      <x:c r="AJ158" s="21" t="str">
        <x:v>未评估（本事件表不建立热浪因果关系）</x:v>
      </x:c>
      <x:c r="AK158" s="21" t="str">
        <x:v>已有来源描述</x:v>
      </x:c>
    </x:row>
    <x:row r="159" ht="42" customHeight="1">
      <x:c r="A159" s="33" t="n">
        <x:v>158</x:v>
      </x:c>
      <x:c r="B159" s="33" t="str">
        <x:v>HRF-0158</x:v>
      </x:c>
      <x:c r="C159" s="36" t="str">
        <x:v>北美洲</x:v>
      </x:c>
      <x:c r="D159" s="36" t="str">
        <x:v>United States</x:v>
      </x:c>
      <x:c r="E159" s="21" t="str">
        <x:v>Chicago, Illinois</x:v>
      </x:c>
      <x:c r="F159" s="21" t="str">
        <x:v>John Hancock Center parking-garage fire</x:v>
      </x:c>
      <x:c r="G159" s="39" t="n">
        <x:v>43142</x:v>
      </x:c>
      <x:c r="H159" s="21" t="str">
        <x:v>A vehicle burned on the 7th-floor garage level of the 100-storey mixed-use tower; sprinklers held the fire.</x:v>
      </x:c>
      <x:c r="I159" s="21" t="str">
        <x:v>vehicle fire; detailed ignition cause not stated</x:v>
      </x:c>
      <x:c r="J159" s="21" t="str">
        <x:v>No injuries; about 150 firefighters responded.</x:v>
      </x:c>
      <x:c r="K159" s="21" t="str">
        <x:v>https://www.cbsnews.com/chicago/news/john-hancock-center-parking-garage-car-fire/</x:v>
      </x:c>
      <x:c r="L159" s="27" t="n">
        <x:v>41.8988</x:v>
      </x:c>
      <x:c r="M159" s="27" t="n">
        <x:v>-87.623</x:v>
      </x:c>
      <x:c r="N159" s="21" t="str">
        <x:v>事件/建筑近似点（候选来源提供）</x:v>
      </x:c>
      <x:c r="O159" s="21" t="str">
        <x:v>high-rise building fire</x:v>
      </x:c>
      <x:c r="P159" s="21" t="str">
        <x:v>mixed-use tower parking garage</x:v>
      </x:c>
      <x:c r="Q159" s="21" t="str">
        <x:v>100 floors; 344 m roof / 457 m antenna</x:v>
      </x:c>
      <x:c r="R159" s="21" t="str">
        <x:v>未检索到</x:v>
      </x:c>
      <x:c r="S159" s="21" t="str">
        <x:v>completed 1969</x:v>
      </x:c>
      <x:c r="T159" s="42" t="n">
        <x:v>0</x:v>
      </x:c>
      <x:c r="U159" s="42" t="n">
        <x:v>0</x:v>
      </x:c>
      <x:c r="V159" s="42"/>
      <x:c r="W159" s="33" t="str">
        <x:v>B1</x:v>
      </x:c>
      <x:c r="X159" s="33" t="str">
        <x:v>confirmed</x:v>
      </x:c>
      <x:c r="Y159" s="33" t="str">
        <x:v>严格确认</x:v>
      </x:c>
      <x:c r="Z159" s="21" t="str">
        <x:v>CBS Chicago directly reports date, 7th-floor location, response and no injuries; CTIF also lists the event.</x:v>
      </x:c>
      <x:c r="AA159" s="21" t="str">
        <x:v>区域代理-美洲</x:v>
      </x:c>
      <x:c r="AB159" s="21" t="str">
        <x:v>区域代理-美洲</x:v>
      </x:c>
      <x:c r="AC159" s="21" t="str"/>
      <x:c r="AD159" s="21" t="n">
        <x:v>1</x:v>
      </x:c>
      <x:c r="AE159" s="21" t="str">
        <x:v>可访问(200)</x:v>
      </x:c>
      <x:c r="AF159" s="21" t="str"/>
      <x:c r="AG159" s="24" t="n">
        <x:v>46260</x:v>
      </x:c>
      <x:c r="AH159" s="21" t="str"/>
      <x:c r="AI159" s="21" t="n">
        <x:v>1</x:v>
      </x:c>
      <x:c r="AJ159" s="21" t="str">
        <x:v>未评估（本事件表不建立热浪因果关系）</x:v>
      </x:c>
      <x:c r="AK159" s="21" t="str">
        <x:v>已有来源描述</x:v>
      </x:c>
    </x:row>
    <x:row r="160" ht="42" customHeight="1">
      <x:c r="A160" s="33" t="n">
        <x:v>159</x:v>
      </x:c>
      <x:c r="B160" s="33" t="str">
        <x:v>HRF-0159</x:v>
      </x:c>
      <x:c r="C160" s="36" t="str">
        <x:v>北美洲</x:v>
      </x:c>
      <x:c r="D160" s="36" t="str">
        <x:v>United States</x:v>
      </x:c>
      <x:c r="E160" s="21" t="str">
        <x:v>New York City, New York</x:v>
      </x:c>
      <x:c r="F160" s="21" t="str">
        <x:v>Trump Tower apartment fire</x:v>
      </x:c>
      <x:c r="G160" s="39" t="n">
        <x:v>43197</x:v>
      </x:c>
      <x:c r="H160" s="21" t="str">
        <x:v>A residential-unit fire occurred high in the 58-storey mixed-use tower.</x:v>
      </x:c>
      <x:c r="I160" s="21" t="str">
        <x:v>electrical fire reported; exact initiating failure unresolved</x:v>
      </x:c>
      <x:c r="J160" s="21" t="str">
        <x:v>1 civilian death and 6 firefighter injuries.</x:v>
      </x:c>
      <x:c r="K160" s="21" t="str">
        <x:v>https://ctif.org/sites/default/files/2025-08/CTIF_Report30.pdf</x:v>
      </x:c>
      <x:c r="L160" s="27" t="n">
        <x:v>40.7624</x:v>
      </x:c>
      <x:c r="M160" s="27" t="n">
        <x:v>-73.9738</x:v>
      </x:c>
      <x:c r="N160" s="21" t="str">
        <x:v>事件/建筑近似点（候选来源提供）</x:v>
      </x:c>
      <x:c r="O160" s="21" t="str">
        <x:v>high-rise building fire</x:v>
      </x:c>
      <x:c r="P160" s="21" t="str">
        <x:v>mixed office/residential</x:v>
      </x:c>
      <x:c r="Q160" s="21" t="str">
        <x:v>58 floors; 202 m</x:v>
      </x:c>
      <x:c r="R160" s="21" t="str">
        <x:v>未检索到</x:v>
      </x:c>
      <x:c r="S160" s="21" t="str">
        <x:v>completed 1983</x:v>
      </x:c>
      <x:c r="T160" s="42" t="n">
        <x:v>1</x:v>
      </x:c>
      <x:c r="U160" s="42" t="n">
        <x:v>6</x:v>
      </x:c>
      <x:c r="V160" s="42"/>
      <x:c r="W160" s="33" t="str">
        <x:v>A2</x:v>
      </x:c>
      <x:c r="X160" s="33" t="str">
        <x:v>confirmed</x:v>
      </x:c>
      <x:c r="Y160" s="33" t="str">
        <x:v>严格确认</x:v>
      </x:c>
      <x:c r="Z160" s="21" t="str">
        <x:v>CTIF Table 8.0-13 verifies date/building/casualties.</x:v>
      </x:c>
      <x:c r="AA160" s="21" t="str">
        <x:v>List of fires in high-rise buildings | Wikipedia dynamic high-rise list (candidate discovery) | 区域代理-美洲</x:v>
      </x:c>
      <x:c r="AB160" s="21" t="str">
        <x:v>Wikipedia专题列表 | 区域代理-美洲 | 批量来源代理</x:v>
      </x:c>
      <x:c r="AC160" s="21" t="str">
        <x:v>https://en.wikipedia.org/wiki/List_of_fires_in_high-rise_buildings</x:v>
      </x:c>
      <x:c r="AD160" s="21" t="n">
        <x:v>2</x:v>
      </x:c>
      <x:c r="AE160" s="21" t="str">
        <x:v>可访问(200)</x:v>
      </x:c>
      <x:c r="AF160" s="21" t="str">
        <x:v>https://en.wikipedia.org/wiki/List_of_fires_in_high-rise_buildings =&gt; 可访问(200)</x:v>
      </x:c>
      <x:c r="AG160" s="24" t="n">
        <x:v>46260</x:v>
      </x:c>
      <x:c r="AH160" s="21" t="str"/>
      <x:c r="AI160" s="21" t="n">
        <x:v>1</x:v>
      </x:c>
      <x:c r="AJ160" s="21" t="str">
        <x:v>未评估（本事件表不建立热浪因果关系）</x:v>
      </x:c>
      <x:c r="AK160" s="21" t="str">
        <x:v>已有来源描述</x:v>
      </x:c>
    </x:row>
    <x:row r="161" ht="42" customHeight="1">
      <x:c r="A161" s="33" t="n">
        <x:v>160</x:v>
      </x:c>
      <x:c r="B161" s="33" t="str">
        <x:v>HRF-0160</x:v>
      </x:c>
      <x:c r="C161" s="36" t="str">
        <x:v>北美洲</x:v>
      </x:c>
      <x:c r="D161" s="36" t="str">
        <x:v>United States</x:v>
      </x:c>
      <x:c r="E161" s="21" t="str">
        <x:v>New York City, New York</x:v>
      </x:c>
      <x:c r="F161" s="21" t="str">
        <x:v>AXA Equitable Center helicopter-impact fire</x:v>
      </x:c>
      <x:c r="G161" s="39" t="n">
        <x:v>43626</x:v>
      </x:c>
      <x:c r="H161" s="21" t="str">
        <x:v>A helicopter crashed on the roof of the 54-storey office tower and ignited a fire.</x:v>
      </x:c>
      <x:c r="I161" s="21" t="str">
        <x:v>helicopter crash</x:v>
      </x:c>
      <x:c r="J161" s="21" t="str">
        <x:v>Pilot killed; no other injuries listed by CTIF.</x:v>
      </x:c>
      <x:c r="K161" s="21" t="str">
        <x:v>https://ctif.org/sites/default/files/2025-08/CTIF_Report30.pdf</x:v>
      </x:c>
      <x:c r="L161" s="27" t="n">
        <x:v>40.7616</x:v>
      </x:c>
      <x:c r="M161" s="27" t="n">
        <x:v>-73.9825</x:v>
      </x:c>
      <x:c r="N161" s="21" t="str">
        <x:v>事件/建筑近似点（候选来源提供）</x:v>
      </x:c>
      <x:c r="O161" s="21" t="str">
        <x:v>high-rise building fire</x:v>
      </x:c>
      <x:c r="P161" s="21" t="str">
        <x:v>office</x:v>
      </x:c>
      <x:c r="Q161" s="21" t="str">
        <x:v>54 floors; 229.3 m</x:v>
      </x:c>
      <x:c r="R161" s="21" t="str">
        <x:v>未检索到</x:v>
      </x:c>
      <x:c r="S161" s="21" t="str">
        <x:v>completed 1985</x:v>
      </x:c>
      <x:c r="T161" s="42" t="n">
        <x:v>1</x:v>
      </x:c>
      <x:c r="U161" s="42" t="n">
        <x:v>0</x:v>
      </x:c>
      <x:c r="V161" s="42"/>
      <x:c r="W161" s="33" t="str">
        <x:v>A2</x:v>
      </x:c>
      <x:c r="X161" s="33" t="str">
        <x:v>confirmed</x:v>
      </x:c>
      <x:c r="Y161" s="33" t="str">
        <x:v>严格确认</x:v>
      </x:c>
      <x:c r="Z161" s="21" t="str">
        <x:v>CTIF Table 8.0-13 verifies the event and casualty count.</x:v>
      </x:c>
      <x:c r="AA161" s="21" t="str">
        <x:v>List of fires in high-rise buildings | Wikipedia dynamic high-rise list (candidate discovery) | 区域代理-美洲</x:v>
      </x:c>
      <x:c r="AB161" s="21" t="str">
        <x:v>Wikipedia专题列表 | 区域代理-美洲 | 批量来源代理</x:v>
      </x:c>
      <x:c r="AC161" s="21" t="str">
        <x:v>https://en.wikipedia.org/wiki/List_of_fires_in_high-rise_buildings</x:v>
      </x:c>
      <x:c r="AD161" s="21" t="n">
        <x:v>2</x:v>
      </x:c>
      <x:c r="AE161" s="21" t="str">
        <x:v>可访问(200)</x:v>
      </x:c>
      <x:c r="AF161" s="21" t="str">
        <x:v>https://en.wikipedia.org/wiki/List_of_fires_in_high-rise_buildings =&gt; 可访问(200)</x:v>
      </x:c>
      <x:c r="AG161" s="24" t="n">
        <x:v>46260</x:v>
      </x:c>
      <x:c r="AH161" s="21" t="str"/>
      <x:c r="AI161" s="21" t="n">
        <x:v>1</x:v>
      </x:c>
      <x:c r="AJ161" s="21" t="str">
        <x:v>未评估（本事件表不建立热浪因果关系）</x:v>
      </x:c>
      <x:c r="AK161" s="21" t="str">
        <x:v>已有来源描述</x:v>
      </x:c>
    </x:row>
    <x:row r="162" ht="42" customHeight="1">
      <x:c r="A162" s="33" t="n">
        <x:v>161</x:v>
      </x:c>
      <x:c r="B162" s="33" t="str">
        <x:v>HRF-0161</x:v>
      </x:c>
      <x:c r="C162" s="36" t="str">
        <x:v>北美洲</x:v>
      </x:c>
      <x:c r="D162" s="36" t="str">
        <x:v>United States</x:v>
      </x:c>
      <x:c r="E162" s="21" t="str">
        <x:v>New York City, New York</x:v>
      </x:c>
      <x:c r="F162" s="21" t="str">
        <x:v>Twin Parks North West apartment fire</x:v>
      </x:c>
      <x:c r="G162" s="39" t="n">
        <x:v>44570</x:v>
      </x:c>
      <x:c r="H162" s="21" t="str">
        <x:v>A fire in a third-floor duplex of a 19-storey apartment building spread lethal smoke through open doors and stairs.</x:v>
      </x:c>
      <x:c r="I162" s="21" t="str">
        <x:v>electric space heater ignited a mattress</x:v>
      </x:c>
      <x:c r="J162" s="21" t="str">
        <x:v>17 deaths and 44 injuries.</x:v>
      </x:c>
      <x:c r="K162" s="21" t="str">
        <x:v>https://en.wikipedia.org/wiki/2022_Bronx_apartment_fire</x:v>
      </x:c>
      <x:c r="L162" s="27" t="n">
        <x:v>40.8532</x:v>
      </x:c>
      <x:c r="M162" s="27" t="n">
        <x:v>-73.8897</x:v>
      </x:c>
      <x:c r="N162" s="21" t="str">
        <x:v>事件/建筑近似点（候选来源提供）</x:v>
      </x:c>
      <x:c r="O162" s="21" t="str">
        <x:v>high-rise building fire</x:v>
      </x:c>
      <x:c r="P162" s="21" t="str">
        <x:v>residential</x:v>
      </x:c>
      <x:c r="Q162" s="21" t="str">
        <x:v>19 floors</x:v>
      </x:c>
      <x:c r="R162" s="21" t="str">
        <x:v>未检索到</x:v>
      </x:c>
      <x:c r="S162" s="21" t="str">
        <x:v>completed 1972; older high-rise</x:v>
      </x:c>
      <x:c r="T162" s="42" t="n">
        <x:v>17</x:v>
      </x:c>
      <x:c r="U162" s="42" t="n">
        <x:v>44</x:v>
      </x:c>
      <x:c r="V162" s="42"/>
      <x:c r="W162" s="33" t="str">
        <x:v>B1</x:v>
      </x:c>
      <x:c r="X162" s="33" t="str">
        <x:v>confirmed</x:v>
      </x:c>
      <x:c r="Y162" s="33" t="str">
        <x:v>严格确认</x:v>
      </x:c>
      <x:c r="Z162" s="21" t="str">
        <x:v>CTIF Table 8.0-14 and the dedicated event page agree on date, casualties, cause and high-rise classification.</x:v>
      </x:c>
      <x:c r="AA162" s="21" t="str">
        <x:v>List of fires in high-rise buildings | Wikipedia dynamic high-rise list (candidate discovery) | 区域代理-美洲</x:v>
      </x:c>
      <x:c r="AB162" s="21" t="str">
        <x:v>Wikipedia专题列表 | 区域代理-美洲 | 批量来源代理</x:v>
      </x:c>
      <x:c r="AC162" s="21" t="str">
        <x:v>https://en.wikipedia.org/wiki/List_of_fires_in_high-rise_buildings</x:v>
      </x:c>
      <x:c r="AD162" s="21" t="n">
        <x:v>2</x:v>
      </x:c>
      <x:c r="AE162" s="21" t="str">
        <x:v>可访问(200)</x:v>
      </x:c>
      <x:c r="AF162" s="21" t="str">
        <x:v>https://en.wikipedia.org/wiki/List_of_fires_in_high-rise_buildings =&gt; 可访问(200)</x:v>
      </x:c>
      <x:c r="AG162" s="24" t="n">
        <x:v>46260</x:v>
      </x:c>
      <x:c r="AH162" s="21" t="str"/>
      <x:c r="AI162" s="21" t="n">
        <x:v>1</x:v>
      </x:c>
      <x:c r="AJ162" s="21" t="str">
        <x:v>未评估（本事件表不建立热浪因果关系）</x:v>
      </x:c>
      <x:c r="AK162" s="21" t="str">
        <x:v>已有来源描述</x:v>
      </x:c>
    </x:row>
    <x:row r="163" ht="42" customHeight="1">
      <x:c r="A163" s="33" t="n">
        <x:v>162</x:v>
      </x:c>
      <x:c r="B163" s="33" t="str">
        <x:v>HRF-0162</x:v>
      </x:c>
      <x:c r="C163" s="36" t="str">
        <x:v>北美洲</x:v>
      </x:c>
      <x:c r="D163" s="36" t="str">
        <x:v>United States</x:v>
      </x:c>
      <x:c r="E163" s="21" t="str">
        <x:v>New York City, New York</x:v>
      </x:c>
      <x:c r="F163" s="21" t="str">
        <x:v>RiverCourt lithium-ion battery fire</x:v>
      </x:c>
      <x:c r="G163" s="39" t="n">
        <x:v>44870</x:v>
      </x:c>
      <x:c r="H163" s="21" t="str">
        <x:v>A lithium-ion battery fire in the RiverCourt high-rise required a rope rescue from an upper-floor window.</x:v>
      </x:c>
      <x:c r="I163" s="21" t="str">
        <x:v>lithium-ion battery in an electric bicycle/scooter</x:v>
      </x:c>
      <x:c r="J163" s="21" t="str">
        <x:v>No deaths; 38 injuries, including critical and serious cases.</x:v>
      </x:c>
      <x:c r="K163" s="21" t="str">
        <x:v>https://ctif.org/sites/default/files/2025-08/CTIF_Report30.pdf</x:v>
      </x:c>
      <x:c r="L163" s="27" t="n">
        <x:v>40.7548</x:v>
      </x:c>
      <x:c r="M163" s="27" t="n">
        <x:v>-73.9651</x:v>
      </x:c>
      <x:c r="N163" s="21" t="str">
        <x:v>事件/建筑近似点（候选来源提供）</x:v>
      </x:c>
      <x:c r="O163" s="21" t="str">
        <x:v>high-rise building fire</x:v>
      </x:c>
      <x:c r="P163" s="21" t="str">
        <x:v>residential</x:v>
      </x:c>
      <x:c r="Q163" s="21" t="str">
        <x:v>about 38 floors; 108.1 m</x:v>
      </x:c>
      <x:c r="R163" s="21" t="str">
        <x:v>未检索到</x:v>
      </x:c>
      <x:c r="S163" s="21" t="str">
        <x:v>older residential tower</x:v>
      </x:c>
      <x:c r="T163" s="42" t="n">
        <x:v>0</x:v>
      </x:c>
      <x:c r="U163" s="42" t="n">
        <x:v>38</x:v>
      </x:c>
      <x:c r="V163" s="42"/>
      <x:c r="W163" s="33" t="str">
        <x:v>A2</x:v>
      </x:c>
      <x:c r="X163" s="33" t="str">
        <x:v>confirmed</x:v>
      </x:c>
      <x:c r="Y163" s="33" t="str">
        <x:v>严格确认</x:v>
      </x:c>
      <x:c r="Z163" s="21" t="str">
        <x:v>CTIF Table 8.0-14 verifies date/building/casualties; contemporary reporting attributes the fire to a lithium-ion battery.</x:v>
      </x:c>
      <x:c r="AA163" s="21" t="str">
        <x:v>List of fires in high-rise buildings | Wikipedia dynamic high-rise list (candidate discovery) | 区域代理-美洲</x:v>
      </x:c>
      <x:c r="AB163" s="21" t="str">
        <x:v>Wikipedia专题列表 | 区域代理-美洲 | 批量来源代理</x:v>
      </x:c>
      <x:c r="AC163" s="21" t="str">
        <x:v>https://en.wikipedia.org/wiki/List_of_fires_in_high-rise_buildings</x:v>
      </x:c>
      <x:c r="AD163" s="21" t="n">
        <x:v>2</x:v>
      </x:c>
      <x:c r="AE163" s="21" t="str">
        <x:v>可访问(200)</x:v>
      </x:c>
      <x:c r="AF163" s="21" t="str">
        <x:v>https://en.wikipedia.org/wiki/List_of_fires_in_high-rise_buildings =&gt; 可访问(200)</x:v>
      </x:c>
      <x:c r="AG163" s="24" t="n">
        <x:v>46260</x:v>
      </x:c>
      <x:c r="AH163" s="21" t="str"/>
      <x:c r="AI163" s="21" t="n">
        <x:v>1</x:v>
      </x:c>
      <x:c r="AJ163" s="21" t="str">
        <x:v>未评估（本事件表不建立热浪因果关系）</x:v>
      </x:c>
      <x:c r="AK163" s="21" t="str">
        <x:v>已有来源描述</x:v>
      </x:c>
    </x:row>
    <x:row r="164" ht="42" customHeight="1">
      <x:c r="A164" s="33" t="n">
        <x:v>163</x:v>
      </x:c>
      <x:c r="B164" s="33" t="str">
        <x:v>HRF-0163</x:v>
      </x:c>
      <x:c r="C164" s="36" t="str">
        <x:v>北美洲</x:v>
      </x:c>
      <x:c r="D164" s="36" t="str">
        <x:v>Canada</x:v>
      </x:c>
      <x:c r="E164" s="21" t="str">
        <x:v>Toronto, Ontario</x:v>
      </x:c>
      <x:c r="F164" s="21" t="str">
        <x:v>11 Thorncliffe Park Drive high-rise fire</x:v>
      </x:c>
      <x:c r="G164" s="39" t="n">
        <x:v>45988</x:v>
      </x:c>
      <x:c r="H164" s="21" t="str">
        <x:v>Construction-related fire spread through concealed spaces and into the adjacent tower, displacing residents for weeks.</x:v>
      </x:c>
      <x:c r="I164" s="21" t="str">
        <x:v>construction ignition sources used near combustible materials</x:v>
      </x:c>
      <x:c r="J164" s="21" t="str">
        <x:v>All 408 units across two connected towers were evacuated; no deaths reported.</x:v>
      </x:c>
      <x:c r="K164" s="21" t="str">
        <x:v>https://www.oafc.on.ca/about/announcements/fire-news-headlines/charges-laid-thorncliffe-park-condo-fire-burned-weeks</x:v>
      </x:c>
      <x:c r="L164" s="27" t="n">
        <x:v>43.7045</x:v>
      </x:c>
      <x:c r="M164" s="27" t="n">
        <x:v>-79.349</x:v>
      </x:c>
      <x:c r="N164" s="21" t="str">
        <x:v>事件/建筑近似点（候选来源提供）</x:v>
      </x:c>
      <x:c r="O164" s="21" t="str">
        <x:v>high-rise building fire</x:v>
      </x:c>
      <x:c r="P164" s="21" t="str">
        <x:v>residential condominium</x:v>
      </x:c>
      <x:c r="Q164" s="21" t="str">
        <x:v>11 Thorncliffe section rises 10 floors; connected neighboring high-rise also affected</x:v>
      </x:c>
      <x:c r="R164" s="21" t="str">
        <x:v>未检索到</x:v>
      </x:c>
      <x:c r="S164" s="21" t="str">
        <x:v>existing building; construction work underway</x:v>
      </x:c>
      <x:c r="T164" s="42" t="n">
        <x:v>0</x:v>
      </x:c>
      <x:c r="U164" s="42"/>
      <x:c r="V164" s="42" t="n">
        <x:v>408</x:v>
      </x:c>
      <x:c r="W164" s="33" t="str">
        <x:v>A1</x:v>
      </x:c>
      <x:c r="X164" s="33" t="str">
        <x:v>confirmed</x:v>
      </x:c>
      <x:c r="Y164" s="33" t="str">
        <x:v>严格确认</x:v>
      </x:c>
      <x:c r="Z164" s="21" t="str">
        <x:v>Ontario fire-chief association page reports investigation findings, cause and evacuation. Event occurred after CTIF's 2024 cutoff.</x:v>
      </x:c>
      <x:c r="AA164" s="21" t="str">
        <x:v>List of fires in high-rise buildings | Wikipedia dynamic high-rise list (candidate discovery) | 区域代理-美洲</x:v>
      </x:c>
      <x:c r="AB164" s="21" t="str">
        <x:v>Wikipedia专题列表 | 区域代理-美洲 | 批量来源代理</x:v>
      </x:c>
      <x:c r="AC164" s="21" t="str">
        <x:v>https://en.wikipedia.org/wiki/List_of_fires_in_high-rise_buildings | https://www.ctvnews.ca/toronto/article/several-residents-of-two-thorncliffe-park-condos-displaced-as-crews-battle-stubborn-4-alarm-fire/</x:v>
      </x:c>
      <x:c r="AD164" s="21" t="n">
        <x:v>3</x:v>
      </x:c>
      <x:c r="AE164" s="21" t="str">
        <x:v>可访问(200)</x:v>
      </x:c>
      <x:c r="AF164" s="21" t="str">
        <x:v>https://en.wikipedia.org/wiki/List_of_fires_in_high-rise_buildings =&gt; 可访问(200) | https://www.ctvnews.ca/toronto/article/several-residents-of-two-thorncliffe-park-condos-displaced-as-crews-battle-stubborn-4-alarm-fire/ =&gt; 可访问(200)</x:v>
      </x:c>
      <x:c r="AG164" s="24" t="n">
        <x:v>46260</x:v>
      </x:c>
      <x:c r="AH164" s="21" t="str"/>
      <x:c r="AI164" s="21" t="n">
        <x:v>1</x:v>
      </x:c>
      <x:c r="AJ164" s="21" t="str">
        <x:v>未评估（本事件表不建立热浪因果关系）</x:v>
      </x:c>
      <x:c r="AK164" s="21" t="str">
        <x:v>已有来源描述</x:v>
      </x:c>
    </x:row>
    <x:row r="165" ht="42" customHeight="1">
      <x:c r="A165" s="33" t="n">
        <x:v>164</x:v>
      </x:c>
      <x:c r="B165" s="33" t="str">
        <x:v>HRF-0164</x:v>
      </x:c>
      <x:c r="C165" s="36" t="str">
        <x:v>北美洲</x:v>
      </x:c>
      <x:c r="D165" s="36" t="str">
        <x:v>United States</x:v>
      </x:c>
      <x:c r="E165" s="21" t="str">
        <x:v>New York City, New York</x:v>
      </x:c>
      <x:c r="F165" s="21" t="str">
        <x:v>6 East 43rd Street rooftop high-rise fire</x:v>
      </x:c>
      <x:c r="G165" s="39" t="n">
        <x:v>46098</x:v>
      </x:c>
      <x:c r="H165" s="21" t="str">
        <x:v>A large rooftop fire involving HVAC/generator equipment burned on a Midtown high-rise near the St. Patrick's Day Parade route.</x:v>
      </x:c>
      <x:c r="I165" s="21" t="str">
        <x:v>reported HVAC/backup-generator fire; formal cause under investigation</x:v>
      </x:c>
      <x:c r="J165" s="21" t="str">
        <x:v>No deaths or injuries reported in consulted coverage.</x:v>
      </x:c>
      <x:c r="K165" s="21" t="str">
        <x:v>https://www.cbsnews.com/newyork/news/fire-midtown-manhattan-nyc/</x:v>
      </x:c>
      <x:c r="L165" s="27" t="n">
        <x:v>40.7534</x:v>
      </x:c>
      <x:c r="M165" s="27" t="n">
        <x:v>-73.9797</x:v>
      </x:c>
      <x:c r="N165" s="21" t="str">
        <x:v>事件/建筑近似点（候选来源提供）</x:v>
      </x:c>
      <x:c r="O165" s="21" t="str">
        <x:v>high-rise building fire</x:v>
      </x:c>
      <x:c r="P165" s="21" t="str">
        <x:v>office</x:v>
      </x:c>
      <x:c r="Q165" s="21" t="str">
        <x:v>reported as 28-storey high-rise</x:v>
      </x:c>
      <x:c r="R165" s="21" t="str">
        <x:v>未检索到</x:v>
      </x:c>
      <x:c r="S165" s="21" t="str">
        <x:v>existing building</x:v>
      </x:c>
      <x:c r="T165" s="42" t="n">
        <x:v>0</x:v>
      </x:c>
      <x:c r="U165" s="42" t="n">
        <x:v>0</x:v>
      </x:c>
      <x:c r="V165" s="42"/>
      <x:c r="W165" s="33" t="str">
        <x:v>B1</x:v>
      </x:c>
      <x:c r="X165" s="33" t="str">
        <x:v>confirmed</x:v>
      </x:c>
      <x:c r="Y165" s="33" t="str">
        <x:v>严格确认</x:v>
      </x:c>
      <x:c r="Z165" s="21" t="str">
        <x:v>CBS New York directly verifies date/location/high-rise status; event is within the 2026-08-25 cutoff.</x:v>
      </x:c>
      <x:c r="AA165" s="21" t="str">
        <x:v>List of fires in high-rise buildings | Wikipedia dynamic high-rise list (candidate discovery) | 区域代理-美洲</x:v>
      </x:c>
      <x:c r="AB165" s="21" t="str">
        <x:v>Wikipedia专题列表 | 区域代理-美洲 | 批量来源代理</x:v>
      </x:c>
      <x:c r="AC165" s="21" t="str">
        <x:v>https://en.wikipedia.org/wiki/List_of_fires_in_high-rise_buildings | https://www.fox5ny.com/news/fire-erupts-near-parade-route-midtown</x:v>
      </x:c>
      <x:c r="AD165" s="21" t="n">
        <x:v>3</x:v>
      </x:c>
      <x:c r="AE165" s="21" t="str">
        <x:v>可访问(200)</x:v>
      </x:c>
      <x:c r="AF165" s="21" t="str">
        <x:v>https://en.wikipedia.org/wiki/List_of_fires_in_high-rise_buildings =&gt; 可访问(200) | https://www.fox5ny.com/news/fire-erupts-near-parade-route-midtown =&gt; 可访问(200)</x:v>
      </x:c>
      <x:c r="AG165" s="24" t="n">
        <x:v>46260</x:v>
      </x:c>
      <x:c r="AH165" s="21" t="str"/>
      <x:c r="AI165" s="21" t="n">
        <x:v>1</x:v>
      </x:c>
      <x:c r="AJ165" s="21" t="str">
        <x:v>未评估（本事件表不建立热浪因果关系）</x:v>
      </x:c>
      <x:c r="AK165" s="21" t="str">
        <x:v>已有来源描述</x:v>
      </x:c>
    </x:row>
    <x:row r="166" ht="42" customHeight="1">
      <x:c r="A166" s="33" t="n">
        <x:v>165</x:v>
      </x:c>
      <x:c r="B166" s="33" t="str">
        <x:v>HRF-0165</x:v>
      </x:c>
      <x:c r="C166" s="36" t="str">
        <x:v>南美洲</x:v>
      </x:c>
      <x:c r="D166" s="36" t="str">
        <x:v>Venezuela</x:v>
      </x:c>
      <x:c r="E166" s="21" t="str">
        <x:v>Caracas, Capital District</x:v>
      </x:c>
      <x:c r="F166" s="21" t="str">
        <x:v>Parque Central East Tower fire</x:v>
      </x:c>
      <x:c r="G166" s="39" t="n">
        <x:v>38277</x:v>
      </x:c>
      <x:c r="H166" s="21" t="str">
        <x:v>Fire spread from approximately the 34th to the 50th floors of the 56-storey government office tower.</x:v>
      </x:c>
      <x:c r="I166" s="21" t="str">
        <x:v>not conclusively established in the consulted sources; failed sprinkler/standpipe systems worsened spread</x:v>
      </x:c>
      <x:c r="J166" s="21" t="str">
        <x:v>At least 17 floors heavily damaged; no deaths in CTIF.</x:v>
      </x:c>
      <x:c r="K166" s="21" t="str">
        <x:v>https://en.wikipedia.org/wiki/Parque_Central_Complex_fire</x:v>
      </x:c>
      <x:c r="L166" s="27" t="n">
        <x:v>10.4983</x:v>
      </x:c>
      <x:c r="M166" s="27" t="n">
        <x:v>-66.9022</x:v>
      </x:c>
      <x:c r="N166" s="21" t="str">
        <x:v>事件/建筑近似点（候选来源提供）</x:v>
      </x:c>
      <x:c r="O166" s="21" t="str">
        <x:v>high-rise building fire</x:v>
      </x:c>
      <x:c r="P166" s="21" t="str">
        <x:v>government office</x:v>
      </x:c>
      <x:c r="Q166" s="21" t="str">
        <x:v>56 floors; about 225-255 m</x:v>
      </x:c>
      <x:c r="R166" s="21" t="str">
        <x:v>17</x:v>
      </x:c>
      <x:c r="S166" s="21" t="str">
        <x:v>completed 1983</x:v>
      </x:c>
      <x:c r="T166" s="42" t="n">
        <x:v>0</x:v>
      </x:c>
      <x:c r="U166" s="42" t="n">
        <x:v>25</x:v>
      </x:c>
      <x:c r="V166" s="42"/>
      <x:c r="W166" s="33" t="str">
        <x:v>B1</x:v>
      </x:c>
      <x:c r="X166" s="33" t="str">
        <x:v>confirmed</x:v>
      </x:c>
      <x:c r="Y166" s="33" t="str">
        <x:v>严格确认</x:v>
      </x:c>
      <x:c r="Z166" s="21" t="str">
        <x:v>CTIF Table 8.0-10 and the dedicated event page agree on city/date/high-rise identity; facade-fire lists report 25 injuries, so injury count is left unresolved.</x:v>
      </x:c>
      <x:c r="AA166" s="21" t="str">
        <x:v>List of fires in high-rise buildings | List of high-rise façade fires | Wikipedia dynamic high-rise list (candidate discovery) | Wikipedia high-rise façade list; derived from Bonner et al./news (candidate discovery) | 区域代理-美洲</x:v>
      </x:c>
      <x:c r="AB166" s="21" t="str">
        <x:v>Wikipedia专题列表 | 区域代理-美洲 | 批量来源代理</x:v>
      </x:c>
      <x:c r="AC166" s="21" t="str">
        <x:v>https://en.wikipedia.org/wiki/List_of_fires_in_high-rise_buildings | https://en.wikipedia.org/wiki/List_of_high-rise_fa%C3%A7ade_fires | https://news.bbc.co.uk/2/hi/americas/3751790.stm</x:v>
      </x:c>
      <x:c r="AD166" s="21" t="n">
        <x:v>4</x:v>
      </x:c>
      <x:c r="AE166" s="21" t="str">
        <x:v>可访问(200)</x:v>
      </x:c>
      <x:c r="AF166" s="21" t="str">
        <x:v>https://en.wikipedia.org/wiki/List_of_fires_in_high-rise_buildings =&gt; 可访问(200) | https://en.wikipedia.org/wiki/List_of_high-rise_fa%C3%A7ade_fires =&gt; 可访问(200) | https://news.bbc.co.uk/2/hi/americas/3751790.stm =&gt; 可访问(200)</x:v>
      </x:c>
      <x:c r="AG166" s="24" t="n">
        <x:v>46260</x:v>
      </x:c>
      <x:c r="AH166" s="21" t="str"/>
      <x:c r="AI166" s="21" t="n">
        <x:v>1</x:v>
      </x:c>
      <x:c r="AJ166" s="21" t="str">
        <x:v>未评估（本事件表不建立热浪因果关系）</x:v>
      </x:c>
      <x:c r="AK166" s="21" t="str">
        <x:v>已有来源描述</x:v>
      </x:c>
    </x:row>
    <x:row r="167" ht="42" customHeight="1">
      <x:c r="A167" s="33" t="n">
        <x:v>166</x:v>
      </x:c>
      <x:c r="B167" s="33" t="str">
        <x:v>HRF-0166</x:v>
      </x:c>
      <x:c r="C167" s="36" t="str">
        <x:v>南美洲</x:v>
      </x:c>
      <x:c r="D167" s="36" t="str">
        <x:v>Venezuela</x:v>
      </x:c>
      <x:c r="E167" s="21" t="str">
        <x:v>Caracas, Capital District</x:v>
      </x:c>
      <x:c r="F167" s="21" t="str">
        <x:v>Parque Central West Tower fire</x:v>
      </x:c>
      <x:c r="G167" s="39" t="n">
        <x:v>41590</x:v>
      </x:c>
      <x:c r="H167" s="21" t="str">
        <x:v>A separate fire occurred in the West Tower of the Parque Central high-rise complex.</x:v>
      </x:c>
      <x:c r="I167" s="21" t="str">
        <x:v>not established in consulted source</x:v>
      </x:c>
      <x:c r="J167" s="21" t="str">
        <x:v>No deaths or injuries listed by CTIF.</x:v>
      </x:c>
      <x:c r="K167" s="21" t="str">
        <x:v>https://ctif.org/sites/default/files/2025-08/CTIF_Report30.pdf</x:v>
      </x:c>
      <x:c r="L167" s="27" t="n">
        <x:v>10.498</x:v>
      </x:c>
      <x:c r="M167" s="27" t="n">
        <x:v>-66.9017</x:v>
      </x:c>
      <x:c r="N167" s="21" t="str">
        <x:v>事件/建筑近似点（候选来源提供）</x:v>
      </x:c>
      <x:c r="O167" s="21" t="str">
        <x:v>high-rise building fire</x:v>
      </x:c>
      <x:c r="P167" s="21" t="str">
        <x:v>office</x:v>
      </x:c>
      <x:c r="Q167" s="21" t="str">
        <x:v>about 56-59 floors; about 225 m</x:v>
      </x:c>
      <x:c r="R167" s="21" t="str">
        <x:v>未检索到</x:v>
      </x:c>
      <x:c r="S167" s="21" t="str">
        <x:v>completed 1983</x:v>
      </x:c>
      <x:c r="T167" s="42" t="n">
        <x:v>0</x:v>
      </x:c>
      <x:c r="U167" s="42" t="n">
        <x:v>0</x:v>
      </x:c>
      <x:c r="V167" s="42"/>
      <x:c r="W167" s="33" t="str">
        <x:v>A2</x:v>
      </x:c>
      <x:c r="X167" s="33" t="str">
        <x:v>confirmed_compendium_only</x:v>
      </x:c>
      <x:c r="Y167" s="33" t="str">
        <x:v>严格确认</x:v>
      </x:c>
      <x:c r="Z167" s="21" t="str">
        <x:v>CTIF Table 8.0-12 is the current verification source; more detailed incident reporting is still needed.</x:v>
      </x:c>
      <x:c r="AA167" s="21" t="str">
        <x:v>区域代理-美洲</x:v>
      </x:c>
      <x:c r="AB167" s="21" t="str">
        <x:v>区域代理-美洲</x:v>
      </x:c>
      <x:c r="AC167" s="21" t="str"/>
      <x:c r="AD167" s="21" t="n">
        <x:v>1</x:v>
      </x:c>
      <x:c r="AE167" s="21" t="str">
        <x:v>可访问(200)</x:v>
      </x:c>
      <x:c r="AF167" s="21" t="str"/>
      <x:c r="AG167" s="24" t="n">
        <x:v>46260</x:v>
      </x:c>
      <x:c r="AH167" s="21" t="str"/>
      <x:c r="AI167" s="21" t="n">
        <x:v>1</x:v>
      </x:c>
      <x:c r="AJ167" s="21" t="str">
        <x:v>未评估（本事件表不建立热浪因果关系）</x:v>
      </x:c>
      <x:c r="AK167" s="21" t="str">
        <x:v>已有来源描述</x:v>
      </x:c>
    </x:row>
    <x:row r="168" ht="42" customHeight="1">
      <x:c r="A168" s="33" t="n">
        <x:v>167</x:v>
      </x:c>
      <x:c r="B168" s="33" t="str">
        <x:v>HRF-0167</x:v>
      </x:c>
      <x:c r="C168" s="36" t="str">
        <x:v>南美洲</x:v>
      </x:c>
      <x:c r="D168" s="36" t="str">
        <x:v>Brazil</x:v>
      </x:c>
      <x:c r="E168" s="21" t="str">
        <x:v>São Paulo, São Paulo</x:v>
      </x:c>
      <x:c r="F168" s="21" t="str">
        <x:v>Wilton Paes de Almeida Building fire and collapse</x:v>
      </x:c>
      <x:c r="G168" s="39" t="n">
        <x:v>43220</x:v>
      </x:c>
      <x:c r="H168" s="21" t="str">
        <x:v>Fire engulfed the occupied former office high-rise, which collapsed during the blaze.</x:v>
      </x:c>
      <x:c r="I168" s="21" t="str">
        <x:v>electrical short circuit was widely reported; final cause should be checked against the investigation</x:v>
      </x:c>
      <x:c r="J168" s="21" t="str">
        <x:v>Building collapsed; CTIF lists 7 deaths, while some later summaries report 8.</x:v>
      </x:c>
      <x:c r="K168" s="21" t="str">
        <x:v>https://ctif.org/sites/default/files/2025-08/CTIF_Report30.pdf</x:v>
      </x:c>
      <x:c r="L168" s="27" t="n">
        <x:v>-23.5421</x:v>
      </x:c>
      <x:c r="M168" s="27" t="n">
        <x:v>-46.6364</x:v>
      </x:c>
      <x:c r="N168" s="21" t="str">
        <x:v>事件/建筑近似点（候选来源提供）</x:v>
      </x:c>
      <x:c r="O168" s="21" t="str">
        <x:v>high-rise building fire</x:v>
      </x:c>
      <x:c r="P168" s="21" t="str">
        <x:v>former office; informal residential occupation</x:v>
      </x:c>
      <x:c r="Q168" s="21" t="str">
        <x:v>24 floors; about 79.2 m</x:v>
      </x:c>
      <x:c r="R168" s="21" t="str">
        <x:v>未检索到</x:v>
      </x:c>
      <x:c r="S168" s="21" t="str">
        <x:v>completed 1968; deteriorated/irregularly occupied</x:v>
      </x:c>
      <x:c r="T168" s="42" t="n">
        <x:v>7</x:v>
      </x:c>
      <x:c r="U168" s="42"/>
      <x:c r="V168" s="42"/>
      <x:c r="W168" s="33" t="str">
        <x:v>A2</x:v>
      </x:c>
      <x:c r="X168" s="33" t="str">
        <x:v>confirmed</x:v>
      </x:c>
      <x:c r="Y168" s="33" t="str">
        <x:v>严格确认</x:v>
      </x:c>
      <x:c r="Z168" s="21" t="str">
        <x:v>CTIF Table 8.0-13 verifies 7 deaths; conflicting later totals are explicitly retained in the note.</x:v>
      </x:c>
      <x:c r="AA168" s="21" t="str">
        <x:v>List of fires in high-rise buildings | Wikipedia dynamic high-rise list (candidate discovery) | 区域代理-美洲</x:v>
      </x:c>
      <x:c r="AB168" s="21" t="str">
        <x:v>Wikipedia专题列表 | 区域代理-美洲 | 批量来源代理</x:v>
      </x:c>
      <x:c r="AC168" s="21" t="str">
        <x:v>https://en.wikipedia.org/wiki/List_of_fires_in_high-rise_buildings</x:v>
      </x:c>
      <x:c r="AD168" s="21" t="n">
        <x:v>2</x:v>
      </x:c>
      <x:c r="AE168" s="21" t="str">
        <x:v>可访问(200)</x:v>
      </x:c>
      <x:c r="AF168" s="21" t="str">
        <x:v>https://en.wikipedia.org/wiki/List_of_fires_in_high-rise_buildings =&gt; 可访问(200)</x:v>
      </x:c>
      <x:c r="AG168" s="24" t="n">
        <x:v>46260</x:v>
      </x:c>
      <x:c r="AH168" s="21" t="str"/>
      <x:c r="AI168" s="21" t="n">
        <x:v>1</x:v>
      </x:c>
      <x:c r="AJ168" s="21" t="str">
        <x:v>未评估（本事件表不建立热浪因果关系）</x:v>
      </x:c>
      <x:c r="AK168" s="21" t="str">
        <x:v>已有来源描述</x:v>
      </x:c>
    </x:row>
    <x:row r="169" ht="42" customHeight="1">
      <x:c r="A169" s="33" t="n">
        <x:v>168</x:v>
      </x:c>
      <x:c r="B169" s="33" t="str">
        <x:v>HRF-0168</x:v>
      </x:c>
      <x:c r="C169" s="36" t="str">
        <x:v>南美洲</x:v>
      </x:c>
      <x:c r="D169" s="36" t="str">
        <x:v>Brazil</x:v>
      </x:c>
      <x:c r="E169" s="21" t="str">
        <x:v>Recife, Pernambuco</x:v>
      </x:c>
      <x:c r="F169" s="21" t="str">
        <x:v>Botanik Torre Flora construction fire</x:v>
      </x:c>
      <x:c r="G169" s="39" t="n">
        <x:v>45379</x:v>
      </x:c>
      <x:c r="H169" s="21" t="str">
        <x:v>A large fire affected the upper portion/roof of the high-rise residential building while under construction.</x:v>
      </x:c>
      <x:c r="I169" s="21" t="str">
        <x:v>under investigation</x:v>
      </x:c>
      <x:c r="J169" s="21" t="str">
        <x:v>No deaths or injuries listed by CTIF.</x:v>
      </x:c>
      <x:c r="K169" s="21" t="str">
        <x:v>https://www.creape.org.br/crea-pe-acompanha-andamento-das-investigacoes-e-ensaios-tecnicos-do-predio-incendiado-no-recife/</x:v>
      </x:c>
      <x:c r="L169" s="27" t="n">
        <x:v>-8.0476</x:v>
      </x:c>
      <x:c r="M169" s="27" t="n">
        <x:v>-34.905</x:v>
      </x:c>
      <x:c r="N169" s="21" t="str">
        <x:v>事件/建筑近似点（候选来源提供）</x:v>
      </x:c>
      <x:c r="O169" s="21" t="str">
        <x:v>high-rise building fire</x:v>
      </x:c>
      <x:c r="P169" s="21" t="str">
        <x:v>residential; under construction</x:v>
      </x:c>
      <x:c r="Q169" s="21" t="str">
        <x:v>high-rise; exact floor count unresolved</x:v>
      </x:c>
      <x:c r="R169" s="21" t="str">
        <x:v>未检索到</x:v>
      </x:c>
      <x:c r="S169" s="21" t="str">
        <x:v>under construction</x:v>
      </x:c>
      <x:c r="T169" s="42" t="n">
        <x:v>0</x:v>
      </x:c>
      <x:c r="U169" s="42" t="n">
        <x:v>0</x:v>
      </x:c>
      <x:c r="V169" s="42"/>
      <x:c r="W169" s="33" t="str">
        <x:v>A1</x:v>
      </x:c>
      <x:c r="X169" s="33" t="str">
        <x:v>confirmed_needs_floor_count</x:v>
      </x:c>
      <x:c r="Y169" s="33" t="str">
        <x:v>确认但有待复核字段</x:v>
      </x:c>
      <x:c r="Z169" s="21" t="str">
        <x:v>Crea-PE confirms the building/date/investigation; CTIF Table 8.0-14 classifies it as a high-rise fire. Exact floor count remains to be sourced.</x:v>
      </x:c>
      <x:c r="AA169" s="21" t="str">
        <x:v>List of fires in high-rise buildings | Wikipedia dynamic high-rise list (candidate discovery) | 区域代理-美洲</x:v>
      </x:c>
      <x:c r="AB169" s="21" t="str">
        <x:v>Wikipedia专题列表 | 区域代理-美洲 | 批量来源代理</x:v>
      </x:c>
      <x:c r="AC169" s="21" t="str">
        <x:v>https://en.wikipedia.org/wiki/List_of_fires_in_high-rise_buildings</x:v>
      </x:c>
      <x:c r="AD169" s="21" t="n">
        <x:v>2</x:v>
      </x:c>
      <x:c r="AE169" s="21" t="str">
        <x:v>HTTP错误(404)</x:v>
      </x:c>
      <x:c r="AF169" s="21" t="str">
        <x:v>https://en.wikipedia.org/wiki/List_of_fires_in_high-rise_buildings =&gt; 可访问(200)</x:v>
      </x:c>
      <x:c r="AG169" s="24" t="n">
        <x:v>46260</x:v>
      </x:c>
      <x:c r="AH169" s="21" t="str"/>
      <x:c r="AI169" s="21" t="n">
        <x:v>1</x:v>
      </x:c>
      <x:c r="AJ169" s="21" t="str">
        <x:v>未评估（本事件表不建立热浪因果关系）</x:v>
      </x:c>
      <x:c r="AK169" s="21" t="str">
        <x:v>已有来源描述</x:v>
      </x:c>
    </x:row>
    <x:row r="170" ht="42" customHeight="1">
      <x:c r="A170" s="33" t="n">
        <x:v>169</x:v>
      </x:c>
      <x:c r="B170" s="33" t="str">
        <x:v>HRF-0169</x:v>
      </x:c>
      <x:c r="C170" s="36" t="str">
        <x:v>大洋洲</x:v>
      </x:c>
      <x:c r="D170" s="36" t="str">
        <x:v>Australia</x:v>
      </x:c>
      <x:c r="E170" s="21" t="str">
        <x:v>Fairfield</x:v>
      </x:c>
      <x:c r="F170" s="21" t="str">
        <x:v>Tip Top Bakery fire</x:v>
      </x:c>
      <x:c r="G170" s="39" t="n">
        <x:v>37409</x:v>
      </x:c>
      <x:c r="H170" s="21" t="str">
        <x:v>Tip Top Bakery高层建筑外立面火灾。死亡 0，受伤 1；表中记录的受影响楼层为 1。</x:v>
      </x:c>
      <x:c r="I170" s="21" t="str">
        <x:v>未检索到/待核实</x:v>
      </x:c>
      <x:c r="J170" s="21" t="str">
        <x:v>死亡 0，受伤 1；表中记录的受影响楼层为 1。</x:v>
      </x:c>
      <x:c r="K170" s="21" t="str">
        <x:v>https://doi.org/10.1007%2F978-1-4939-2898-9_4</x:v>
      </x:c>
      <x:c r="L170" s="27" t="n">
        <x:v>-34.89842</x:v>
      </x:c>
      <x:c r="M170" s="27" t="n">
        <x:v>148.85272</x:v>
      </x:c>
      <x:c r="N170" s="21" t="str">
        <x:v>城市代表点（来源明确说明不是火场坐标）</x:v>
      </x:c>
      <x:c r="O170" s="21" t="str">
        <x:v>高层建筑外立面火灾</x:v>
      </x:c>
      <x:c r="P170" s="21" t="str">
        <x:v>未检索到</x:v>
      </x:c>
      <x:c r="Q170" s="21" t="str">
        <x:v>未检索到</x:v>
      </x:c>
      <x:c r="R170" s="21" t="str">
        <x:v>1</x:v>
      </x:c>
      <x:c r="S170" s="21" t="str">
        <x:v>未检索到</x:v>
      </x:c>
      <x:c r="T170" s="42" t="n">
        <x:v>0</x:v>
      </x:c>
      <x:c r="U170" s="42" t="n">
        <x:v>1</x:v>
      </x:c>
      <x:c r="V170" s="42"/>
      <x:c r="W170" s="33" t="str">
        <x:v>C</x:v>
      </x:c>
      <x:c r="X170" s="33" t="str">
        <x:v>compendium_needs_independent_verification</x:v>
      </x:c>
      <x:c r="Y170" s="33" t="str">
        <x:v>专题汇编记录</x:v>
      </x:c>
      <x:c r="Z170" s="21" t="str">
        <x:v>Wikipedia高层专题表；需补充独立来源核验</x:v>
      </x:c>
      <x:c r="AA170" s="21" t="str">
        <x:v>List of high-rise façade fires | Wikipedia high-rise façade list; derived from Bonner et al./news (candidate discovery)</x:v>
      </x:c>
      <x:c r="AB170" s="21" t="str">
        <x:v>Wikipedia专题列表 | 批量来源代理</x:v>
      </x:c>
      <x:c r="AC170" s="21" t="str">
        <x:v>https://en.wikipedia.org/wiki/List_of_high-rise_fa%C3%A7ade_fires</x:v>
      </x:c>
      <x:c r="AD170" s="21" t="n">
        <x:v>2</x:v>
      </x:c>
      <x:c r="AE170" s="21" t="str">
        <x:v>可访问(200)</x:v>
      </x:c>
      <x:c r="AF170" s="21" t="str">
        <x:v>https://en.wikipedia.org/wiki/List_of_high-rise_fa%C3%A7ade_fires =&gt; 可访问(200)</x:v>
      </x:c>
      <x:c r="AG170" s="24" t="n">
        <x:v>46260</x:v>
      </x:c>
      <x:c r="AH170" s="21" t="str"/>
      <x:c r="AI170" s="21" t="n">
        <x:v>1</x:v>
      </x:c>
      <x:c r="AJ170" s="21" t="str">
        <x:v>未评估（本事件表不建立热浪因果关系）</x:v>
      </x:c>
      <x:c r="AK170" s="21" t="str">
        <x:v>缺失/待核实</x:v>
      </x:c>
    </x:row>
    <x:row r="171" ht="42" customHeight="1">
      <x:c r="A171" s="33" t="n">
        <x:v>170</x:v>
      </x:c>
      <x:c r="B171" s="33" t="str">
        <x:v>HRF-0170</x:v>
      </x:c>
      <x:c r="C171" s="36" t="str">
        <x:v>大洋洲</x:v>
      </x:c>
      <x:c r="D171" s="36" t="str">
        <x:v>Australia</x:v>
      </x:c>
      <x:c r="E171" s="21" t="str">
        <x:v>Melbourne</x:v>
      </x:c>
      <x:c r="F171" s="21" t="str">
        <x:v>Lacrosse Apartments fire</x:v>
      </x:c>
      <x:c r="G171" s="39" t="n">
        <x:v>41968</x:v>
      </x:c>
      <x:c r="H171" s="21" t="str">
        <x:v>Lacrosse Apartments高层建筑火灾；建筑高度记录为 未列明。死亡人数：0。Fire started on an 8th floor balcony and rapidly spread up the facade cladding.</x:v>
      </x:c>
      <x:c r="I171" s="21" t="str">
        <x:v>Fire started on an 8th floor balcony and rapidly spread up the facade cladding.</x:v>
      </x:c>
      <x:c r="J171" s="21" t="str">
        <x:v>死亡人数：0。Fire started on an 8th floor balcony and rapidly spread up the facade cladding.</x:v>
      </x:c>
      <x:c r="K171" s="21" t="str">
        <x:v>http://www.theage.com.au/victoria/docklands-apartment-tower-fire-fuelled-by-material-in-buildings-walls-says-mfb-20150427-1mukhx.html</x:v>
      </x:c>
      <x:c r="L171" s="27" t="n">
        <x:v>-37.814</x:v>
      </x:c>
      <x:c r="M171" s="27" t="n">
        <x:v>144.96332</x:v>
      </x:c>
      <x:c r="N171" s="21" t="str">
        <x:v>城市代表点（来源明确说明不是火场坐标）</x:v>
      </x:c>
      <x:c r="O171" s="21" t="str">
        <x:v>高层建筑火灾</x:v>
      </x:c>
      <x:c r="P171" s="21" t="str">
        <x:v>residential</x:v>
      </x:c>
      <x:c r="Q171" s="21" t="str">
        <x:v>未检索到</x:v>
      </x:c>
      <x:c r="R171" s="21" t="str">
        <x:v>16</x:v>
      </x:c>
      <x:c r="S171" s="21" t="str">
        <x:v>未检索到</x:v>
      </x:c>
      <x:c r="T171" s="42" t="n">
        <x:v>0</x:v>
      </x:c>
      <x:c r="U171" s="42" t="n">
        <x:v>0</x:v>
      </x:c>
      <x:c r="V171" s="42"/>
      <x:c r="W171" s="33" t="str">
        <x:v>C</x:v>
      </x:c>
      <x:c r="X171" s="33" t="str">
        <x:v>compendium_needs_independent_verification</x:v>
      </x:c>
      <x:c r="Y171" s="33" t="str">
        <x:v>专题汇编记录</x:v>
      </x:c>
      <x:c r="Z171" s="21" t="str">
        <x:v>Wikipedia高层建筑专题表；需补充独立来源核验</x:v>
      </x:c>
      <x:c r="AA171" s="21" t="str">
        <x:v>List of fires in high-rise buildings | List of high-rise façade fires | Wikipedia dynamic high-rise list (candidate discovery) | Wikipedia high-rise façade list; derived from Bonner et al./news (candidate discovery)</x:v>
      </x:c>
      <x:c r="AB171" s="21" t="str">
        <x:v>Wikipedia专题列表 | 批量来源代理</x:v>
      </x:c>
      <x:c r="AC171" s="21" t="str">
        <x:v>http://www.melbourne.vic.gov.au/sitecollectiondocuments/mbs-report-lacrosse-fire.pdf | https://en.wikipedia.org/wiki/List_of_fires_in_high-rise_buildings | https://en.wikipedia.org/wiki/List_of_high-rise_fa%C3%A7ade_fires</x:v>
      </x:c>
      <x:c r="AD171" s="21" t="n">
        <x:v>4</x:v>
      </x:c>
      <x:c r="AE171" s="21" t="str">
        <x:v>可访问(200)</x:v>
      </x:c>
      <x:c r="AF171" s="21" t="str">
        <x:v>http://www.melbourne.vic.gov.au/sitecollectiondocuments/mbs-report-lacrosse-fire.pdf =&gt; 受限(403) | https://en.wikipedia.org/wiki/List_of_fires_in_high-rise_buildings =&gt; 可访问(200) | https://en.wikipedia.org/wiki/List_of_high-rise_fa%C3%A7ade_fires =&gt; 可访问(200)</x:v>
      </x:c>
      <x:c r="AG171" s="24" t="n">
        <x:v>46260</x:v>
      </x:c>
      <x:c r="AH171" s="21" t="str"/>
      <x:c r="AI171" s="21" t="n">
        <x:v>1</x:v>
      </x:c>
      <x:c r="AJ171" s="21" t="str">
        <x:v>未评估（本事件表不建立热浪因果关系）</x:v>
      </x:c>
      <x:c r="AK171" s="21" t="str">
        <x:v>已有来源描述</x:v>
      </x:c>
    </x:row>
    <x:row r="172" ht="42" customHeight="1">
      <x:c r="A172" s="33" t="n">
        <x:v>171</x:v>
      </x:c>
      <x:c r="B172" s="33" t="str">
        <x:v>HRF-0171</x:v>
      </x:c>
      <x:c r="C172" s="36" t="str">
        <x:v>大洋洲</x:v>
      </x:c>
      <x:c r="D172" s="36" t="str">
        <x:v>Australia</x:v>
      </x:c>
      <x:c r="E172" s="21" t="str">
        <x:v>Melbourne</x:v>
      </x:c>
      <x:c r="F172" s="21" t="str">
        <x:v>Neo 200 fire</x:v>
      </x:c>
      <x:c r="G172" s="39" t="n">
        <x:v>43500</x:v>
      </x:c>
      <x:c r="H172" s="21" t="str">
        <x:v>Neo 200高层建筑外立面火灾。死亡 0，受伤 0；表中记录的受影响楼层为 6。</x:v>
      </x:c>
      <x:c r="I172" s="21" t="str">
        <x:v>未检索到/待核实</x:v>
      </x:c>
      <x:c r="J172" s="21" t="str">
        <x:v>死亡 0，受伤 0；表中记录的受影响楼层为 6。</x:v>
      </x:c>
      <x:c r="K172" s="21" t="str">
        <x:v>https://www.urban.com.au/expert-insights/100106-fire-risks-in-australian-buildings-go-beyond-cladding-jonathan-barnett</x:v>
      </x:c>
      <x:c r="L172" s="27" t="n">
        <x:v>-37.814</x:v>
      </x:c>
      <x:c r="M172" s="27" t="n">
        <x:v>144.96332</x:v>
      </x:c>
      <x:c r="N172" s="21" t="str">
        <x:v>城市代表点（来源明确说明不是火场坐标）</x:v>
      </x:c>
      <x:c r="O172" s="21" t="str">
        <x:v>高层建筑外立面火灾</x:v>
      </x:c>
      <x:c r="P172" s="21" t="str">
        <x:v>未检索到</x:v>
      </x:c>
      <x:c r="Q172" s="21" t="str">
        <x:v>未检索到</x:v>
      </x:c>
      <x:c r="R172" s="21" t="str">
        <x:v>6</x:v>
      </x:c>
      <x:c r="S172" s="21" t="str">
        <x:v>未检索到</x:v>
      </x:c>
      <x:c r="T172" s="42" t="n">
        <x:v>0</x:v>
      </x:c>
      <x:c r="U172" s="42" t="n">
        <x:v>0</x:v>
      </x:c>
      <x:c r="V172" s="42"/>
      <x:c r="W172" s="33" t="str">
        <x:v>C</x:v>
      </x:c>
      <x:c r="X172" s="33" t="str">
        <x:v>compendium_needs_independent_verification</x:v>
      </x:c>
      <x:c r="Y172" s="33" t="str">
        <x:v>专题汇编记录</x:v>
      </x:c>
      <x:c r="Z172" s="21" t="str">
        <x:v>Wikipedia高层专题表；需补充独立来源核验</x:v>
      </x:c>
      <x:c r="AA172" s="21" t="str">
        <x:v>List of high-rise façade fires | Wikipedia high-rise façade list; derived from Bonner et al./news (candidate discovery)</x:v>
      </x:c>
      <x:c r="AB172" s="21" t="str">
        <x:v>Wikipedia专题列表 | 批量来源代理</x:v>
      </x:c>
      <x:c r="AC172" s="21" t="str">
        <x:v>https://en.wikipedia.org/wiki/List_of_high-rise_fa%C3%A7ade_fires</x:v>
      </x:c>
      <x:c r="AD172" s="21" t="n">
        <x:v>2</x:v>
      </x:c>
      <x:c r="AE172" s="21" t="str">
        <x:v>可访问(200)</x:v>
      </x:c>
      <x:c r="AF172" s="21" t="str">
        <x:v>https://en.wikipedia.org/wiki/List_of_high-rise_fa%C3%A7ade_fires =&gt; 可访问(200)</x:v>
      </x:c>
      <x:c r="AG172" s="24" t="n">
        <x:v>46260</x:v>
      </x:c>
      <x:c r="AH172" s="21" t="str"/>
      <x:c r="AI172" s="21" t="n">
        <x:v>1</x:v>
      </x:c>
      <x:c r="AJ172" s="21" t="str">
        <x:v>未评估（本事件表不建立热浪因果关系）</x:v>
      </x:c>
      <x:c r="AK172" s="21" t="str">
        <x:v>缺失/待核实</x:v>
      </x:c>
    </x:row>
    <x:row r="173" ht="42" customHeight="1">
      <x:c r="A173" s="34" t="n">
        <x:v>172</x:v>
      </x:c>
      <x:c r="B173" s="34" t="str">
        <x:v>HRF-0172</x:v>
      </x:c>
      <x:c r="C173" s="37" t="str">
        <x:v>未判定</x:v>
      </x:c>
      <x:c r="D173" s="37" t="str">
        <x:v>未判定</x:v>
      </x:c>
      <x:c r="E173" s="22" t="str">
        <x:v>未检索到</x:v>
      </x:c>
      <x:c r="F173" s="22" t="str">
        <x:v>2009 Lakanal House tower block fire</x:v>
      </x:c>
      <x:c r="G173" s="40" t="n">
        <x:v>39997</x:v>
      </x:c>
      <x:c r="H173" s="22" t="str">
        <x:v>July 3 – 2009 Lakanal House tower block fire in Camberwell, London, killed six.</x:v>
      </x:c>
      <x:c r="I173" s="22" t="str">
        <x:v>未检索到/待核实</x:v>
      </x:c>
      <x:c r="J173" s="22" t="str">
        <x:v>July 3 – 2009 Lakanal House tower block fire in Camberwell, London, killed six.</x:v>
      </x:c>
      <x:c r="K173" s="22" t="str">
        <x:v>https://en.wikipedia.org/wiki/2009_Lakanal_House_tower_block_fire</x:v>
      </x:c>
      <x:c r="L173" s="28"/>
      <x:c r="M173" s="28"/>
      <x:c r="N173" s="22" t="str">
        <x:v>未提供坐标</x:v>
      </x:c>
      <x:c r="O173" s="22" t="str">
        <x:v>建筑/结构火灾</x:v>
      </x:c>
      <x:c r="P173" s="22" t="str">
        <x:v>未检索到</x:v>
      </x:c>
      <x:c r="Q173" s="22" t="str">
        <x:v>未检索到</x:v>
      </x:c>
      <x:c r="R173" s="22" t="str">
        <x:v>未检索到</x:v>
      </x:c>
      <x:c r="S173" s="22" t="str">
        <x:v>未检索到</x:v>
      </x:c>
      <x:c r="T173" s="43"/>
      <x:c r="U173" s="43"/>
      <x:c r="V173" s="43"/>
      <x:c r="W173" s="34" t="str">
        <x:v>B</x:v>
      </x:c>
      <x:c r="X173" s="34" t="str">
        <x:v>candidate_needs_highrise_confirmation</x:v>
      </x:c>
      <x:c r="Y173" s="34" t="str">
        <x:v>候选待核实</x:v>
      </x:c>
      <x:c r="Z173" s="22" t="str">
        <x:v>候选：Wikipedia具名事件页；仍需确认高层属性</x:v>
      </x:c>
      <x:c r="AA173" s="22" t="str">
        <x:v>List of building or structure fires</x:v>
      </x:c>
      <x:c r="AB173" s="22" t="str">
        <x:v>Wikipedia专题列表</x:v>
      </x:c>
      <x:c r="AC173" s="22" t="str"/>
      <x:c r="AD173" s="22" t="n">
        <x:v>1</x:v>
      </x:c>
      <x:c r="AE173" s="22" t="str">
        <x:v>可访问(200)</x:v>
      </x:c>
      <x:c r="AF173" s="22" t="str"/>
      <x:c r="AG173" s="25" t="n">
        <x:v>46260</x:v>
      </x:c>
      <x:c r="AH173" s="22" t="str"/>
      <x:c r="AI173" s="22" t="n">
        <x:v>1</x:v>
      </x:c>
      <x:c r="AJ173" s="22" t="str">
        <x:v>未评估（本事件表不建立热浪因果关系）</x:v>
      </x:c>
      <x:c r="AK173" s="22" t="str">
        <x:v>缺失/待核实</x:v>
      </x:c>
    </x:row>
  </x:sheetData>
  <x:conditionalFormatting sqref="Y2:Y173">
    <x:cfRule type="containsText" dxfId="0" priority="1" operator="containsText" text="严格确认"/>
    <x:cfRule type="containsText" dxfId="1" priority="2" operator="containsText" text="专题汇编"/>
    <x:cfRule type="containsText" dxfId="2" priority="3" operator="containsText" text="候选"/>
    <x:cfRule type="containsText" dxfId="3" priority="4" operator="containsText" text="排除"/>
  </x:conditionalFormatting>
  <x:conditionalFormatting sqref="AE2:AE173">
    <x:cfRule type="beginsWith" dxfId="4" priority="5" operator="beginsWith" text="可访问"/>
    <x:cfRule type="beginsWith" dxfId="5" priority="6" operator="beginsWith" text="受限"/>
    <x:cfRule type="containsText" dxfId="6" priority="7" operator="containsText" text="错误"/>
    <x:cfRule type="containsText" dxfId="7" priority="8" operator="containsText" text="失败"/>
  </x:conditionalFormatting>
  <x:pageMargins left="0.7" right="0.7" top="0.75" bottom="0.75" header="0.3" footer="0.3"/>
  <x:tableParts count="1">
    <x:tablePart xmlns:r="http://schemas.openxmlformats.org/officeDocument/2006/relationships" r:id="Rf3791474bfa7491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10" hidden="0" customWidth="1"/>
    <x:col min="4" max="4" width="18" hidden="0" customWidth="1"/>
    <x:col min="5" max="5" width="33" hidden="0" customWidth="1"/>
    <x:col min="6" max="6" width="36" hidden="0" customWidth="1"/>
    <x:col min="7" max="7" width="13" hidden="0" customWidth="1"/>
    <x:col min="8" max="8" width="52" hidden="0" customWidth="1"/>
    <x:col min="9" max="9" width="42" hidden="0" customWidth="1"/>
    <x:col min="10" max="10" width="50" hidden="0" customWidth="1"/>
    <x:col min="11" max="11" width="52" hidden="0" customWidth="1"/>
    <x:col min="12" max="12" width="12" hidden="0" customWidth="1"/>
    <x:col min="13" max="13" width="12" hidden="0" customWidth="1"/>
    <x:col min="14" max="14" width="30" hidden="0" customWidth="1"/>
    <x:col min="15" max="15" width="24" hidden="0" customWidth="1"/>
    <x:col min="16" max="16" width="18" hidden="0" customWidth="1"/>
    <x:col min="17" max="17" width="23" hidden="0" customWidth="1"/>
    <x:col min="18" max="18" width="18" hidden="0" customWidth="1"/>
    <x:col min="19" max="19" width="30" hidden="0" customWidth="1"/>
    <x:col min="20" max="20" width="11" hidden="0" customWidth="1"/>
    <x:col min="21" max="21" width="11" hidden="0" customWidth="1"/>
    <x:col min="22" max="22" width="11" hidden="0" customWidth="1"/>
    <x:col min="23" max="23" width="11" hidden="0" customWidth="1"/>
    <x:col min="24" max="24" width="33" hidden="0" customWidth="1"/>
    <x:col min="25" max="25" width="22" hidden="0" customWidth="1"/>
    <x:col min="26" max="26" width="48" hidden="0" customWidth="1"/>
    <x:col min="27" max="27" width="35" hidden="0" customWidth="1"/>
    <x:col min="28" max="28" width="25" hidden="0" customWidth="1"/>
    <x:col min="29" max="29" width="55" hidden="0" customWidth="1"/>
    <x:col min="30" max="30" width="12" hidden="0" customWidth="1"/>
    <x:col min="31" max="31" width="20" hidden="0" customWidth="1"/>
    <x:col min="32" max="32" width="55" hidden="0" customWidth="1"/>
    <x:col min="33" max="33" width="13" hidden="0" customWidth="1"/>
    <x:col min="34" max="34" width="22" hidden="0" customWidth="1"/>
    <x:col min="35" max="35" width="12" hidden="0" customWidth="1"/>
    <x:col min="36" max="36" width="36" hidden="0" customWidth="1"/>
    <x:col min="37" max="37" width="17" hidden="0" customWidth="1"/>
  </x:cols>
  <x:sheetData>
    <x:row r="1" ht="34" customHeight="1">
      <x:c r="A1" s="14" t="str">
        <x:v>序号</x:v>
      </x:c>
      <x:c r="B1" s="15" t="str">
        <x:v>记录ID</x:v>
      </x:c>
      <x:c r="C1" s="15" t="str">
        <x:v>洲</x:v>
      </x:c>
      <x:c r="D1" s="15" t="str">
        <x:v>国家/地区</x:v>
      </x:c>
      <x:c r="E1" s="15" t="str">
        <x:v>事件地点（城市/一级/二级行政区）</x:v>
      </x:c>
      <x:c r="F1" s="15" t="str">
        <x:v>事件名称</x:v>
      </x:c>
      <x:c r="G1" s="15" t="str">
        <x:v>发生日期</x:v>
      </x:c>
      <x:c r="H1" s="15" t="str">
        <x:v>事件摘要</x:v>
      </x:c>
      <x:c r="I1" s="15" t="str">
        <x:v>原因</x:v>
      </x:c>
      <x:c r="J1" s="15" t="str">
        <x:v>影响</x:v>
      </x:c>
      <x:c r="K1" s="15" t="str">
        <x:v>URL</x:v>
      </x:c>
      <x:c r="L1" s="15" t="str">
        <x:v>纬度</x:v>
      </x:c>
      <x:c r="M1" s="15" t="str">
        <x:v>经度</x:v>
      </x:c>
      <x:c r="N1" s="15" t="str">
        <x:v>坐标含义</x:v>
      </x:c>
      <x:c r="O1" s="15" t="str">
        <x:v>火灾类型</x:v>
      </x:c>
      <x:c r="P1" s="15" t="str">
        <x:v>建筑用途</x:v>
      </x:c>
      <x:c r="Q1" s="15" t="str">
        <x:v>建筑总层数/高度</x:v>
      </x:c>
      <x:c r="R1" s="15" t="str">
        <x:v>受影响楼层</x:v>
      </x:c>
      <x:c r="S1" s="15" t="str">
        <x:v>建筑年代/老旧状态</x:v>
      </x:c>
      <x:c r="T1" s="15" t="str">
        <x:v>死亡人数</x:v>
      </x:c>
      <x:c r="U1" s="15" t="str">
        <x:v>受伤人数</x:v>
      </x:c>
      <x:c r="V1" s="15" t="str">
        <x:v>疏散人数</x:v>
      </x:c>
      <x:c r="W1" s="15" t="str">
        <x:v>来源等级</x:v>
      </x:c>
      <x:c r="X1" s="15" t="str">
        <x:v>核验状态</x:v>
      </x:c>
      <x:c r="Y1" s="15" t="str">
        <x:v>状态分组</x:v>
      </x:c>
      <x:c r="Z1" s="15" t="str">
        <x:v>来源与定位说明</x:v>
      </x:c>
      <x:c r="AA1" s="15" t="str">
        <x:v>来源数据集</x:v>
      </x:c>
      <x:c r="AB1" s="15" t="str">
        <x:v>采集路径</x:v>
      </x:c>
      <x:c r="AC1" s="15" t="str">
        <x:v>补充URL</x:v>
      </x:c>
      <x:c r="AD1" s="15" t="str">
        <x:v>主来源数</x:v>
      </x:c>
      <x:c r="AE1" s="15" t="str">
        <x:v>主URL访问状态</x:v>
      </x:c>
      <x:c r="AF1" s="15" t="str">
        <x:v>补充URL访问状态</x:v>
      </x:c>
      <x:c r="AG1" s="15" t="str">
        <x:v>检索日期</x:v>
      </x:c>
      <x:c r="AH1" s="15" t="str">
        <x:v>事件组ID</x:v>
      </x:c>
      <x:c r="AI1" s="15" t="str">
        <x:v>独立事件计数</x:v>
      </x:c>
      <x:c r="AJ1" s="15" t="str">
        <x:v>热浪关联证据</x:v>
      </x:c>
      <x:c r="AK1" s="16" t="str">
        <x:v>原因完整性</x:v>
      </x:c>
    </x:row>
    <x:row r="2" ht="42" customHeight="1">
      <x:c r="A2" s="32" t="n">
        <x:v>1</x:v>
      </x:c>
      <x:c r="B2" s="32" t="str">
        <x:v>RAW-0001</x:v>
      </x:c>
      <x:c r="C2" s="35" t="str">
        <x:v>北美洲</x:v>
      </x:c>
      <x:c r="D2" s="35" t="str">
        <x:v>United States</x:v>
      </x:c>
      <x:c r="E2" s="20" t="str">
        <x:v>New York City, New York</x:v>
      </x:c>
      <x:c r="F2" s="20" t="str">
        <x:v>World Trade Center Twin Towers fires</x:v>
      </x:c>
      <x:c r="G2" s="38" t="n">
        <x:v>37145</x:v>
      </x:c>
      <x:c r="H2" s="20" t="str">
        <x:v>Hijacked aircraft impacts ignited large multi-floor fires in both 110-storey towers; both towers collapsed.</x:v>
      </x:c>
      <x:c r="I2" s="20" t="str">
        <x:v>Deliberate aircraft impacts during the September 11 attacks</x:v>
      </x:c>
      <x:c r="J2" s="20" t="str">
        <x:v>Both towers collapsed; CTIF lists 2,312 deaths for the high-rise fire entry.</x:v>
      </x:c>
      <x:c r="K2" s="20" t="str">
        <x:v>https://ctif.org/sites/default/files/2025-08/CTIF_Report30.pdf</x:v>
      </x:c>
      <x:c r="L2" s="26" t="n">
        <x:v>40.7118</x:v>
      </x:c>
      <x:c r="M2" s="26" t="n">
        <x:v>-74.0131</x:v>
      </x:c>
      <x:c r="N2" s="20" t="str">
        <x:v>事件/建筑近似点（候选来源提供）</x:v>
      </x:c>
      <x:c r="O2" s="20" t="str">
        <x:v>high-rise building fire</x:v>
      </x:c>
      <x:c r="P2" s="20" t="str">
        <x:v>office</x:v>
      </x:c>
      <x:c r="Q2" s="20" t="str">
        <x:v>110 floors; 417 m / 415.1 m</x:v>
      </x:c>
      <x:c r="R2" s="20" t="str">
        <x:v>未检索到</x:v>
      </x:c>
      <x:c r="S2" s="20" t="str">
        <x:v>completed 1970-1971; opened 1973</x:v>
      </x:c>
      <x:c r="T2" s="41" t="n">
        <x:v>2312</x:v>
      </x:c>
      <x:c r="U2" s="41"/>
      <x:c r="V2" s="41"/>
      <x:c r="W2" s="32" t="str">
        <x:v>A2</x:v>
      </x:c>
      <x:c r="X2" s="32" t="str">
        <x:v>confirmed</x:v>
      </x:c>
      <x:c r="Y2" s="32" t="str">
        <x:v>候选待核实</x:v>
      </x:c>
      <x:c r="Z2" s="20" t="str">
        <x:v>CTIF Table 8.0-10 verifies building, city, date and death count. Same disaster as the next three WTC building rows; do not count them as independent disasters when aggregating events.</x:v>
      </x:c>
      <x:c r="AA2" s="20" t="str">
        <x:v>区域代理-美洲</x:v>
      </x:c>
      <x:c r="AB2" s="20" t="str">
        <x:v>区域代理-美洲</x:v>
      </x:c>
      <x:c r="AC2" s="20" t="str"/>
      <x:c r="AD2" s="20" t="n">
        <x:v>1</x:v>
      </x:c>
      <x:c r="AE2" s="20" t="str">
        <x:v>未检查</x:v>
      </x:c>
      <x:c r="AF2" s="20" t="str"/>
      <x:c r="AG2" s="23" t="n">
        <x:v>46260</x:v>
      </x:c>
      <x:c r="AH2" s="20" t="str"/>
      <x:c r="AI2" s="20" t="n">
        <x:v>1</x:v>
      </x:c>
      <x:c r="AJ2" s="20" t="str">
        <x:v>未评估（本事件表不建立热浪因果关系）</x:v>
      </x:c>
      <x:c r="AK2" s="20" t="str">
        <x:v>已有来源描述</x:v>
      </x:c>
    </x:row>
    <x:row r="3" ht="42" customHeight="1">
      <x:c r="A3" s="33" t="n">
        <x:v>2</x:v>
      </x:c>
      <x:c r="B3" s="33" t="str">
        <x:v>RAW-0002</x:v>
      </x:c>
      <x:c r="C3" s="36" t="str">
        <x:v>北美洲</x:v>
      </x:c>
      <x:c r="D3" s="36" t="str">
        <x:v>United States</x:v>
      </x:c>
      <x:c r="E3" s="21" t="str">
        <x:v>New York City, New York</x:v>
      </x:c>
      <x:c r="F3" s="21" t="str">
        <x:v>7 World Trade Center fire and collapse</x:v>
      </x:c>
      <x:c r="G3" s="39" t="n">
        <x:v>37145</x:v>
      </x:c>
      <x:c r="H3" s="21" t="str">
        <x:v>Debris from the North Tower ignited fires in the 47-storey office tower, which later collapsed.</x:v>
      </x:c>
      <x:c r="I3" s="21" t="str">
        <x:v>Debris and fire following collapse of 1 WTC</x:v>
      </x:c>
      <x:c r="J3" s="21" t="str">
        <x:v>Building collapsed; no deaths assigned to this building in CTIF.</x:v>
      </x:c>
      <x:c r="K3" s="21" t="str">
        <x:v>https://ctif.org/sites/default/files/2025-08/CTIF_Report30.pdf</x:v>
      </x:c>
      <x:c r="L3" s="27" t="n">
        <x:v>40.7133</x:v>
      </x:c>
      <x:c r="M3" s="27" t="n">
        <x:v>-74.0121</x:v>
      </x:c>
      <x:c r="N3" s="21" t="str">
        <x:v>事件/建筑近似点（候选来源提供）</x:v>
      </x:c>
      <x:c r="O3" s="21" t="str">
        <x:v>high-rise building fire</x:v>
      </x:c>
      <x:c r="P3" s="21" t="str">
        <x:v>office</x:v>
      </x:c>
      <x:c r="Q3" s="21" t="str">
        <x:v>47 floors; about 190 m</x:v>
      </x:c>
      <x:c r="R3" s="21" t="str">
        <x:v>未检索到</x:v>
      </x:c>
      <x:c r="S3" s="21" t="str">
        <x:v>completed 1987</x:v>
      </x:c>
      <x:c r="T3" s="42" t="n">
        <x:v>0</x:v>
      </x:c>
      <x:c r="U3" s="42"/>
      <x:c r="V3" s="42"/>
      <x:c r="W3" s="33" t="str">
        <x:v>A2</x:v>
      </x:c>
      <x:c r="X3" s="33" t="str">
        <x:v>confirmed</x:v>
      </x:c>
      <x:c r="Y3" s="33" t="str">
        <x:v>候选待核实</x:v>
      </x:c>
      <x:c r="Z3" s="21" t="str">
        <x:v>CTIF Table 8.0-10 verifies the high-rise event. Same September 11 disaster as other WTC rows.</x:v>
      </x:c>
      <x:c r="AA3" s="21" t="str">
        <x:v>区域代理-美洲</x:v>
      </x:c>
      <x:c r="AB3" s="21" t="str">
        <x:v>区域代理-美洲</x:v>
      </x:c>
      <x:c r="AC3" s="21" t="str"/>
      <x:c r="AD3" s="21" t="n">
        <x:v>1</x:v>
      </x:c>
      <x:c r="AE3" s="21" t="str">
        <x:v>未检查</x:v>
      </x:c>
      <x:c r="AF3" s="21" t="str"/>
      <x:c r="AG3" s="24" t="n">
        <x:v>46260</x:v>
      </x:c>
      <x:c r="AH3" s="21" t="str"/>
      <x:c r="AI3" s="21" t="n">
        <x:v>1</x:v>
      </x:c>
      <x:c r="AJ3" s="21" t="str">
        <x:v>未评估（本事件表不建立热浪因果关系）</x:v>
      </x:c>
      <x:c r="AK3" s="21" t="str">
        <x:v>已有来源描述</x:v>
      </x:c>
    </x:row>
    <x:row r="4" ht="42" customHeight="1">
      <x:c r="A4" s="33" t="n">
        <x:v>3</x:v>
      </x:c>
      <x:c r="B4" s="33" t="str">
        <x:v>RAW-0003</x:v>
      </x:c>
      <x:c r="C4" s="36" t="str">
        <x:v>北美洲</x:v>
      </x:c>
      <x:c r="D4" s="36" t="str">
        <x:v>United States</x:v>
      </x:c>
      <x:c r="E4" s="21" t="str">
        <x:v>New York City, New York</x:v>
      </x:c>
      <x:c r="F4" s="21" t="str">
        <x:v>90 West Street fire</x:v>
      </x:c>
      <x:c r="G4" s="39" t="n">
        <x:v>37145</x:v>
      </x:c>
      <x:c r="H4" s="21" t="str">
        <x:v>The 23-storey building burned after debris from the South Tower struck the structure.</x:v>
      </x:c>
      <x:c r="I4" s="21" t="str">
        <x:v>Debris and fire following collapse of 2 WTC</x:v>
      </x:c>
      <x:c r="J4" s="21" t="str">
        <x:v>Severe facade/interior damage; CTIF lists 2 deaths.</x:v>
      </x:c>
      <x:c r="K4" s="21" t="str">
        <x:v>https://ctif.org/sites/default/files/2025-08/CTIF_Report30.pdf</x:v>
      </x:c>
      <x:c r="L4" s="27" t="n">
        <x:v>40.7098</x:v>
      </x:c>
      <x:c r="M4" s="27" t="n">
        <x:v>-74.0147</x:v>
      </x:c>
      <x:c r="N4" s="21" t="str">
        <x:v>事件/建筑近似点（候选来源提供）</x:v>
      </x:c>
      <x:c r="O4" s="21" t="str">
        <x:v>high-rise building fire</x:v>
      </x:c>
      <x:c r="P4" s="21" t="str">
        <x:v>office</x:v>
      </x:c>
      <x:c r="Q4" s="21" t="str">
        <x:v>23 floors; 98.76 m</x:v>
      </x:c>
      <x:c r="R4" s="21" t="str">
        <x:v>未检索到</x:v>
      </x:c>
      <x:c r="S4" s="21" t="str">
        <x:v>completed 1907; historic building</x:v>
      </x:c>
      <x:c r="T4" s="42" t="n">
        <x:v>2</x:v>
      </x:c>
      <x:c r="U4" s="42"/>
      <x:c r="V4" s="42"/>
      <x:c r="W4" s="33" t="str">
        <x:v>A2</x:v>
      </x:c>
      <x:c r="X4" s="33" t="str">
        <x:v>confirmed</x:v>
      </x:c>
      <x:c r="Y4" s="33" t="str">
        <x:v>候选待核实</x:v>
      </x:c>
      <x:c r="Z4" s="21" t="str">
        <x:v>CTIF Table 8.0-10 verifies the high-rise event. Same September 11 disaster as other WTC rows.</x:v>
      </x:c>
      <x:c r="AA4" s="21" t="str">
        <x:v>区域代理-美洲</x:v>
      </x:c>
      <x:c r="AB4" s="21" t="str">
        <x:v>区域代理-美洲</x:v>
      </x:c>
      <x:c r="AC4" s="21" t="str"/>
      <x:c r="AD4" s="21" t="n">
        <x:v>1</x:v>
      </x:c>
      <x:c r="AE4" s="21" t="str">
        <x:v>未检查</x:v>
      </x:c>
      <x:c r="AF4" s="21" t="str"/>
      <x:c r="AG4" s="24" t="n">
        <x:v>46260</x:v>
      </x:c>
      <x:c r="AH4" s="21" t="str"/>
      <x:c r="AI4" s="21" t="n">
        <x:v>1</x:v>
      </x:c>
      <x:c r="AJ4" s="21" t="str">
        <x:v>未评估（本事件表不建立热浪因果关系）</x:v>
      </x:c>
      <x:c r="AK4" s="21" t="str">
        <x:v>已有来源描述</x:v>
      </x:c>
    </x:row>
    <x:row r="5" ht="42" customHeight="1">
      <x:c r="A5" s="33" t="n">
        <x:v>4</x:v>
      </x:c>
      <x:c r="B5" s="33" t="str">
        <x:v>RAW-0004</x:v>
      </x:c>
      <x:c r="C5" s="36" t="str">
        <x:v>北美洲</x:v>
      </x:c>
      <x:c r="D5" s="36" t="str">
        <x:v>United States</x:v>
      </x:c>
      <x:c r="E5" s="21" t="str">
        <x:v>New York City, New York</x:v>
      </x:c>
      <x:c r="F5" s="21" t="str">
        <x:v>130 Cedar Street fire</x:v>
      </x:c>
      <x:c r="G5" s="39" t="n">
        <x:v>37145</x:v>
      </x:c>
      <x:c r="H5" s="21" t="str">
        <x:v>The high-rise was damaged and burned after debris from the South Tower struck it.</x:v>
      </x:c>
      <x:c r="I5" s="21" t="str">
        <x:v>Debris and fire following collapse of 2 WTC</x:v>
      </x:c>
      <x:c r="J5" s="21" t="str">
        <x:v>Major damage; CTIF lists no deaths.</x:v>
      </x:c>
      <x:c r="K5" s="21" t="str">
        <x:v>https://ctif.org/sites/default/files/2025-08/CTIF_Report30.pdf</x:v>
      </x:c>
      <x:c r="L5" s="27" t="n">
        <x:v>40.7107</x:v>
      </x:c>
      <x:c r="M5" s="27" t="n">
        <x:v>-74.0135</x:v>
      </x:c>
      <x:c r="N5" s="21" t="str">
        <x:v>事件/建筑近似点（候选来源提供）</x:v>
      </x:c>
      <x:c r="O5" s="21" t="str">
        <x:v>high-rise building fire</x:v>
      </x:c>
      <x:c r="P5" s="21" t="str">
        <x:v>hotel/office</x:v>
      </x:c>
      <x:c r="Q5" s="21" t="str">
        <x:v>about 22 floors; about 50 m</x:v>
      </x:c>
      <x:c r="R5" s="21" t="str">
        <x:v>未检索到</x:v>
      </x:c>
      <x:c r="S5" s="21" t="str">
        <x:v>completed 1931; older building</x:v>
      </x:c>
      <x:c r="T5" s="42" t="n">
        <x:v>0</x:v>
      </x:c>
      <x:c r="U5" s="42"/>
      <x:c r="V5" s="42"/>
      <x:c r="W5" s="33" t="str">
        <x:v>A2</x:v>
      </x:c>
      <x:c r="X5" s="33" t="str">
        <x:v>confirmed</x:v>
      </x:c>
      <x:c r="Y5" s="33" t="str">
        <x:v>候选待核实</x:v>
      </x:c>
      <x:c r="Z5" s="21" t="str">
        <x:v>CTIF Table 8.0-10 verifies the high-rise event. Same September 11 disaster as other WTC rows.</x:v>
      </x:c>
      <x:c r="AA5" s="21" t="str">
        <x:v>区域代理-美洲</x:v>
      </x:c>
      <x:c r="AB5" s="21" t="str">
        <x:v>区域代理-美洲</x:v>
      </x:c>
      <x:c r="AC5" s="21" t="str"/>
      <x:c r="AD5" s="21" t="n">
        <x:v>1</x:v>
      </x:c>
      <x:c r="AE5" s="21" t="str">
        <x:v>未检查</x:v>
      </x:c>
      <x:c r="AF5" s="21" t="str"/>
      <x:c r="AG5" s="24" t="n">
        <x:v>46260</x:v>
      </x:c>
      <x:c r="AH5" s="21" t="str"/>
      <x:c r="AI5" s="21" t="n">
        <x:v>1</x:v>
      </x:c>
      <x:c r="AJ5" s="21" t="str">
        <x:v>未评估（本事件表不建立热浪因果关系）</x:v>
      </x:c>
      <x:c r="AK5" s="21" t="str">
        <x:v>已有来源描述</x:v>
      </x:c>
    </x:row>
    <x:row r="6" ht="42" customHeight="1">
      <x:c r="A6" s="33" t="n">
        <x:v>5</x:v>
      </x:c>
      <x:c r="B6" s="33" t="str">
        <x:v>RAW-0005</x:v>
      </x:c>
      <x:c r="C6" s="36" t="str">
        <x:v>北美洲</x:v>
      </x:c>
      <x:c r="D6" s="36" t="str">
        <x:v>United States</x:v>
      </x:c>
      <x:c r="E6" s="21" t="str">
        <x:v>Clearwater, Florida</x:v>
      </x:c>
      <x:c r="F6" s="21" t="str">
        <x:v>Clearwater condominium high-rise fire</x:v>
      </x:c>
      <x:c r="G6" s="39" t="n">
        <x:v>37435</x:v>
      </x:c>
      <x:c r="H6" s="21" t="str">
        <x:v>A condominium high-rise fire in Clearwater listed by CTIF caused fatalities and injuries.</x:v>
      </x:c>
      <x:c r="I6" s="21" t="str">
        <x:v>not established in the consulted compendium</x:v>
      </x:c>
      <x:c r="J6" s="21" t="str">
        <x:v>CTIF lists 2 deaths and 5 injuries.</x:v>
      </x:c>
      <x:c r="K6" s="21" t="str">
        <x:v>https://ctif.org/sites/default/files/2025-08/CTIF_Report30.pdf</x:v>
      </x:c>
      <x:c r="L6" s="27" t="n">
        <x:v>27.9659</x:v>
      </x:c>
      <x:c r="M6" s="27" t="n">
        <x:v>-82.8001</x:v>
      </x:c>
      <x:c r="N6" s="21" t="str">
        <x:v>事件/建筑近似点（候选来源提供）</x:v>
      </x:c>
      <x:c r="O6" s="21" t="str">
        <x:v>high-rise building fire</x:v>
      </x:c>
      <x:c r="P6" s="21" t="str">
        <x:v>residential condominium</x:v>
      </x:c>
      <x:c r="Q6" s="21" t="str">
        <x:v>high-rise; exact building/floor count unresolved</x:v>
      </x:c>
      <x:c r="R6" s="21" t="str">
        <x:v>未检索到</x:v>
      </x:c>
      <x:c r="S6" s="21" t="str">
        <x:v>unknown</x:v>
      </x:c>
      <x:c r="T6" s="42" t="n">
        <x:v>2</x:v>
      </x:c>
      <x:c r="U6" s="42" t="n">
        <x:v>5</x:v>
      </x:c>
      <x:c r="V6" s="42"/>
      <x:c r="W6" s="33" t="str">
        <x:v>A2</x:v>
      </x:c>
      <x:c r="X6" s="33" t="str">
        <x:v>candidate_needs_height_detail</x:v>
      </x:c>
      <x:c r="Y6" s="33" t="str">
        <x:v>候选待核实</x:v>
      </x:c>
      <x:c r="Z6" s="21" t="str">
        <x:v>CTIF Table 8.0-10 verifies date, city and casualties, but the building identity and height still need a second source.</x:v>
      </x:c>
      <x:c r="AA6" s="21" t="str">
        <x:v>区域代理-美洲</x:v>
      </x:c>
      <x:c r="AB6" s="21" t="str">
        <x:v>区域代理-美洲</x:v>
      </x:c>
      <x:c r="AC6" s="21" t="str"/>
      <x:c r="AD6" s="21" t="n">
        <x:v>1</x:v>
      </x:c>
      <x:c r="AE6" s="21" t="str">
        <x:v>未检查</x:v>
      </x:c>
      <x:c r="AF6" s="21" t="str"/>
      <x:c r="AG6" s="24" t="n">
        <x:v>46260</x:v>
      </x:c>
      <x:c r="AH6" s="21" t="str"/>
      <x:c r="AI6" s="21" t="n">
        <x:v>1</x:v>
      </x:c>
      <x:c r="AJ6" s="21" t="str">
        <x:v>未评估（本事件表不建立热浪因果关系）</x:v>
      </x:c>
      <x:c r="AK6" s="21" t="str">
        <x:v>已有来源描述</x:v>
      </x:c>
    </x:row>
    <x:row r="7" ht="42" customHeight="1">
      <x:c r="A7" s="33" t="n">
        <x:v>6</x:v>
      </x:c>
      <x:c r="B7" s="33" t="str">
        <x:v>RAW-0006</x:v>
      </x:c>
      <x:c r="C7" s="36" t="str">
        <x:v>北美洲</x:v>
      </x:c>
      <x:c r="D7" s="36" t="str">
        <x:v>United States</x:v>
      </x:c>
      <x:c r="E7" s="21" t="str">
        <x:v>Chicago, Illinois</x:v>
      </x:c>
      <x:c r="F7" s="21" t="str">
        <x:v>Cook County Administration Building fire</x:v>
      </x:c>
      <x:c r="G7" s="39" t="n">
        <x:v>37911</x:v>
      </x:c>
      <x:c r="H7" s="21" t="str">
        <x:v>A fire on the 12th floor of a 35-storey government office building filled stairways with smoke.</x:v>
      </x:c>
      <x:c r="I7" s="21" t="str">
        <x:v>Fire began on shelving in a storage room beneath a ceiling light fixture; exact ignition details investigated</x:v>
      </x:c>
      <x:c r="J7" s="21" t="str">
        <x:v>6 deaths; several injuries; smoke spread into locked stairways.</x:v>
      </x:c>
      <x:c r="K7" s="21" t="str">
        <x:v>https://www.nist.gov/el/fire-research-division-73300/firegov-fire-service/video-cook-county-administration-building-fire</x:v>
      </x:c>
      <x:c r="L7" s="27" t="n">
        <x:v>41.8833</x:v>
      </x:c>
      <x:c r="M7" s="27" t="n">
        <x:v>-87.6302</x:v>
      </x:c>
      <x:c r="N7" s="21" t="str">
        <x:v>事件/建筑近似点（候选来源提供）</x:v>
      </x:c>
      <x:c r="O7" s="21" t="str">
        <x:v>high-rise building fire</x:v>
      </x:c>
      <x:c r="P7" s="21" t="str">
        <x:v>government office</x:v>
      </x:c>
      <x:c r="Q7" s="21" t="str">
        <x:v>35 floors</x:v>
      </x:c>
      <x:c r="R7" s="21" t="str">
        <x:v>未检索到</x:v>
      </x:c>
      <x:c r="S7" s="21" t="str">
        <x:v>completed 1964; older unsprinklered high-rise</x:v>
      </x:c>
      <x:c r="T7" s="42" t="n">
        <x:v>6</x:v>
      </x:c>
      <x:c r="U7" s="42" t="n">
        <x:v>7</x:v>
      </x:c>
      <x:c r="V7" s="42"/>
      <x:c r="W7" s="33" t="str">
        <x:v>A1</x:v>
      </x:c>
      <x:c r="X7" s="33" t="str">
        <x:v>confirmed</x:v>
      </x:c>
      <x:c r="Y7" s="33" t="str">
        <x:v>候选待核实</x:v>
      </x:c>
      <x:c r="Z7" s="21" t="str">
        <x:v>NIST and Cook County records independently verify the date, use, floor count and six deaths; CTIF lists 7 injuries.</x:v>
      </x:c>
      <x:c r="AA7" s="21" t="str">
        <x:v>区域代理-美洲</x:v>
      </x:c>
      <x:c r="AB7" s="21" t="str">
        <x:v>区域代理-美洲</x:v>
      </x:c>
      <x:c r="AC7" s="21" t="str"/>
      <x:c r="AD7" s="21" t="n">
        <x:v>1</x:v>
      </x:c>
      <x:c r="AE7" s="21" t="str">
        <x:v>未检查</x:v>
      </x:c>
      <x:c r="AF7" s="21" t="str"/>
      <x:c r="AG7" s="24" t="n">
        <x:v>46260</x:v>
      </x:c>
      <x:c r="AH7" s="21" t="str"/>
      <x:c r="AI7" s="21" t="n">
        <x:v>1</x:v>
      </x:c>
      <x:c r="AJ7" s="21" t="str">
        <x:v>未评估（本事件表不建立热浪因果关系）</x:v>
      </x:c>
      <x:c r="AK7" s="21" t="str">
        <x:v>已有来源描述</x:v>
      </x:c>
    </x:row>
    <x:row r="8" ht="42" customHeight="1">
      <x:c r="A8" s="33" t="n">
        <x:v>7</x:v>
      </x:c>
      <x:c r="B8" s="33" t="str">
        <x:v>RAW-0007</x:v>
      </x:c>
      <x:c r="C8" s="36" t="str">
        <x:v>南美洲</x:v>
      </x:c>
      <x:c r="D8" s="36" t="str">
        <x:v>Venezuela</x:v>
      </x:c>
      <x:c r="E8" s="21" t="str">
        <x:v>Caracas, Capital District</x:v>
      </x:c>
      <x:c r="F8" s="21" t="str">
        <x:v>Parque Central East Tower fire</x:v>
      </x:c>
      <x:c r="G8" s="39" t="n">
        <x:v>38277</x:v>
      </x:c>
      <x:c r="H8" s="21" t="str">
        <x:v>Fire spread from approximately the 34th to the 50th floors of the 56-storey government office tower.</x:v>
      </x:c>
      <x:c r="I8" s="21" t="str">
        <x:v>not conclusively established in the consulted sources; failed sprinkler/standpipe systems worsened spread</x:v>
      </x:c>
      <x:c r="J8" s="21" t="str">
        <x:v>At least 17 floors heavily damaged; no deaths in CTIF.</x:v>
      </x:c>
      <x:c r="K8" s="21" t="str">
        <x:v>https://en.wikipedia.org/wiki/Parque_Central_Complex_fire</x:v>
      </x:c>
      <x:c r="L8" s="27" t="n">
        <x:v>10.4983</x:v>
      </x:c>
      <x:c r="M8" s="27" t="n">
        <x:v>-66.9022</x:v>
      </x:c>
      <x:c r="N8" s="21" t="str">
        <x:v>事件/建筑近似点（候选来源提供）</x:v>
      </x:c>
      <x:c r="O8" s="21" t="str">
        <x:v>high-rise building fire</x:v>
      </x:c>
      <x:c r="P8" s="21" t="str">
        <x:v>government office</x:v>
      </x:c>
      <x:c r="Q8" s="21" t="str">
        <x:v>56 floors; about 225-255 m</x:v>
      </x:c>
      <x:c r="R8" s="21" t="str">
        <x:v>未检索到</x:v>
      </x:c>
      <x:c r="S8" s="21" t="str">
        <x:v>completed 1983</x:v>
      </x:c>
      <x:c r="T8" s="42" t="n">
        <x:v>0</x:v>
      </x:c>
      <x:c r="U8" s="42"/>
      <x:c r="V8" s="42"/>
      <x:c r="W8" s="33" t="str">
        <x:v>B1</x:v>
      </x:c>
      <x:c r="X8" s="33" t="str">
        <x:v>confirmed</x:v>
      </x:c>
      <x:c r="Y8" s="33" t="str">
        <x:v>候选待核实</x:v>
      </x:c>
      <x:c r="Z8" s="21" t="str">
        <x:v>CTIF Table 8.0-10 and the dedicated event page agree on city/date/high-rise identity; facade-fire lists report 25 injuries, so injury count is left unresolved.</x:v>
      </x:c>
      <x:c r="AA8" s="21" t="str">
        <x:v>区域代理-美洲</x:v>
      </x:c>
      <x:c r="AB8" s="21" t="str">
        <x:v>区域代理-美洲</x:v>
      </x:c>
      <x:c r="AC8" s="21" t="str"/>
      <x:c r="AD8" s="21" t="n">
        <x:v>1</x:v>
      </x:c>
      <x:c r="AE8" s="21" t="str">
        <x:v>未检查</x:v>
      </x:c>
      <x:c r="AF8" s="21" t="str"/>
      <x:c r="AG8" s="24" t="n">
        <x:v>46260</x:v>
      </x:c>
      <x:c r="AH8" s="21" t="str"/>
      <x:c r="AI8" s="21" t="n">
        <x:v>1</x:v>
      </x:c>
      <x:c r="AJ8" s="21" t="str">
        <x:v>未评估（本事件表不建立热浪因果关系）</x:v>
      </x:c>
      <x:c r="AK8" s="21" t="str">
        <x:v>已有来源描述</x:v>
      </x:c>
    </x:row>
    <x:row r="9" ht="42" customHeight="1">
      <x:c r="A9" s="33" t="n">
        <x:v>8</x:v>
      </x:c>
      <x:c r="B9" s="33" t="str">
        <x:v>RAW-0008</x:v>
      </x:c>
      <x:c r="C9" s="36" t="str">
        <x:v>北美洲</x:v>
      </x:c>
      <x:c r="D9" s="36" t="str">
        <x:v>United States</x:v>
      </x:c>
      <x:c r="E9" s="21" t="str">
        <x:v>Chicago, Illinois</x:v>
      </x:c>
      <x:c r="F9" s="21" t="str">
        <x:v>LaSalle Bank Building fire</x:v>
      </x:c>
      <x:c r="G9" s="39" t="n">
        <x:v>38328</x:v>
      </x:c>
      <x:c r="H9" s="21" t="str">
        <x:v>Fire originated on the 29th floor of a 45-storey downtown office tower.</x:v>
      </x:c>
      <x:c r="I9" s="21" t="str">
        <x:v>under investigation in contemporary reports</x:v>
      </x:c>
      <x:c r="J9" s="21" t="str">
        <x:v>No deaths; CTIF lists 25 injuries, while CBS/AP reported 37 hurt.</x:v>
      </x:c>
      <x:c r="K9" s="21" t="str">
        <x:v>https://www.cbsnews.com/news/37-hurt-in-chicago-skyscraper-fire/</x:v>
      </x:c>
      <x:c r="L9" s="27" t="n">
        <x:v>41.881</x:v>
      </x:c>
      <x:c r="M9" s="27" t="n">
        <x:v>-87.632</x:v>
      </x:c>
      <x:c r="N9" s="21" t="str">
        <x:v>事件/建筑近似点（候选来源提供）</x:v>
      </x:c>
      <x:c r="O9" s="21" t="str">
        <x:v>high-rise building fire</x:v>
      </x:c>
      <x:c r="P9" s="21" t="str">
        <x:v>office/bank</x:v>
      </x:c>
      <x:c r="Q9" s="21" t="str">
        <x:v>45 floors; 163.1 m</x:v>
      </x:c>
      <x:c r="R9" s="21" t="str">
        <x:v>未检索到</x:v>
      </x:c>
      <x:c r="S9" s="21" t="str">
        <x:v>completed 1934; older high-rise</x:v>
      </x:c>
      <x:c r="T9" s="42" t="n">
        <x:v>0</x:v>
      </x:c>
      <x:c r="U9" s="42" t="n">
        <x:v>25</x:v>
      </x:c>
      <x:c r="V9" s="42"/>
      <x:c r="W9" s="33" t="str">
        <x:v>B1</x:v>
      </x:c>
      <x:c r="X9" s="33" t="str">
        <x:v>confirmed</x:v>
      </x:c>
      <x:c r="Y9" s="33" t="str">
        <x:v>候选待核实</x:v>
      </x:c>
      <x:c r="Z9" s="21" t="str">
        <x:v>CTIF Table 8.0-10 verifies the entry; casualty discrepancy is retained rather than silently harmonized.</x:v>
      </x:c>
      <x:c r="AA9" s="21" t="str">
        <x:v>区域代理-美洲</x:v>
      </x:c>
      <x:c r="AB9" s="21" t="str">
        <x:v>区域代理-美洲</x:v>
      </x:c>
      <x:c r="AC9" s="21" t="str"/>
      <x:c r="AD9" s="21" t="n">
        <x:v>1</x:v>
      </x:c>
      <x:c r="AE9" s="21" t="str">
        <x:v>未检查</x:v>
      </x:c>
      <x:c r="AF9" s="21" t="str"/>
      <x:c r="AG9" s="24" t="n">
        <x:v>46260</x:v>
      </x:c>
      <x:c r="AH9" s="21" t="str"/>
      <x:c r="AI9" s="21" t="n">
        <x:v>1</x:v>
      </x:c>
      <x:c r="AJ9" s="21" t="str">
        <x:v>未评估（本事件表不建立热浪因果关系）</x:v>
      </x:c>
      <x:c r="AK9" s="21" t="str">
        <x:v>已有来源描述</x:v>
      </x:c>
    </x:row>
    <x:row r="10" ht="42" customHeight="1">
      <x:c r="A10" s="33" t="n">
        <x:v>9</x:v>
      </x:c>
      <x:c r="B10" s="33" t="str">
        <x:v>RAW-0009</x:v>
      </x:c>
      <x:c r="C10" s="36" t="str">
        <x:v>北美洲</x:v>
      </x:c>
      <x:c r="D10" s="36" t="str">
        <x:v>United States</x:v>
      </x:c>
      <x:c r="E10" s="21" t="str">
        <x:v>New York City, New York</x:v>
      </x:c>
      <x:c r="F10" s="21" t="str">
        <x:v>Belaire Apartments aircraft-impact fire</x:v>
      </x:c>
      <x:c r="G10" s="39" t="n">
        <x:v>39001</x:v>
      </x:c>
      <x:c r="H10" s="21" t="str">
        <x:v>A small aircraft struck the 50-storey residential tower and ignited a fire.</x:v>
      </x:c>
      <x:c r="I10" s="21" t="str">
        <x:v>small aircraft collision</x:v>
      </x:c>
      <x:c r="J10" s="21" t="str">
        <x:v>2 deaths and 21 injuries listed by CTIF.</x:v>
      </x:c>
      <x:c r="K10" s="21" t="str">
        <x:v>https://ctif.org/sites/default/files/2025-08/CTIF_Report30.pdf</x:v>
      </x:c>
      <x:c r="L10" s="27" t="n">
        <x:v>40.7684</x:v>
      </x:c>
      <x:c r="M10" s="27" t="n">
        <x:v>-73.9557</x:v>
      </x:c>
      <x:c r="N10" s="21" t="str">
        <x:v>事件/建筑近似点（候选来源提供）</x:v>
      </x:c>
      <x:c r="O10" s="21" t="str">
        <x:v>high-rise building fire</x:v>
      </x:c>
      <x:c r="P10" s="21" t="str">
        <x:v>residential</x:v>
      </x:c>
      <x:c r="Q10" s="21" t="str">
        <x:v>50 floors; 156 m</x:v>
      </x:c>
      <x:c r="R10" s="21" t="str">
        <x:v>未检索到</x:v>
      </x:c>
      <x:c r="S10" s="21" t="str">
        <x:v>completed 1988</x:v>
      </x:c>
      <x:c r="T10" s="42" t="n">
        <x:v>2</x:v>
      </x:c>
      <x:c r="U10" s="42" t="n">
        <x:v>21</x:v>
      </x:c>
      <x:c r="V10" s="42"/>
      <x:c r="W10" s="33" t="str">
        <x:v>A2</x:v>
      </x:c>
      <x:c r="X10" s="33" t="str">
        <x:v>confirmed</x:v>
      </x:c>
      <x:c r="Y10" s="33" t="str">
        <x:v>候选待核实</x:v>
      </x:c>
      <x:c r="Z10" s="21" t="str">
        <x:v>CTIF Table 8.0-11 verifies city/date/casualties; high-rise list supplies height and cause.</x:v>
      </x:c>
      <x:c r="AA10" s="21" t="str">
        <x:v>区域代理-美洲</x:v>
      </x:c>
      <x:c r="AB10" s="21" t="str">
        <x:v>区域代理-美洲</x:v>
      </x:c>
      <x:c r="AC10" s="21" t="str"/>
      <x:c r="AD10" s="21" t="n">
        <x:v>1</x:v>
      </x:c>
      <x:c r="AE10" s="21" t="str">
        <x:v>未检查</x:v>
      </x:c>
      <x:c r="AF10" s="21" t="str"/>
      <x:c r="AG10" s="24" t="n">
        <x:v>46260</x:v>
      </x:c>
      <x:c r="AH10" s="21" t="str"/>
      <x:c r="AI10" s="21" t="n">
        <x:v>1</x:v>
      </x:c>
      <x:c r="AJ10" s="21" t="str">
        <x:v>未评估（本事件表不建立热浪因果关系）</x:v>
      </x:c>
      <x:c r="AK10" s="21" t="str">
        <x:v>已有来源描述</x:v>
      </x:c>
    </x:row>
    <x:row r="11" ht="42" customHeight="1">
      <x:c r="A11" s="33" t="n">
        <x:v>10</x:v>
      </x:c>
      <x:c r="B11" s="33" t="str">
        <x:v>RAW-0010</x:v>
      </x:c>
      <x:c r="C11" s="36" t="str">
        <x:v>北美洲</x:v>
      </x:c>
      <x:c r="D11" s="36" t="str">
        <x:v>United States</x:v>
      </x:c>
      <x:c r="E11" s="21" t="str">
        <x:v>New York City, New York</x:v>
      </x:c>
      <x:c r="F11" s="21" t="str">
        <x:v>Deutsche Bank Building fire</x:v>
      </x:c>
      <x:c r="G11" s="39" t="n">
        <x:v>39312</x:v>
      </x:c>
      <x:c r="H11" s="21" t="str">
        <x:v>Fire occurred in a damaged office high-rise while it was being dismantled after 9/11 damage.</x:v>
      </x:c>
      <x:c r="I11" s="21" t="str">
        <x:v>smoking materials were identified in investigations</x:v>
      </x:c>
      <x:c r="J11" s="21" t="str">
        <x:v>2 firefighter deaths; CTIF lists 115 injuries.</x:v>
      </x:c>
      <x:c r="K11" s="21" t="str">
        <x:v>https://ctif.org/sites/default/files/2025-08/CTIF_Report30.pdf</x:v>
      </x:c>
      <x:c r="L11" s="27" t="n">
        <x:v>40.7108</x:v>
      </x:c>
      <x:c r="M11" s="27" t="n">
        <x:v>-74.0138</x:v>
      </x:c>
      <x:c r="N11" s="21" t="str">
        <x:v>事件/建筑近似点（候选来源提供）</x:v>
      </x:c>
      <x:c r="O11" s="21" t="str">
        <x:v>high-rise building fire</x:v>
      </x:c>
      <x:c r="P11" s="21" t="str">
        <x:v>former office; under deconstruction</x:v>
      </x:c>
      <x:c r="Q11" s="21" t="str">
        <x:v>about 39-41 floors; 157.6 m</x:v>
      </x:c>
      <x:c r="R11" s="21" t="str">
        <x:v>未检索到</x:v>
      </x:c>
      <x:c r="S11" s="21" t="str">
        <x:v>completed 1974; severely damaged and being dismantled</x:v>
      </x:c>
      <x:c r="T11" s="42" t="n">
        <x:v>2</x:v>
      </x:c>
      <x:c r="U11" s="42" t="n">
        <x:v>115</x:v>
      </x:c>
      <x:c r="V11" s="42"/>
      <x:c r="W11" s="33" t="str">
        <x:v>A2</x:v>
      </x:c>
      <x:c r="X11" s="33" t="str">
        <x:v>confirmed</x:v>
      </x:c>
      <x:c r="Y11" s="33" t="str">
        <x:v>候选待核实</x:v>
      </x:c>
      <x:c r="Z11" s="21" t="str">
        <x:v>CTIF Table 8.0-11 verifies the event; building status and height are corroborated by the high-rise list.</x:v>
      </x:c>
      <x:c r="AA11" s="21" t="str">
        <x:v>区域代理-美洲</x:v>
      </x:c>
      <x:c r="AB11" s="21" t="str">
        <x:v>区域代理-美洲</x:v>
      </x:c>
      <x:c r="AC11" s="21" t="str"/>
      <x:c r="AD11" s="21" t="n">
        <x:v>1</x:v>
      </x:c>
      <x:c r="AE11" s="21" t="str">
        <x:v>未检查</x:v>
      </x:c>
      <x:c r="AF11" s="21" t="str"/>
      <x:c r="AG11" s="24" t="n">
        <x:v>46260</x:v>
      </x:c>
      <x:c r="AH11" s="21" t="str"/>
      <x:c r="AI11" s="21" t="n">
        <x:v>1</x:v>
      </x:c>
      <x:c r="AJ11" s="21" t="str">
        <x:v>未评估（本事件表不建立热浪因果关系）</x:v>
      </x:c>
      <x:c r="AK11" s="21" t="str">
        <x:v>已有来源描述</x:v>
      </x:c>
    </x:row>
    <x:row r="12" ht="42" customHeight="1">
      <x:c r="A12" s="33" t="n">
        <x:v>11</x:v>
      </x:c>
      <x:c r="B12" s="33" t="str">
        <x:v>RAW-0011</x:v>
      </x:c>
      <x:c r="C12" s="36" t="str">
        <x:v>北美洲</x:v>
      </x:c>
      <x:c r="D12" s="36" t="str">
        <x:v>United States</x:v>
      </x:c>
      <x:c r="E12" s="21" t="str">
        <x:v>Atlantic City, New Jersey</x:v>
      </x:c>
      <x:c r="F12" s="21" t="str">
        <x:v>Water Club Tower construction fire</x:v>
      </x:c>
      <x:c r="G12" s="39" t="n">
        <x:v>39348</x:v>
      </x:c>
      <x:c r="H12" s="21" t="str">
        <x:v>A facade/construction fire affected the 44-storey hotel tower while it was being built.</x:v>
      </x:c>
      <x:c r="I12" s="21" t="str">
        <x:v>construction-related ignition; exact cause needs primary report</x:v>
      </x:c>
      <x:c r="J12" s="21" t="str">
        <x:v>No deaths; facade-fire list records no injuries.</x:v>
      </x:c>
      <x:c r="K12" s="21" t="str">
        <x:v>https://ctif.org/sites/default/files/2025-08/CTIF_Report30.pdf</x:v>
      </x:c>
      <x:c r="L12" s="27" t="n">
        <x:v>39.3786</x:v>
      </x:c>
      <x:c r="M12" s="27" t="n">
        <x:v>-74.4351</x:v>
      </x:c>
      <x:c r="N12" s="21" t="str">
        <x:v>事件/建筑近似点（候选来源提供）</x:v>
      </x:c>
      <x:c r="O12" s="21" t="str">
        <x:v>high-rise building fire</x:v>
      </x:c>
      <x:c r="P12" s="21" t="str">
        <x:v>hotel; under construction</x:v>
      </x:c>
      <x:c r="Q12" s="21" t="str">
        <x:v>44 floors; 125.4 m</x:v>
      </x:c>
      <x:c r="R12" s="21" t="str">
        <x:v>未检索到</x:v>
      </x:c>
      <x:c r="S12" s="21" t="str">
        <x:v>under construction</x:v>
      </x:c>
      <x:c r="T12" s="42" t="n">
        <x:v>0</x:v>
      </x:c>
      <x:c r="U12" s="42" t="n">
        <x:v>0</x:v>
      </x:c>
      <x:c r="V12" s="42"/>
      <x:c r="W12" s="33" t="str">
        <x:v>A2</x:v>
      </x:c>
      <x:c r="X12" s="33" t="str">
        <x:v>confirmed</x:v>
      </x:c>
      <x:c r="Y12" s="33" t="str">
        <x:v>候选待核实</x:v>
      </x:c>
      <x:c r="Z12" s="21" t="str">
        <x:v>CTIF Table 8.0-11 and facade-fire list independently identify the same event.</x:v>
      </x:c>
      <x:c r="AA12" s="21" t="str">
        <x:v>区域代理-美洲</x:v>
      </x:c>
      <x:c r="AB12" s="21" t="str">
        <x:v>区域代理-美洲</x:v>
      </x:c>
      <x:c r="AC12" s="21" t="str"/>
      <x:c r="AD12" s="21" t="n">
        <x:v>1</x:v>
      </x:c>
      <x:c r="AE12" s="21" t="str">
        <x:v>未检查</x:v>
      </x:c>
      <x:c r="AF12" s="21" t="str"/>
      <x:c r="AG12" s="24" t="n">
        <x:v>46260</x:v>
      </x:c>
      <x:c r="AH12" s="21" t="str"/>
      <x:c r="AI12" s="21" t="n">
        <x:v>1</x:v>
      </x:c>
      <x:c r="AJ12" s="21" t="str">
        <x:v>未评估（本事件表不建立热浪因果关系）</x:v>
      </x:c>
      <x:c r="AK12" s="21" t="str">
        <x:v>已有来源描述</x:v>
      </x:c>
    </x:row>
    <x:row r="13" ht="42" customHeight="1">
      <x:c r="A13" s="33" t="n">
        <x:v>12</x:v>
      </x:c>
      <x:c r="B13" s="33" t="str">
        <x:v>RAW-0012</x:v>
      </x:c>
      <x:c r="C13" s="36" t="str">
        <x:v>北美洲</x:v>
      </x:c>
      <x:c r="D13" s="36" t="str">
        <x:v>United States</x:v>
      </x:c>
      <x:c r="E13" s="21" t="str">
        <x:v>Las Vegas, Nevada</x:v>
      </x:c>
      <x:c r="F13" s="21" t="str">
        <x:v>Monte Carlo Resort and Casino facade fire</x:v>
      </x:c>
      <x:c r="G13" s="39" t="n">
        <x:v>39472</x:v>
      </x:c>
      <x:c r="H13" s="21" t="str">
        <x:v>Exterior fire affected upper floors of the 32-storey hotel-casino tower.</x:v>
      </x:c>
      <x:c r="I13" s="21" t="str">
        <x:v>welding operations were reported as the likely ignition source</x:v>
      </x:c>
      <x:c r="J13" s="21" t="str">
        <x:v>No deaths; CTIF lists 13 injuries.</x:v>
      </x:c>
      <x:c r="K13" s="21" t="str">
        <x:v>https://ctif.org/sites/default/files/2025-08/CTIF_Report30.pdf</x:v>
      </x:c>
      <x:c r="L13" s="27" t="n">
        <x:v>36.1031</x:v>
      </x:c>
      <x:c r="M13" s="27" t="n">
        <x:v>-115.1765</x:v>
      </x:c>
      <x:c r="N13" s="21" t="str">
        <x:v>事件/建筑近似点（候选来源提供）</x:v>
      </x:c>
      <x:c r="O13" s="21" t="str">
        <x:v>high-rise building fire</x:v>
      </x:c>
      <x:c r="P13" s="21" t="str">
        <x:v>hotel/casino</x:v>
      </x:c>
      <x:c r="Q13" s="21" t="str">
        <x:v>32 floors; about 110 m</x:v>
      </x:c>
      <x:c r="R13" s="21" t="str">
        <x:v>未检索到</x:v>
      </x:c>
      <x:c r="S13" s="21" t="str">
        <x:v>opened 1996</x:v>
      </x:c>
      <x:c r="T13" s="42" t="n">
        <x:v>0</x:v>
      </x:c>
      <x:c r="U13" s="42" t="n">
        <x:v>13</x:v>
      </x:c>
      <x:c r="V13" s="42"/>
      <x:c r="W13" s="33" t="str">
        <x:v>A2</x:v>
      </x:c>
      <x:c r="X13" s="33" t="str">
        <x:v>confirmed</x:v>
      </x:c>
      <x:c r="Y13" s="33" t="str">
        <x:v>候选待核实</x:v>
      </x:c>
      <x:c r="Z13" s="21" t="str">
        <x:v>CTIF Table 8.0-11 verifies the event; facade-fire list confirms external spread.</x:v>
      </x:c>
      <x:c r="AA13" s="21" t="str">
        <x:v>区域代理-美洲</x:v>
      </x:c>
      <x:c r="AB13" s="21" t="str">
        <x:v>区域代理-美洲</x:v>
      </x:c>
      <x:c r="AC13" s="21" t="str"/>
      <x:c r="AD13" s="21" t="n">
        <x:v>1</x:v>
      </x:c>
      <x:c r="AE13" s="21" t="str">
        <x:v>未检查</x:v>
      </x:c>
      <x:c r="AF13" s="21" t="str"/>
      <x:c r="AG13" s="24" t="n">
        <x:v>46260</x:v>
      </x:c>
      <x:c r="AH13" s="21" t="str"/>
      <x:c r="AI13" s="21" t="n">
        <x:v>1</x:v>
      </x:c>
      <x:c r="AJ13" s="21" t="str">
        <x:v>未评估（本事件表不建立热浪因果关系）</x:v>
      </x:c>
      <x:c r="AK13" s="21" t="str">
        <x:v>已有来源描述</x:v>
      </x:c>
    </x:row>
    <x:row r="14" ht="42" customHeight="1">
      <x:c r="A14" s="33" t="n">
        <x:v>13</x:v>
      </x:c>
      <x:c r="B14" s="33" t="str">
        <x:v>RAW-0013</x:v>
      </x:c>
      <x:c r="C14" s="36" t="str">
        <x:v>北美洲</x:v>
      </x:c>
      <x:c r="D14" s="36" t="str">
        <x:v>Mexico</x:v>
      </x:c>
      <x:c r="E14" s="21" t="str">
        <x:v>Mexico City, Mexico City</x:v>
      </x:c>
      <x:c r="F14" s="21" t="str">
        <x:v>Torre Ejecutiva Pemex explosion and fire</x:v>
      </x:c>
      <x:c r="G14" s="39" t="n">
        <x:v>41305</x:v>
      </x:c>
      <x:c r="H14" s="21" t="str">
        <x:v>An explosion and fire damaged the 14-storey annex of the 54-storey Pemex headquarters complex.</x:v>
      </x:c>
      <x:c r="I14" s="21" t="str">
        <x:v>gas accumulation/explosion reported by investigation</x:v>
      </x:c>
      <x:c r="J14" s="21" t="str">
        <x:v>CTIF lists 37 deaths and 121 injuries; substantial annex damage.</x:v>
      </x:c>
      <x:c r="K14" s="21" t="str">
        <x:v>https://ctif.org/sites/default/files/2025-08/CTIF_Report30.pdf</x:v>
      </x:c>
      <x:c r="L14" s="27" t="n">
        <x:v>19.438</x:v>
      </x:c>
      <x:c r="M14" s="27" t="n">
        <x:v>-99.174</x:v>
      </x:c>
      <x:c r="N14" s="21" t="str">
        <x:v>事件/建筑近似点（候选来源提供）</x:v>
      </x:c>
      <x:c r="O14" s="21" t="str">
        <x:v>high-rise building fire</x:v>
      </x:c>
      <x:c r="P14" s="21" t="str">
        <x:v>office/headquarters</x:v>
      </x:c>
      <x:c r="Q14" s="21" t="str">
        <x:v>54-storey main tower; 214 m; 14-storey annex affected</x:v>
      </x:c>
      <x:c r="R14" s="21" t="str">
        <x:v>未检索到</x:v>
      </x:c>
      <x:c r="S14" s="21" t="str">
        <x:v>completed 1984</x:v>
      </x:c>
      <x:c r="T14" s="42" t="n">
        <x:v>37</x:v>
      </x:c>
      <x:c r="U14" s="42" t="n">
        <x:v>121</x:v>
      </x:c>
      <x:c r="V14" s="42"/>
      <x:c r="W14" s="33" t="str">
        <x:v>A2</x:v>
      </x:c>
      <x:c r="X14" s="33" t="str">
        <x:v>confirmed</x:v>
      </x:c>
      <x:c r="Y14" s="33" t="str">
        <x:v>候选待核实</x:v>
      </x:c>
      <x:c r="Z14" s="21" t="str">
        <x:v>CTIF Table 8.0-12 verifies date/city/casualties. Fire affected the annex but belongs to a high-rise complex.</x:v>
      </x:c>
      <x:c r="AA14" s="21" t="str">
        <x:v>区域代理-美洲</x:v>
      </x:c>
      <x:c r="AB14" s="21" t="str">
        <x:v>区域代理-美洲</x:v>
      </x:c>
      <x:c r="AC14" s="21" t="str"/>
      <x:c r="AD14" s="21" t="n">
        <x:v>1</x:v>
      </x:c>
      <x:c r="AE14" s="21" t="str">
        <x:v>未检查</x:v>
      </x:c>
      <x:c r="AF14" s="21" t="str"/>
      <x:c r="AG14" s="24" t="n">
        <x:v>46260</x:v>
      </x:c>
      <x:c r="AH14" s="21" t="str"/>
      <x:c r="AI14" s="21" t="n">
        <x:v>1</x:v>
      </x:c>
      <x:c r="AJ14" s="21" t="str">
        <x:v>未评估（本事件表不建立热浪因果关系）</x:v>
      </x:c>
      <x:c r="AK14" s="21" t="str">
        <x:v>已有来源描述</x:v>
      </x:c>
    </x:row>
    <x:row r="15" ht="42" customHeight="1">
      <x:c r="A15" s="33" t="n">
        <x:v>14</x:v>
      </x:c>
      <x:c r="B15" s="33" t="str">
        <x:v>RAW-0014</x:v>
      </x:c>
      <x:c r="C15" s="36" t="str">
        <x:v>南美洲</x:v>
      </x:c>
      <x:c r="D15" s="36" t="str">
        <x:v>Venezuela</x:v>
      </x:c>
      <x:c r="E15" s="21" t="str">
        <x:v>Caracas, Capital District</x:v>
      </x:c>
      <x:c r="F15" s="21" t="str">
        <x:v>Parque Central West Tower fire</x:v>
      </x:c>
      <x:c r="G15" s="39" t="n">
        <x:v>41590</x:v>
      </x:c>
      <x:c r="H15" s="21" t="str">
        <x:v>A separate fire occurred in the West Tower of the Parque Central high-rise complex.</x:v>
      </x:c>
      <x:c r="I15" s="21" t="str">
        <x:v>not established in consulted source</x:v>
      </x:c>
      <x:c r="J15" s="21" t="str">
        <x:v>No deaths or injuries listed by CTIF.</x:v>
      </x:c>
      <x:c r="K15" s="21" t="str">
        <x:v>https://ctif.org/sites/default/files/2025-08/CTIF_Report30.pdf</x:v>
      </x:c>
      <x:c r="L15" s="27" t="n">
        <x:v>10.498</x:v>
      </x:c>
      <x:c r="M15" s="27" t="n">
        <x:v>-66.9017</x:v>
      </x:c>
      <x:c r="N15" s="21" t="str">
        <x:v>事件/建筑近似点（候选来源提供）</x:v>
      </x:c>
      <x:c r="O15" s="21" t="str">
        <x:v>high-rise building fire</x:v>
      </x:c>
      <x:c r="P15" s="21" t="str">
        <x:v>office</x:v>
      </x:c>
      <x:c r="Q15" s="21" t="str">
        <x:v>about 56-59 floors; about 225 m</x:v>
      </x:c>
      <x:c r="R15" s="21" t="str">
        <x:v>未检索到</x:v>
      </x:c>
      <x:c r="S15" s="21" t="str">
        <x:v>completed 1983</x:v>
      </x:c>
      <x:c r="T15" s="42" t="n">
        <x:v>0</x:v>
      </x:c>
      <x:c r="U15" s="42" t="n">
        <x:v>0</x:v>
      </x:c>
      <x:c r="V15" s="42"/>
      <x:c r="W15" s="33" t="str">
        <x:v>A2</x:v>
      </x:c>
      <x:c r="X15" s="33" t="str">
        <x:v>confirmed_compendium_only</x:v>
      </x:c>
      <x:c r="Y15" s="33" t="str">
        <x:v>候选待核实</x:v>
      </x:c>
      <x:c r="Z15" s="21" t="str">
        <x:v>CTIF Table 8.0-12 is the current verification source; more detailed incident reporting is still needed.</x:v>
      </x:c>
      <x:c r="AA15" s="21" t="str">
        <x:v>区域代理-美洲</x:v>
      </x:c>
      <x:c r="AB15" s="21" t="str">
        <x:v>区域代理-美洲</x:v>
      </x:c>
      <x:c r="AC15" s="21" t="str"/>
      <x:c r="AD15" s="21" t="n">
        <x:v>1</x:v>
      </x:c>
      <x:c r="AE15" s="21" t="str">
        <x:v>未检查</x:v>
      </x:c>
      <x:c r="AF15" s="21" t="str"/>
      <x:c r="AG15" s="24" t="n">
        <x:v>46260</x:v>
      </x:c>
      <x:c r="AH15" s="21" t="str"/>
      <x:c r="AI15" s="21" t="n">
        <x:v>1</x:v>
      </x:c>
      <x:c r="AJ15" s="21" t="str">
        <x:v>未评估（本事件表不建立热浪因果关系）</x:v>
      </x:c>
      <x:c r="AK15" s="21" t="str">
        <x:v>已有来源描述</x:v>
      </x:c>
    </x:row>
    <x:row r="16" ht="42" customHeight="1">
      <x:c r="A16" s="33" t="n">
        <x:v>15</x:v>
      </x:c>
      <x:c r="B16" s="33" t="str">
        <x:v>RAW-0015</x:v>
      </x:c>
      <x:c r="C16" s="36" t="str">
        <x:v>北美洲</x:v>
      </x:c>
      <x:c r="D16" s="36" t="str">
        <x:v>United States</x:v>
      </x:c>
      <x:c r="E16" s="21" t="str">
        <x:v>New York City, New York</x:v>
      </x:c>
      <x:c r="F16" s="21" t="str">
        <x:v>The Strand condominium fire</x:v>
      </x:c>
      <x:c r="G16" s="39" t="n">
        <x:v>41644</x:v>
      </x:c>
      <x:c r="H16" s="21" t="str">
        <x:v>A three-alarm fire began in a 20th-floor apartment of the 41-storey condominium.</x:v>
      </x:c>
      <x:c r="I16" s="21" t="str">
        <x:v>ruled accidental; exact ignition item not established in consulted source</x:v>
      </x:c>
      <x:c r="J16" s="21" t="str">
        <x:v>1 death and at least 1 critical injury.</x:v>
      </x:c>
      <x:c r="K16" s="21" t="str">
        <x:v>https://www.cbsnews.com/newyork/news/3-alarm-blaze-breaks-out-on-west-side/</x:v>
      </x:c>
      <x:c r="L16" s="27" t="n">
        <x:v>40.7603</x:v>
      </x:c>
      <x:c r="M16" s="27" t="n">
        <x:v>-73.9954</x:v>
      </x:c>
      <x:c r="N16" s="21" t="str">
        <x:v>事件/建筑近似点（候选来源提供）</x:v>
      </x:c>
      <x:c r="O16" s="21" t="str">
        <x:v>high-rise building fire</x:v>
      </x:c>
      <x:c r="P16" s="21" t="str">
        <x:v>residential condominium</x:v>
      </x:c>
      <x:c r="Q16" s="21" t="str">
        <x:v>41 floors</x:v>
      </x:c>
      <x:c r="R16" s="21" t="str">
        <x:v>未检索到</x:v>
      </x:c>
      <x:c r="S16" s="21" t="str">
        <x:v>completed 1989</x:v>
      </x:c>
      <x:c r="T16" s="42" t="n">
        <x:v>1</x:v>
      </x:c>
      <x:c r="U16" s="42" t="n">
        <x:v>1</x:v>
      </x:c>
      <x:c r="V16" s="42"/>
      <x:c r="W16" s="33" t="str">
        <x:v>B1</x:v>
      </x:c>
      <x:c r="X16" s="33" t="str">
        <x:v>confirmed</x:v>
      </x:c>
      <x:c r="Y16" s="33" t="str">
        <x:v>候选待核实</x:v>
      </x:c>
      <x:c r="Z16" s="21" t="str">
        <x:v>CBS reports the date, address, 20th-floor origin and fatality; CTIF independently lists the event.</x:v>
      </x:c>
      <x:c r="AA16" s="21" t="str">
        <x:v>区域代理-美洲</x:v>
      </x:c>
      <x:c r="AB16" s="21" t="str">
        <x:v>区域代理-美洲</x:v>
      </x:c>
      <x:c r="AC16" s="21" t="str"/>
      <x:c r="AD16" s="21" t="n">
        <x:v>1</x:v>
      </x:c>
      <x:c r="AE16" s="21" t="str">
        <x:v>未检查</x:v>
      </x:c>
      <x:c r="AF16" s="21" t="str"/>
      <x:c r="AG16" s="24" t="n">
        <x:v>46260</x:v>
      </x:c>
      <x:c r="AH16" s="21" t="str"/>
      <x:c r="AI16" s="21" t="n">
        <x:v>1</x:v>
      </x:c>
      <x:c r="AJ16" s="21" t="str">
        <x:v>未评估（本事件表不建立热浪因果关系）</x:v>
      </x:c>
      <x:c r="AK16" s="21" t="str">
        <x:v>已有来源描述</x:v>
      </x:c>
    </x:row>
    <x:row r="17" ht="42" customHeight="1">
      <x:c r="A17" s="33" t="n">
        <x:v>16</x:v>
      </x:c>
      <x:c r="B17" s="33" t="str">
        <x:v>RAW-0016</x:v>
      </x:c>
      <x:c r="C17" s="36" t="str">
        <x:v>北美洲</x:v>
      </x:c>
      <x:c r="D17" s="36" t="str">
        <x:v>United States</x:v>
      </x:c>
      <x:c r="E17" s="21" t="str">
        <x:v>New York City, New York</x:v>
      </x:c>
      <x:c r="F17" s="21" t="str">
        <x:v>One57 loading-dock fire</x:v>
      </x:c>
      <x:c r="G17" s="39" t="n">
        <x:v>41713</x:v>
      </x:c>
      <x:c r="H17" s="21" t="str">
        <x:v>A fire at the base/loading area of the 75-storey tower spread into a courtyard and adjacent property.</x:v>
      </x:c>
      <x:c r="I17" s="21" t="str">
        <x:v>not established in the consulted compendium</x:v>
      </x:c>
      <x:c r="J17" s="21" t="str">
        <x:v>No deaths listed by CTIF.</x:v>
      </x:c>
      <x:c r="K17" s="21" t="str">
        <x:v>https://ctif.org/sites/default/files/2025-08/CTIF_Report30.pdf</x:v>
      </x:c>
      <x:c r="L17" s="27" t="n">
        <x:v>40.7653</x:v>
      </x:c>
      <x:c r="M17" s="27" t="n">
        <x:v>-73.9792</x:v>
      </x:c>
      <x:c r="N17" s="21" t="str">
        <x:v>事件/建筑近似点（候选来源提供）</x:v>
      </x:c>
      <x:c r="O17" s="21" t="str">
        <x:v>high-rise building fire</x:v>
      </x:c>
      <x:c r="P17" s="21" t="str">
        <x:v>residential tower; construction-phase context</x:v>
      </x:c>
      <x:c r="Q17" s="21" t="str">
        <x:v>75 floors; 306 m</x:v>
      </x:c>
      <x:c r="R17" s="21" t="str">
        <x:v>未检索到</x:v>
      </x:c>
      <x:c r="S17" s="21" t="str">
        <x:v>completed 2014</x:v>
      </x:c>
      <x:c r="T17" s="42" t="n">
        <x:v>0</x:v>
      </x:c>
      <x:c r="U17" s="42"/>
      <x:c r="V17" s="42"/>
      <x:c r="W17" s="33" t="str">
        <x:v>A2</x:v>
      </x:c>
      <x:c r="X17" s="33" t="str">
        <x:v>confirmed_fire_at_highrise_base</x:v>
      </x:c>
      <x:c r="Y17" s="33" t="str">
        <x:v>候选待核实</x:v>
      </x:c>
      <x:c r="Z17" s="21" t="str">
        <x:v>CTIF Table 8.0-12 verifies the high-rise event. Fire was at the base, so retain a spatial-scope flag.</x:v>
      </x:c>
      <x:c r="AA17" s="21" t="str">
        <x:v>区域代理-美洲</x:v>
      </x:c>
      <x:c r="AB17" s="21" t="str">
        <x:v>区域代理-美洲</x:v>
      </x:c>
      <x:c r="AC17" s="21" t="str"/>
      <x:c r="AD17" s="21" t="n">
        <x:v>1</x:v>
      </x:c>
      <x:c r="AE17" s="21" t="str">
        <x:v>未检查</x:v>
      </x:c>
      <x:c r="AF17" s="21" t="str"/>
      <x:c r="AG17" s="24" t="n">
        <x:v>46260</x:v>
      </x:c>
      <x:c r="AH17" s="21" t="str"/>
      <x:c r="AI17" s="21" t="n">
        <x:v>1</x:v>
      </x:c>
      <x:c r="AJ17" s="21" t="str">
        <x:v>未评估（本事件表不建立热浪因果关系）</x:v>
      </x:c>
      <x:c r="AK17" s="21" t="str">
        <x:v>已有来源描述</x:v>
      </x:c>
    </x:row>
    <x:row r="18" ht="42" customHeight="1">
      <x:c r="A18" s="33" t="n">
        <x:v>17</x:v>
      </x:c>
      <x:c r="B18" s="33" t="str">
        <x:v>RAW-0017</x:v>
      </x:c>
      <x:c r="C18" s="36" t="str">
        <x:v>北美洲</x:v>
      </x:c>
      <x:c r="D18" s="36" t="str">
        <x:v>United States</x:v>
      </x:c>
      <x:c r="E18" s="21" t="str">
        <x:v>Castle Hills, Texas</x:v>
      </x:c>
      <x:c r="F18" s="21" t="str">
        <x:v>The Wedgwood senior-apartment fire</x:v>
      </x:c>
      <x:c r="G18" s="39" t="n">
        <x:v>42001</x:v>
      </x:c>
      <x:c r="H18" s="21" t="str">
        <x:v>A fire in an 11-storey senior living high-rise caused extensive smoke spread.</x:v>
      </x:c>
      <x:c r="I18" s="21" t="str">
        <x:v>not established in consulted source</x:v>
      </x:c>
      <x:c r="J18" s="21" t="str">
        <x:v>5 deaths; injury count unresolved.</x:v>
      </x:c>
      <x:c r="K18" s="21" t="str">
        <x:v>https://ctif.org/sites/default/files/2025-08/CTIF_Report30.pdf</x:v>
      </x:c>
      <x:c r="L18" s="27" t="n">
        <x:v>29.5252</x:v>
      </x:c>
      <x:c r="M18" s="27" t="n">
        <x:v>-98.5148</x:v>
      </x:c>
      <x:c r="N18" s="21" t="str">
        <x:v>事件/建筑近似点（候选来源提供）</x:v>
      </x:c>
      <x:c r="O18" s="21" t="str">
        <x:v>high-rise building fire</x:v>
      </x:c>
      <x:c r="P18" s="21" t="str">
        <x:v>senior residential</x:v>
      </x:c>
      <x:c r="Q18" s="21" t="str">
        <x:v>11 floors; about 30 m</x:v>
      </x:c>
      <x:c r="R18" s="21" t="str">
        <x:v>未检索到</x:v>
      </x:c>
      <x:c r="S18" s="21" t="str">
        <x:v>older building; built in the 1960s</x:v>
      </x:c>
      <x:c r="T18" s="42" t="n">
        <x:v>5</x:v>
      </x:c>
      <x:c r="U18" s="42"/>
      <x:c r="V18" s="42"/>
      <x:c r="W18" s="33" t="str">
        <x:v>A2</x:v>
      </x:c>
      <x:c r="X18" s="33" t="str">
        <x:v>confirmed</x:v>
      </x:c>
      <x:c r="Y18" s="33" t="str">
        <x:v>候选待核实</x:v>
      </x:c>
      <x:c r="Z18" s="21" t="str">
        <x:v>CTIF Table 8.0-12 verifies date/city/deaths and high-rise classification.</x:v>
      </x:c>
      <x:c r="AA18" s="21" t="str">
        <x:v>区域代理-美洲</x:v>
      </x:c>
      <x:c r="AB18" s="21" t="str">
        <x:v>区域代理-美洲</x:v>
      </x:c>
      <x:c r="AC18" s="21" t="str"/>
      <x:c r="AD18" s="21" t="n">
        <x:v>1</x:v>
      </x:c>
      <x:c r="AE18" s="21" t="str">
        <x:v>未检查</x:v>
      </x:c>
      <x:c r="AF18" s="21" t="str"/>
      <x:c r="AG18" s="24" t="n">
        <x:v>46260</x:v>
      </x:c>
      <x:c r="AH18" s="21" t="str"/>
      <x:c r="AI18" s="21" t="n">
        <x:v>1</x:v>
      </x:c>
      <x:c r="AJ18" s="21" t="str">
        <x:v>未评估（本事件表不建立热浪因果关系）</x:v>
      </x:c>
      <x:c r="AK18" s="21" t="str">
        <x:v>已有来源描述</x:v>
      </x:c>
    </x:row>
    <x:row r="19" ht="42" customHeight="1">
      <x:c r="A19" s="33" t="n">
        <x:v>18</x:v>
      </x:c>
      <x:c r="B19" s="33" t="str">
        <x:v>RAW-0018</x:v>
      </x:c>
      <x:c r="C19" s="36" t="str">
        <x:v>北美洲</x:v>
      </x:c>
      <x:c r="D19" s="36" t="str">
        <x:v>United States</x:v>
      </x:c>
      <x:c r="E19" s="21" t="str">
        <x:v>Las Vegas, Nevada</x:v>
      </x:c>
      <x:c r="F19" s="21" t="str">
        <x:v>Cosmopolitan of Las Vegas pool-deck fire</x:v>
      </x:c>
      <x:c r="G19" s="39" t="n">
        <x:v>42210</x:v>
      </x:c>
      <x:c r="H19" s="21" t="str">
        <x:v>Cabanas and artificial vegetation burned on a high outdoor pool deck of the hotel tower.</x:v>
      </x:c>
      <x:c r="I19" s="21" t="str">
        <x:v>unknown/undetermined in consulted sources</x:v>
      </x:c>
      <x:c r="J19" s="21" t="str">
        <x:v>No deaths; 2 smoke-inhalation injuries listed by CTIF.</x:v>
      </x:c>
      <x:c r="K19" s="21" t="str">
        <x:v>https://ctif.org/sites/default/files/2025-08/CTIF_Report30.pdf</x:v>
      </x:c>
      <x:c r="L19" s="27" t="n">
        <x:v>36.1099</x:v>
      </x:c>
      <x:c r="M19" s="27" t="n">
        <x:v>-115.1745</x:v>
      </x:c>
      <x:c r="N19" s="21" t="str">
        <x:v>事件/建筑近似点（候选来源提供）</x:v>
      </x:c>
      <x:c r="O19" s="21" t="str">
        <x:v>high-rise building fire</x:v>
      </x:c>
      <x:c r="P19" s="21" t="str">
        <x:v>hotel/casino</x:v>
      </x:c>
      <x:c r="Q19" s="21" t="str">
        <x:v>52 floors; about 184 m</x:v>
      </x:c>
      <x:c r="R19" s="21" t="str">
        <x:v>未检索到</x:v>
      </x:c>
      <x:c r="S19" s="21" t="str">
        <x:v>opened 2010</x:v>
      </x:c>
      <x:c r="T19" s="42" t="n">
        <x:v>0</x:v>
      </x:c>
      <x:c r="U19" s="42" t="n">
        <x:v>2</x:v>
      </x:c>
      <x:c r="V19" s="42"/>
      <x:c r="W19" s="33" t="str">
        <x:v>A2</x:v>
      </x:c>
      <x:c r="X19" s="33" t="str">
        <x:v>confirmed_fire_on_highrise_podium</x:v>
      </x:c>
      <x:c r="Y19" s="33" t="str">
        <x:v>候选待核实</x:v>
      </x:c>
      <x:c r="Z19" s="21" t="str">
        <x:v>CTIF Table 8.0-13 verifies the event. Fire was on a pool deck rather than within occupied floors.</x:v>
      </x:c>
      <x:c r="AA19" s="21" t="str">
        <x:v>区域代理-美洲</x:v>
      </x:c>
      <x:c r="AB19" s="21" t="str">
        <x:v>区域代理-美洲</x:v>
      </x:c>
      <x:c r="AC19" s="21" t="str"/>
      <x:c r="AD19" s="21" t="n">
        <x:v>1</x:v>
      </x:c>
      <x:c r="AE19" s="21" t="str">
        <x:v>未检查</x:v>
      </x:c>
      <x:c r="AF19" s="21" t="str"/>
      <x:c r="AG19" s="24" t="n">
        <x:v>46260</x:v>
      </x:c>
      <x:c r="AH19" s="21" t="str"/>
      <x:c r="AI19" s="21" t="n">
        <x:v>1</x:v>
      </x:c>
      <x:c r="AJ19" s="21" t="str">
        <x:v>未评估（本事件表不建立热浪因果关系）</x:v>
      </x:c>
      <x:c r="AK19" s="21" t="str">
        <x:v>缺失/待核实</x:v>
      </x:c>
    </x:row>
    <x:row r="20" ht="42" customHeight="1">
      <x:c r="A20" s="33" t="n">
        <x:v>19</x:v>
      </x:c>
      <x:c r="B20" s="33" t="str">
        <x:v>RAW-0019</x:v>
      </x:c>
      <x:c r="C20" s="36" t="str">
        <x:v>北美洲</x:v>
      </x:c>
      <x:c r="D20" s="36" t="str">
        <x:v>United States</x:v>
      </x:c>
      <x:c r="E20" s="21" t="str">
        <x:v>Chicago, Illinois</x:v>
      </x:c>
      <x:c r="F20" s="21" t="str">
        <x:v>John Hancock Center 50th-floor fire</x:v>
      </x:c>
      <x:c r="G20" s="39" t="n">
        <x:v>42329</x:v>
      </x:c>
      <x:c r="H20" s="21" t="str">
        <x:v>A two-alarm fire broke out on the 50th floor of the 100-storey mixed-use tower.</x:v>
      </x:c>
      <x:c r="I20" s="21" t="str">
        <x:v>not established in consulted source</x:v>
      </x:c>
      <x:c r="J20" s="21" t="str">
        <x:v>No deaths; CTIF lists 5 injuries.</x:v>
      </x:c>
      <x:c r="K20" s="21" t="str">
        <x:v>https://ctif.org/sites/default/files/2025-08/CTIF_Report30.pdf</x:v>
      </x:c>
      <x:c r="L20" s="27" t="n">
        <x:v>41.8988</x:v>
      </x:c>
      <x:c r="M20" s="27" t="n">
        <x:v>-87.623</x:v>
      </x:c>
      <x:c r="N20" s="21" t="str">
        <x:v>事件/建筑近似点（候选来源提供）</x:v>
      </x:c>
      <x:c r="O20" s="21" t="str">
        <x:v>high-rise building fire</x:v>
      </x:c>
      <x:c r="P20" s="21" t="str">
        <x:v>mixed office/residential/observation</x:v>
      </x:c>
      <x:c r="Q20" s="21" t="str">
        <x:v>100 floors; 344 m roof / 457 m antenna</x:v>
      </x:c>
      <x:c r="R20" s="21" t="str">
        <x:v>未检索到</x:v>
      </x:c>
      <x:c r="S20" s="21" t="str">
        <x:v>completed 1969</x:v>
      </x:c>
      <x:c r="T20" s="42" t="n">
        <x:v>0</x:v>
      </x:c>
      <x:c r="U20" s="42" t="n">
        <x:v>5</x:v>
      </x:c>
      <x:c r="V20" s="42"/>
      <x:c r="W20" s="33" t="str">
        <x:v>A2</x:v>
      </x:c>
      <x:c r="X20" s="33" t="str">
        <x:v>confirmed</x:v>
      </x:c>
      <x:c r="Y20" s="33" t="str">
        <x:v>候选待核实</x:v>
      </x:c>
      <x:c r="Z20" s="21" t="str">
        <x:v>CTIF Table 8.0-13 verifies the date, building and casualties.</x:v>
      </x:c>
      <x:c r="AA20" s="21" t="str">
        <x:v>区域代理-美洲</x:v>
      </x:c>
      <x:c r="AB20" s="21" t="str">
        <x:v>区域代理-美洲</x:v>
      </x:c>
      <x:c r="AC20" s="21" t="str"/>
      <x:c r="AD20" s="21" t="n">
        <x:v>1</x:v>
      </x:c>
      <x:c r="AE20" s="21" t="str">
        <x:v>未检查</x:v>
      </x:c>
      <x:c r="AF20" s="21" t="str"/>
      <x:c r="AG20" s="24" t="n">
        <x:v>46260</x:v>
      </x:c>
      <x:c r="AH20" s="21" t="str"/>
      <x:c r="AI20" s="21" t="n">
        <x:v>1</x:v>
      </x:c>
      <x:c r="AJ20" s="21" t="str">
        <x:v>未评估（本事件表不建立热浪因果关系）</x:v>
      </x:c>
      <x:c r="AK20" s="21" t="str">
        <x:v>已有来源描述</x:v>
      </x:c>
    </x:row>
    <x:row r="21" ht="42" customHeight="1">
      <x:c r="A21" s="33" t="n">
        <x:v>20</x:v>
      </x:c>
      <x:c r="B21" s="33" t="str">
        <x:v>RAW-0020</x:v>
      </x:c>
      <x:c r="C21" s="36" t="str">
        <x:v>北美洲</x:v>
      </x:c>
      <x:c r="D21" s="36" t="str">
        <x:v>United States</x:v>
      </x:c>
      <x:c r="E21" s="21" t="str">
        <x:v>Honolulu, Hawaii</x:v>
      </x:c>
      <x:c r="F21" s="21" t="str">
        <x:v>Marco Polo condominium fire</x:v>
      </x:c>
      <x:c r="G21" s="39" t="n">
        <x:v>42930</x:v>
      </x:c>
      <x:c r="H21" s="21" t="str">
        <x:v>Fire started on the 26th floor of a 36-storey condominium and spread to additional floors.</x:v>
      </x:c>
      <x:c r="I21" s="21" t="str">
        <x:v>undetermined</x:v>
      </x:c>
      <x:c r="J21" s="21" t="str">
        <x:v>4 deaths, 13 injuries and more than 200 units damaged or affected.</x:v>
      </x:c>
      <x:c r="K21" s="21" t="str">
        <x:v>https://en.wikipedia.org/wiki/Marco_Polo_condo_fire</x:v>
      </x:c>
      <x:c r="L21" s="27" t="n">
        <x:v>21.2883</x:v>
      </x:c>
      <x:c r="M21" s="27" t="n">
        <x:v>-157.826</x:v>
      </x:c>
      <x:c r="N21" s="21" t="str">
        <x:v>事件/建筑近似点（候选来源提供）</x:v>
      </x:c>
      <x:c r="O21" s="21" t="str">
        <x:v>high-rise building fire</x:v>
      </x:c>
      <x:c r="P21" s="21" t="str">
        <x:v>residential condominium</x:v>
      </x:c>
      <x:c r="Q21" s="21" t="str">
        <x:v>36 floors; 118.8 m</x:v>
      </x:c>
      <x:c r="R21" s="21" t="str">
        <x:v>未检索到</x:v>
      </x:c>
      <x:c r="S21" s="21" t="str">
        <x:v>completed 1971; older unsprinklered high-rise</x:v>
      </x:c>
      <x:c r="T21" s="42" t="n">
        <x:v>4</x:v>
      </x:c>
      <x:c r="U21" s="42" t="n">
        <x:v>13</x:v>
      </x:c>
      <x:c r="V21" s="42"/>
      <x:c r="W21" s="33" t="str">
        <x:v>B1</x:v>
      </x:c>
      <x:c r="X21" s="33" t="str">
        <x:v>confirmed</x:v>
      </x:c>
      <x:c r="Y21" s="33" t="str">
        <x:v>候选待核实</x:v>
      </x:c>
      <x:c r="Z21" s="21" t="str">
        <x:v>Dedicated page and CTIF Table 8.0-13 agree on date and 4 deaths/13 injuries; the generic high-rise list displayed an outdated 3-death count.</x:v>
      </x:c>
      <x:c r="AA21" s="21" t="str">
        <x:v>区域代理-美洲</x:v>
      </x:c>
      <x:c r="AB21" s="21" t="str">
        <x:v>区域代理-美洲</x:v>
      </x:c>
      <x:c r="AC21" s="21" t="str"/>
      <x:c r="AD21" s="21" t="n">
        <x:v>1</x:v>
      </x:c>
      <x:c r="AE21" s="21" t="str">
        <x:v>未检查</x:v>
      </x:c>
      <x:c r="AF21" s="21" t="str"/>
      <x:c r="AG21" s="24" t="n">
        <x:v>46260</x:v>
      </x:c>
      <x:c r="AH21" s="21" t="str"/>
      <x:c r="AI21" s="21" t="n">
        <x:v>1</x:v>
      </x:c>
      <x:c r="AJ21" s="21" t="str">
        <x:v>未评估（本事件表不建立热浪因果关系）</x:v>
      </x:c>
      <x:c r="AK21" s="21" t="str">
        <x:v>已有来源描述</x:v>
      </x:c>
    </x:row>
    <x:row r="22" ht="42" customHeight="1">
      <x:c r="A22" s="33" t="n">
        <x:v>21</x:v>
      </x:c>
      <x:c r="B22" s="33" t="str">
        <x:v>RAW-0021</x:v>
      </x:c>
      <x:c r="C22" s="36" t="str">
        <x:v>北美洲</x:v>
      </x:c>
      <x:c r="D22" s="36" t="str">
        <x:v>United States</x:v>
      </x:c>
      <x:c r="E22" s="21" t="str">
        <x:v>Chicago, Illinois</x:v>
      </x:c>
      <x:c r="F22" s="21" t="str">
        <x:v>John Hancock Center parking-garage fire</x:v>
      </x:c>
      <x:c r="G22" s="39" t="n">
        <x:v>43142</x:v>
      </x:c>
      <x:c r="H22" s="21" t="str">
        <x:v>A vehicle burned on the 7th-floor garage level of the 100-storey mixed-use tower; sprinklers held the fire.</x:v>
      </x:c>
      <x:c r="I22" s="21" t="str">
        <x:v>vehicle fire; detailed ignition cause not stated</x:v>
      </x:c>
      <x:c r="J22" s="21" t="str">
        <x:v>No injuries; about 150 firefighters responded.</x:v>
      </x:c>
      <x:c r="K22" s="21" t="str">
        <x:v>https://www.cbsnews.com/chicago/news/john-hancock-center-parking-garage-car-fire/</x:v>
      </x:c>
      <x:c r="L22" s="27" t="n">
        <x:v>41.8988</x:v>
      </x:c>
      <x:c r="M22" s="27" t="n">
        <x:v>-87.623</x:v>
      </x:c>
      <x:c r="N22" s="21" t="str">
        <x:v>事件/建筑近似点（候选来源提供）</x:v>
      </x:c>
      <x:c r="O22" s="21" t="str">
        <x:v>high-rise building fire</x:v>
      </x:c>
      <x:c r="P22" s="21" t="str">
        <x:v>mixed-use tower parking garage</x:v>
      </x:c>
      <x:c r="Q22" s="21" t="str">
        <x:v>100 floors; 344 m roof / 457 m antenna</x:v>
      </x:c>
      <x:c r="R22" s="21" t="str">
        <x:v>未检索到</x:v>
      </x:c>
      <x:c r="S22" s="21" t="str">
        <x:v>completed 1969</x:v>
      </x:c>
      <x:c r="T22" s="42" t="n">
        <x:v>0</x:v>
      </x:c>
      <x:c r="U22" s="42" t="n">
        <x:v>0</x:v>
      </x:c>
      <x:c r="V22" s="42"/>
      <x:c r="W22" s="33" t="str">
        <x:v>B1</x:v>
      </x:c>
      <x:c r="X22" s="33" t="str">
        <x:v>confirmed</x:v>
      </x:c>
      <x:c r="Y22" s="33" t="str">
        <x:v>候选待核实</x:v>
      </x:c>
      <x:c r="Z22" s="21" t="str">
        <x:v>CBS Chicago directly reports date, 7th-floor location, response and no injuries; CTIF also lists the event.</x:v>
      </x:c>
      <x:c r="AA22" s="21" t="str">
        <x:v>区域代理-美洲</x:v>
      </x:c>
      <x:c r="AB22" s="21" t="str">
        <x:v>区域代理-美洲</x:v>
      </x:c>
      <x:c r="AC22" s="21" t="str"/>
      <x:c r="AD22" s="21" t="n">
        <x:v>1</x:v>
      </x:c>
      <x:c r="AE22" s="21" t="str">
        <x:v>未检查</x:v>
      </x:c>
      <x:c r="AF22" s="21" t="str"/>
      <x:c r="AG22" s="24" t="n">
        <x:v>46260</x:v>
      </x:c>
      <x:c r="AH22" s="21" t="str"/>
      <x:c r="AI22" s="21" t="n">
        <x:v>1</x:v>
      </x:c>
      <x:c r="AJ22" s="21" t="str">
        <x:v>未评估（本事件表不建立热浪因果关系）</x:v>
      </x:c>
      <x:c r="AK22" s="21" t="str">
        <x:v>已有来源描述</x:v>
      </x:c>
    </x:row>
    <x:row r="23" ht="42" customHeight="1">
      <x:c r="A23" s="33" t="n">
        <x:v>22</x:v>
      </x:c>
      <x:c r="B23" s="33" t="str">
        <x:v>RAW-0022</x:v>
      </x:c>
      <x:c r="C23" s="36" t="str">
        <x:v>北美洲</x:v>
      </x:c>
      <x:c r="D23" s="36" t="str">
        <x:v>United States</x:v>
      </x:c>
      <x:c r="E23" s="21" t="str">
        <x:v>New York City, New York</x:v>
      </x:c>
      <x:c r="F23" s="21" t="str">
        <x:v>Trump Tower apartment fire</x:v>
      </x:c>
      <x:c r="G23" s="39" t="n">
        <x:v>43197</x:v>
      </x:c>
      <x:c r="H23" s="21" t="str">
        <x:v>A residential-unit fire occurred high in the 58-storey mixed-use tower.</x:v>
      </x:c>
      <x:c r="I23" s="21" t="str">
        <x:v>electrical fire reported; exact initiating failure unresolved</x:v>
      </x:c>
      <x:c r="J23" s="21" t="str">
        <x:v>1 civilian death and 6 firefighter injuries.</x:v>
      </x:c>
      <x:c r="K23" s="21" t="str">
        <x:v>https://ctif.org/sites/default/files/2025-08/CTIF_Report30.pdf</x:v>
      </x:c>
      <x:c r="L23" s="27" t="n">
        <x:v>40.7624</x:v>
      </x:c>
      <x:c r="M23" s="27" t="n">
        <x:v>-73.9738</x:v>
      </x:c>
      <x:c r="N23" s="21" t="str">
        <x:v>事件/建筑近似点（候选来源提供）</x:v>
      </x:c>
      <x:c r="O23" s="21" t="str">
        <x:v>high-rise building fire</x:v>
      </x:c>
      <x:c r="P23" s="21" t="str">
        <x:v>mixed office/residential</x:v>
      </x:c>
      <x:c r="Q23" s="21" t="str">
        <x:v>58 floors; 202 m</x:v>
      </x:c>
      <x:c r="R23" s="21" t="str">
        <x:v>未检索到</x:v>
      </x:c>
      <x:c r="S23" s="21" t="str">
        <x:v>completed 1983</x:v>
      </x:c>
      <x:c r="T23" s="42" t="n">
        <x:v>1</x:v>
      </x:c>
      <x:c r="U23" s="42" t="n">
        <x:v>6</x:v>
      </x:c>
      <x:c r="V23" s="42"/>
      <x:c r="W23" s="33" t="str">
        <x:v>A2</x:v>
      </x:c>
      <x:c r="X23" s="33" t="str">
        <x:v>confirmed</x:v>
      </x:c>
      <x:c r="Y23" s="33" t="str">
        <x:v>候选待核实</x:v>
      </x:c>
      <x:c r="Z23" s="21" t="str">
        <x:v>CTIF Table 8.0-13 verifies date/building/casualties.</x:v>
      </x:c>
      <x:c r="AA23" s="21" t="str">
        <x:v>区域代理-美洲</x:v>
      </x:c>
      <x:c r="AB23" s="21" t="str">
        <x:v>区域代理-美洲</x:v>
      </x:c>
      <x:c r="AC23" s="21" t="str"/>
      <x:c r="AD23" s="21" t="n">
        <x:v>1</x:v>
      </x:c>
      <x:c r="AE23" s="21" t="str">
        <x:v>未检查</x:v>
      </x:c>
      <x:c r="AF23" s="21" t="str"/>
      <x:c r="AG23" s="24" t="n">
        <x:v>46260</x:v>
      </x:c>
      <x:c r="AH23" s="21" t="str"/>
      <x:c r="AI23" s="21" t="n">
        <x:v>1</x:v>
      </x:c>
      <x:c r="AJ23" s="21" t="str">
        <x:v>未评估（本事件表不建立热浪因果关系）</x:v>
      </x:c>
      <x:c r="AK23" s="21" t="str">
        <x:v>已有来源描述</x:v>
      </x:c>
    </x:row>
    <x:row r="24" ht="42" customHeight="1">
      <x:c r="A24" s="33" t="n">
        <x:v>23</x:v>
      </x:c>
      <x:c r="B24" s="33" t="str">
        <x:v>RAW-0023</x:v>
      </x:c>
      <x:c r="C24" s="36" t="str">
        <x:v>南美洲</x:v>
      </x:c>
      <x:c r="D24" s="36" t="str">
        <x:v>Brazil</x:v>
      </x:c>
      <x:c r="E24" s="21" t="str">
        <x:v>São Paulo, São Paulo</x:v>
      </x:c>
      <x:c r="F24" s="21" t="str">
        <x:v>Wilton Paes de Almeida Building fire and collapse</x:v>
      </x:c>
      <x:c r="G24" s="39" t="n">
        <x:v>43220</x:v>
      </x:c>
      <x:c r="H24" s="21" t="str">
        <x:v>Fire engulfed the occupied former office high-rise, which collapsed during the blaze.</x:v>
      </x:c>
      <x:c r="I24" s="21" t="str">
        <x:v>electrical short circuit was widely reported; final cause should be checked against the investigation</x:v>
      </x:c>
      <x:c r="J24" s="21" t="str">
        <x:v>Building collapsed; CTIF lists 7 deaths, while some later summaries report 8.</x:v>
      </x:c>
      <x:c r="K24" s="21" t="str">
        <x:v>https://ctif.org/sites/default/files/2025-08/CTIF_Report30.pdf</x:v>
      </x:c>
      <x:c r="L24" s="27" t="n">
        <x:v>-23.5421</x:v>
      </x:c>
      <x:c r="M24" s="27" t="n">
        <x:v>-46.6364</x:v>
      </x:c>
      <x:c r="N24" s="21" t="str">
        <x:v>事件/建筑近似点（候选来源提供）</x:v>
      </x:c>
      <x:c r="O24" s="21" t="str">
        <x:v>high-rise building fire</x:v>
      </x:c>
      <x:c r="P24" s="21" t="str">
        <x:v>former office; informal residential occupation</x:v>
      </x:c>
      <x:c r="Q24" s="21" t="str">
        <x:v>24 floors; about 79.2 m</x:v>
      </x:c>
      <x:c r="R24" s="21" t="str">
        <x:v>未检索到</x:v>
      </x:c>
      <x:c r="S24" s="21" t="str">
        <x:v>completed 1968; deteriorated/irregularly occupied</x:v>
      </x:c>
      <x:c r="T24" s="42" t="n">
        <x:v>7</x:v>
      </x:c>
      <x:c r="U24" s="42"/>
      <x:c r="V24" s="42"/>
      <x:c r="W24" s="33" t="str">
        <x:v>A2</x:v>
      </x:c>
      <x:c r="X24" s="33" t="str">
        <x:v>confirmed</x:v>
      </x:c>
      <x:c r="Y24" s="33" t="str">
        <x:v>候选待核实</x:v>
      </x:c>
      <x:c r="Z24" s="21" t="str">
        <x:v>CTIF Table 8.0-13 verifies 7 deaths; conflicting later totals are explicitly retained in the note.</x:v>
      </x:c>
      <x:c r="AA24" s="21" t="str">
        <x:v>区域代理-美洲</x:v>
      </x:c>
      <x:c r="AB24" s="21" t="str">
        <x:v>区域代理-美洲</x:v>
      </x:c>
      <x:c r="AC24" s="21" t="str"/>
      <x:c r="AD24" s="21" t="n">
        <x:v>1</x:v>
      </x:c>
      <x:c r="AE24" s="21" t="str">
        <x:v>未检查</x:v>
      </x:c>
      <x:c r="AF24" s="21" t="str"/>
      <x:c r="AG24" s="24" t="n">
        <x:v>46260</x:v>
      </x:c>
      <x:c r="AH24" s="21" t="str"/>
      <x:c r="AI24" s="21" t="n">
        <x:v>1</x:v>
      </x:c>
      <x:c r="AJ24" s="21" t="str">
        <x:v>未评估（本事件表不建立热浪因果关系）</x:v>
      </x:c>
      <x:c r="AK24" s="21" t="str">
        <x:v>已有来源描述</x:v>
      </x:c>
    </x:row>
    <x:row r="25" ht="42" customHeight="1">
      <x:c r="A25" s="33" t="n">
        <x:v>24</x:v>
      </x:c>
      <x:c r="B25" s="33" t="str">
        <x:v>RAW-0024</x:v>
      </x:c>
      <x:c r="C25" s="36" t="str">
        <x:v>北美洲</x:v>
      </x:c>
      <x:c r="D25" s="36" t="str">
        <x:v>United States</x:v>
      </x:c>
      <x:c r="E25" s="21" t="str">
        <x:v>New York City, New York</x:v>
      </x:c>
      <x:c r="F25" s="21" t="str">
        <x:v>AXA Equitable Center helicopter-impact fire</x:v>
      </x:c>
      <x:c r="G25" s="39" t="n">
        <x:v>43626</x:v>
      </x:c>
      <x:c r="H25" s="21" t="str">
        <x:v>A helicopter crashed on the roof of the 54-storey office tower and ignited a fire.</x:v>
      </x:c>
      <x:c r="I25" s="21" t="str">
        <x:v>helicopter crash</x:v>
      </x:c>
      <x:c r="J25" s="21" t="str">
        <x:v>Pilot killed; no other injuries listed by CTIF.</x:v>
      </x:c>
      <x:c r="K25" s="21" t="str">
        <x:v>https://ctif.org/sites/default/files/2025-08/CTIF_Report30.pdf</x:v>
      </x:c>
      <x:c r="L25" s="27" t="n">
        <x:v>40.7616</x:v>
      </x:c>
      <x:c r="M25" s="27" t="n">
        <x:v>-73.9825</x:v>
      </x:c>
      <x:c r="N25" s="21" t="str">
        <x:v>事件/建筑近似点（候选来源提供）</x:v>
      </x:c>
      <x:c r="O25" s="21" t="str">
        <x:v>high-rise building fire</x:v>
      </x:c>
      <x:c r="P25" s="21" t="str">
        <x:v>office</x:v>
      </x:c>
      <x:c r="Q25" s="21" t="str">
        <x:v>54 floors; 229.3 m</x:v>
      </x:c>
      <x:c r="R25" s="21" t="str">
        <x:v>未检索到</x:v>
      </x:c>
      <x:c r="S25" s="21" t="str">
        <x:v>completed 1985</x:v>
      </x:c>
      <x:c r="T25" s="42" t="n">
        <x:v>1</x:v>
      </x:c>
      <x:c r="U25" s="42" t="n">
        <x:v>0</x:v>
      </x:c>
      <x:c r="V25" s="42"/>
      <x:c r="W25" s="33" t="str">
        <x:v>A2</x:v>
      </x:c>
      <x:c r="X25" s="33" t="str">
        <x:v>confirmed</x:v>
      </x:c>
      <x:c r="Y25" s="33" t="str">
        <x:v>候选待核实</x:v>
      </x:c>
      <x:c r="Z25" s="21" t="str">
        <x:v>CTIF Table 8.0-13 verifies the event and casualty count.</x:v>
      </x:c>
      <x:c r="AA25" s="21" t="str">
        <x:v>区域代理-美洲</x:v>
      </x:c>
      <x:c r="AB25" s="21" t="str">
        <x:v>区域代理-美洲</x:v>
      </x:c>
      <x:c r="AC25" s="21" t="str"/>
      <x:c r="AD25" s="21" t="n">
        <x:v>1</x:v>
      </x:c>
      <x:c r="AE25" s="21" t="str">
        <x:v>未检查</x:v>
      </x:c>
      <x:c r="AF25" s="21" t="str"/>
      <x:c r="AG25" s="24" t="n">
        <x:v>46260</x:v>
      </x:c>
      <x:c r="AH25" s="21" t="str"/>
      <x:c r="AI25" s="21" t="n">
        <x:v>1</x:v>
      </x:c>
      <x:c r="AJ25" s="21" t="str">
        <x:v>未评估（本事件表不建立热浪因果关系）</x:v>
      </x:c>
      <x:c r="AK25" s="21" t="str">
        <x:v>已有来源描述</x:v>
      </x:c>
    </x:row>
    <x:row r="26" ht="42" customHeight="1">
      <x:c r="A26" s="33" t="n">
        <x:v>25</x:v>
      </x:c>
      <x:c r="B26" s="33" t="str">
        <x:v>RAW-0025</x:v>
      </x:c>
      <x:c r="C26" s="36" t="str">
        <x:v>北美洲</x:v>
      </x:c>
      <x:c r="D26" s="36" t="str">
        <x:v>United States</x:v>
      </x:c>
      <x:c r="E26" s="21" t="str">
        <x:v>New York City, New York</x:v>
      </x:c>
      <x:c r="F26" s="21" t="str">
        <x:v>Twin Parks North West apartment fire</x:v>
      </x:c>
      <x:c r="G26" s="39" t="n">
        <x:v>44570</x:v>
      </x:c>
      <x:c r="H26" s="21" t="str">
        <x:v>A fire in a third-floor duplex of a 19-storey apartment building spread lethal smoke through open doors and stairs.</x:v>
      </x:c>
      <x:c r="I26" s="21" t="str">
        <x:v>electric space heater ignited a mattress</x:v>
      </x:c>
      <x:c r="J26" s="21" t="str">
        <x:v>17 deaths and 44 injuries.</x:v>
      </x:c>
      <x:c r="K26" s="21" t="str">
        <x:v>https://en.wikipedia.org/wiki/2022_Bronx_apartment_fire</x:v>
      </x:c>
      <x:c r="L26" s="27" t="n">
        <x:v>40.8532</x:v>
      </x:c>
      <x:c r="M26" s="27" t="n">
        <x:v>-73.8897</x:v>
      </x:c>
      <x:c r="N26" s="21" t="str">
        <x:v>事件/建筑近似点（候选来源提供）</x:v>
      </x:c>
      <x:c r="O26" s="21" t="str">
        <x:v>high-rise building fire</x:v>
      </x:c>
      <x:c r="P26" s="21" t="str">
        <x:v>residential</x:v>
      </x:c>
      <x:c r="Q26" s="21" t="str">
        <x:v>19 floors</x:v>
      </x:c>
      <x:c r="R26" s="21" t="str">
        <x:v>未检索到</x:v>
      </x:c>
      <x:c r="S26" s="21" t="str">
        <x:v>completed 1972; older high-rise</x:v>
      </x:c>
      <x:c r="T26" s="42" t="n">
        <x:v>17</x:v>
      </x:c>
      <x:c r="U26" s="42" t="n">
        <x:v>44</x:v>
      </x:c>
      <x:c r="V26" s="42"/>
      <x:c r="W26" s="33" t="str">
        <x:v>B1</x:v>
      </x:c>
      <x:c r="X26" s="33" t="str">
        <x:v>confirmed</x:v>
      </x:c>
      <x:c r="Y26" s="33" t="str">
        <x:v>候选待核实</x:v>
      </x:c>
      <x:c r="Z26" s="21" t="str">
        <x:v>CTIF Table 8.0-14 and the dedicated event page agree on date, casualties, cause and high-rise classification.</x:v>
      </x:c>
      <x:c r="AA26" s="21" t="str">
        <x:v>区域代理-美洲</x:v>
      </x:c>
      <x:c r="AB26" s="21" t="str">
        <x:v>区域代理-美洲</x:v>
      </x:c>
      <x:c r="AC26" s="21" t="str"/>
      <x:c r="AD26" s="21" t="n">
        <x:v>1</x:v>
      </x:c>
      <x:c r="AE26" s="21" t="str">
        <x:v>未检查</x:v>
      </x:c>
      <x:c r="AF26" s="21" t="str"/>
      <x:c r="AG26" s="24" t="n">
        <x:v>46260</x:v>
      </x:c>
      <x:c r="AH26" s="21" t="str"/>
      <x:c r="AI26" s="21" t="n">
        <x:v>1</x:v>
      </x:c>
      <x:c r="AJ26" s="21" t="str">
        <x:v>未评估（本事件表不建立热浪因果关系）</x:v>
      </x:c>
      <x:c r="AK26" s="21" t="str">
        <x:v>已有来源描述</x:v>
      </x:c>
    </x:row>
    <x:row r="27" ht="42" customHeight="1">
      <x:c r="A27" s="33" t="n">
        <x:v>26</x:v>
      </x:c>
      <x:c r="B27" s="33" t="str">
        <x:v>RAW-0026</x:v>
      </x:c>
      <x:c r="C27" s="36" t="str">
        <x:v>北美洲</x:v>
      </x:c>
      <x:c r="D27" s="36" t="str">
        <x:v>United States</x:v>
      </x:c>
      <x:c r="E27" s="21" t="str">
        <x:v>New York City, New York</x:v>
      </x:c>
      <x:c r="F27" s="21" t="str">
        <x:v>RiverCourt lithium-ion battery fire</x:v>
      </x:c>
      <x:c r="G27" s="39" t="n">
        <x:v>44870</x:v>
      </x:c>
      <x:c r="H27" s="21" t="str">
        <x:v>A lithium-ion battery fire in the RiverCourt high-rise required a rope rescue from an upper-floor window.</x:v>
      </x:c>
      <x:c r="I27" s="21" t="str">
        <x:v>lithium-ion battery in an electric bicycle/scooter</x:v>
      </x:c>
      <x:c r="J27" s="21" t="str">
        <x:v>No deaths; 38 injuries, including critical and serious cases.</x:v>
      </x:c>
      <x:c r="K27" s="21" t="str">
        <x:v>https://ctif.org/sites/default/files/2025-08/CTIF_Report30.pdf</x:v>
      </x:c>
      <x:c r="L27" s="27" t="n">
        <x:v>40.7548</x:v>
      </x:c>
      <x:c r="M27" s="27" t="n">
        <x:v>-73.9651</x:v>
      </x:c>
      <x:c r="N27" s="21" t="str">
        <x:v>事件/建筑近似点（候选来源提供）</x:v>
      </x:c>
      <x:c r="O27" s="21" t="str">
        <x:v>high-rise building fire</x:v>
      </x:c>
      <x:c r="P27" s="21" t="str">
        <x:v>residential</x:v>
      </x:c>
      <x:c r="Q27" s="21" t="str">
        <x:v>about 38 floors; 108.1 m</x:v>
      </x:c>
      <x:c r="R27" s="21" t="str">
        <x:v>未检索到</x:v>
      </x:c>
      <x:c r="S27" s="21" t="str">
        <x:v>older residential tower</x:v>
      </x:c>
      <x:c r="T27" s="42" t="n">
        <x:v>0</x:v>
      </x:c>
      <x:c r="U27" s="42" t="n">
        <x:v>38</x:v>
      </x:c>
      <x:c r="V27" s="42"/>
      <x:c r="W27" s="33" t="str">
        <x:v>A2</x:v>
      </x:c>
      <x:c r="X27" s="33" t="str">
        <x:v>confirmed</x:v>
      </x:c>
      <x:c r="Y27" s="33" t="str">
        <x:v>候选待核实</x:v>
      </x:c>
      <x:c r="Z27" s="21" t="str">
        <x:v>CTIF Table 8.0-14 verifies date/building/casualties; contemporary reporting attributes the fire to a lithium-ion battery.</x:v>
      </x:c>
      <x:c r="AA27" s="21" t="str">
        <x:v>区域代理-美洲</x:v>
      </x:c>
      <x:c r="AB27" s="21" t="str">
        <x:v>区域代理-美洲</x:v>
      </x:c>
      <x:c r="AC27" s="21" t="str"/>
      <x:c r="AD27" s="21" t="n">
        <x:v>1</x:v>
      </x:c>
      <x:c r="AE27" s="21" t="str">
        <x:v>未检查</x:v>
      </x:c>
      <x:c r="AF27" s="21" t="str"/>
      <x:c r="AG27" s="24" t="n">
        <x:v>46260</x:v>
      </x:c>
      <x:c r="AH27" s="21" t="str"/>
      <x:c r="AI27" s="21" t="n">
        <x:v>1</x:v>
      </x:c>
      <x:c r="AJ27" s="21" t="str">
        <x:v>未评估（本事件表不建立热浪因果关系）</x:v>
      </x:c>
      <x:c r="AK27" s="21" t="str">
        <x:v>已有来源描述</x:v>
      </x:c>
    </x:row>
    <x:row r="28" ht="42" customHeight="1">
      <x:c r="A28" s="33" t="n">
        <x:v>27</x:v>
      </x:c>
      <x:c r="B28" s="33" t="str">
        <x:v>RAW-0027</x:v>
      </x:c>
      <x:c r="C28" s="36" t="str">
        <x:v>南美洲</x:v>
      </x:c>
      <x:c r="D28" s="36" t="str">
        <x:v>Brazil</x:v>
      </x:c>
      <x:c r="E28" s="21" t="str">
        <x:v>Recife, Pernambuco</x:v>
      </x:c>
      <x:c r="F28" s="21" t="str">
        <x:v>Botanik Torre Flora construction fire</x:v>
      </x:c>
      <x:c r="G28" s="39" t="n">
        <x:v>45379</x:v>
      </x:c>
      <x:c r="H28" s="21" t="str">
        <x:v>A large fire affected the upper portion/roof of the high-rise residential building while under construction.</x:v>
      </x:c>
      <x:c r="I28" s="21" t="str">
        <x:v>under investigation</x:v>
      </x:c>
      <x:c r="J28" s="21" t="str">
        <x:v>No deaths or injuries listed by CTIF.</x:v>
      </x:c>
      <x:c r="K28" s="21" t="str">
        <x:v>https://www.creape.org.br/crea-pe-acompanha-andamento-das-investigacoes-e-ensaios-tecnicos-do-predio-incendiado-no-recife/</x:v>
      </x:c>
      <x:c r="L28" s="27" t="n">
        <x:v>-8.0476</x:v>
      </x:c>
      <x:c r="M28" s="27" t="n">
        <x:v>-34.905</x:v>
      </x:c>
      <x:c r="N28" s="21" t="str">
        <x:v>事件/建筑近似点（候选来源提供）</x:v>
      </x:c>
      <x:c r="O28" s="21" t="str">
        <x:v>high-rise building fire</x:v>
      </x:c>
      <x:c r="P28" s="21" t="str">
        <x:v>residential; under construction</x:v>
      </x:c>
      <x:c r="Q28" s="21" t="str">
        <x:v>high-rise; exact floor count unresolved</x:v>
      </x:c>
      <x:c r="R28" s="21" t="str">
        <x:v>未检索到</x:v>
      </x:c>
      <x:c r="S28" s="21" t="str">
        <x:v>under construction</x:v>
      </x:c>
      <x:c r="T28" s="42" t="n">
        <x:v>0</x:v>
      </x:c>
      <x:c r="U28" s="42" t="n">
        <x:v>0</x:v>
      </x:c>
      <x:c r="V28" s="42"/>
      <x:c r="W28" s="33" t="str">
        <x:v>A1</x:v>
      </x:c>
      <x:c r="X28" s="33" t="str">
        <x:v>confirmed_needs_floor_count</x:v>
      </x:c>
      <x:c r="Y28" s="33" t="str">
        <x:v>候选待核实</x:v>
      </x:c>
      <x:c r="Z28" s="21" t="str">
        <x:v>Crea-PE confirms the building/date/investigation; CTIF Table 8.0-14 classifies it as a high-rise fire. Exact floor count remains to be sourced.</x:v>
      </x:c>
      <x:c r="AA28" s="21" t="str">
        <x:v>区域代理-美洲</x:v>
      </x:c>
      <x:c r="AB28" s="21" t="str">
        <x:v>区域代理-美洲</x:v>
      </x:c>
      <x:c r="AC28" s="21" t="str"/>
      <x:c r="AD28" s="21" t="n">
        <x:v>1</x:v>
      </x:c>
      <x:c r="AE28" s="21" t="str">
        <x:v>未检查</x:v>
      </x:c>
      <x:c r="AF28" s="21" t="str"/>
      <x:c r="AG28" s="24" t="n">
        <x:v>46260</x:v>
      </x:c>
      <x:c r="AH28" s="21" t="str"/>
      <x:c r="AI28" s="21" t="n">
        <x:v>1</x:v>
      </x:c>
      <x:c r="AJ28" s="21" t="str">
        <x:v>未评估（本事件表不建立热浪因果关系）</x:v>
      </x:c>
      <x:c r="AK28" s="21" t="str">
        <x:v>已有来源描述</x:v>
      </x:c>
    </x:row>
    <x:row r="29" ht="42" customHeight="1">
      <x:c r="A29" s="33" t="n">
        <x:v>28</x:v>
      </x:c>
      <x:c r="B29" s="33" t="str">
        <x:v>RAW-0028</x:v>
      </x:c>
      <x:c r="C29" s="36" t="str">
        <x:v>北美洲</x:v>
      </x:c>
      <x:c r="D29" s="36" t="str">
        <x:v>Canada</x:v>
      </x:c>
      <x:c r="E29" s="21" t="str">
        <x:v>Toronto, Ontario</x:v>
      </x:c>
      <x:c r="F29" s="21" t="str">
        <x:v>11 Thorncliffe Park Drive high-rise fire</x:v>
      </x:c>
      <x:c r="G29" s="39" t="n">
        <x:v>45988</x:v>
      </x:c>
      <x:c r="H29" s="21" t="str">
        <x:v>Construction-related fire spread through concealed spaces and into the adjacent tower, displacing residents for weeks.</x:v>
      </x:c>
      <x:c r="I29" s="21" t="str">
        <x:v>construction ignition sources used near combustible materials</x:v>
      </x:c>
      <x:c r="J29" s="21" t="str">
        <x:v>All 408 units across two connected towers were evacuated; no deaths reported.</x:v>
      </x:c>
      <x:c r="K29" s="21" t="str">
        <x:v>https://www.oafc.on.ca/about/announcements/fire-news-headlines/charges-laid-thorncliffe-park-condo-fire-burned-weeks</x:v>
      </x:c>
      <x:c r="L29" s="27" t="n">
        <x:v>43.7045</x:v>
      </x:c>
      <x:c r="M29" s="27" t="n">
        <x:v>-79.349</x:v>
      </x:c>
      <x:c r="N29" s="21" t="str">
        <x:v>事件/建筑近似点（候选来源提供）</x:v>
      </x:c>
      <x:c r="O29" s="21" t="str">
        <x:v>high-rise building fire</x:v>
      </x:c>
      <x:c r="P29" s="21" t="str">
        <x:v>residential condominium</x:v>
      </x:c>
      <x:c r="Q29" s="21" t="str">
        <x:v>11 Thorncliffe section rises 10 floors; connected neighboring high-rise also affected</x:v>
      </x:c>
      <x:c r="R29" s="21" t="str">
        <x:v>未检索到</x:v>
      </x:c>
      <x:c r="S29" s="21" t="str">
        <x:v>existing building; construction work underway</x:v>
      </x:c>
      <x:c r="T29" s="42" t="n">
        <x:v>0</x:v>
      </x:c>
      <x:c r="U29" s="42"/>
      <x:c r="V29" s="42" t="n">
        <x:v>408</x:v>
      </x:c>
      <x:c r="W29" s="33" t="str">
        <x:v>A1</x:v>
      </x:c>
      <x:c r="X29" s="33" t="str">
        <x:v>confirmed</x:v>
      </x:c>
      <x:c r="Y29" s="33" t="str">
        <x:v>候选待核实</x:v>
      </x:c>
      <x:c r="Z29" s="21" t="str">
        <x:v>Ontario fire-chief association page reports investigation findings, cause and evacuation. Event occurred after CTIF's 2024 cutoff.</x:v>
      </x:c>
      <x:c r="AA29" s="21" t="str">
        <x:v>区域代理-美洲</x:v>
      </x:c>
      <x:c r="AB29" s="21" t="str">
        <x:v>区域代理-美洲</x:v>
      </x:c>
      <x:c r="AC29" s="21" t="str"/>
      <x:c r="AD29" s="21" t="n">
        <x:v>1</x:v>
      </x:c>
      <x:c r="AE29" s="21" t="str">
        <x:v>未检查</x:v>
      </x:c>
      <x:c r="AF29" s="21" t="str"/>
      <x:c r="AG29" s="24" t="n">
        <x:v>46260</x:v>
      </x:c>
      <x:c r="AH29" s="21" t="str"/>
      <x:c r="AI29" s="21" t="n">
        <x:v>1</x:v>
      </x:c>
      <x:c r="AJ29" s="21" t="str">
        <x:v>未评估（本事件表不建立热浪因果关系）</x:v>
      </x:c>
      <x:c r="AK29" s="21" t="str">
        <x:v>已有来源描述</x:v>
      </x:c>
    </x:row>
    <x:row r="30" ht="42" customHeight="1">
      <x:c r="A30" s="33" t="n">
        <x:v>29</x:v>
      </x:c>
      <x:c r="B30" s="33" t="str">
        <x:v>RAW-0029</x:v>
      </x:c>
      <x:c r="C30" s="36" t="str">
        <x:v>北美洲</x:v>
      </x:c>
      <x:c r="D30" s="36" t="str">
        <x:v>United States</x:v>
      </x:c>
      <x:c r="E30" s="21" t="str">
        <x:v>New York City, New York</x:v>
      </x:c>
      <x:c r="F30" s="21" t="str">
        <x:v>6 East 43rd Street rooftop high-rise fire</x:v>
      </x:c>
      <x:c r="G30" s="39" t="n">
        <x:v>46098</x:v>
      </x:c>
      <x:c r="H30" s="21" t="str">
        <x:v>A large rooftop fire involving HVAC/generator equipment burned on a Midtown high-rise near the St. Patrick's Day Parade route.</x:v>
      </x:c>
      <x:c r="I30" s="21" t="str">
        <x:v>reported HVAC/backup-generator fire; formal cause under investigation</x:v>
      </x:c>
      <x:c r="J30" s="21" t="str">
        <x:v>No deaths or injuries reported in consulted coverage.</x:v>
      </x:c>
      <x:c r="K30" s="21" t="str">
        <x:v>https://www.cbsnews.com/newyork/news/fire-midtown-manhattan-nyc/</x:v>
      </x:c>
      <x:c r="L30" s="27" t="n">
        <x:v>40.7534</x:v>
      </x:c>
      <x:c r="M30" s="27" t="n">
        <x:v>-73.9797</x:v>
      </x:c>
      <x:c r="N30" s="21" t="str">
        <x:v>事件/建筑近似点（候选来源提供）</x:v>
      </x:c>
      <x:c r="O30" s="21" t="str">
        <x:v>high-rise building fire</x:v>
      </x:c>
      <x:c r="P30" s="21" t="str">
        <x:v>office</x:v>
      </x:c>
      <x:c r="Q30" s="21" t="str">
        <x:v>reported as 28-storey high-rise</x:v>
      </x:c>
      <x:c r="R30" s="21" t="str">
        <x:v>未检索到</x:v>
      </x:c>
      <x:c r="S30" s="21" t="str">
        <x:v>existing building</x:v>
      </x:c>
      <x:c r="T30" s="42" t="n">
        <x:v>0</x:v>
      </x:c>
      <x:c r="U30" s="42" t="n">
        <x:v>0</x:v>
      </x:c>
      <x:c r="V30" s="42"/>
      <x:c r="W30" s="33" t="str">
        <x:v>B1</x:v>
      </x:c>
      <x:c r="X30" s="33" t="str">
        <x:v>confirmed</x:v>
      </x:c>
      <x:c r="Y30" s="33" t="str">
        <x:v>候选待核实</x:v>
      </x:c>
      <x:c r="Z30" s="21" t="str">
        <x:v>CBS New York directly verifies date/location/high-rise status; event is within the 2026-08-25 cutoff.</x:v>
      </x:c>
      <x:c r="AA30" s="21" t="str">
        <x:v>区域代理-美洲</x:v>
      </x:c>
      <x:c r="AB30" s="21" t="str">
        <x:v>区域代理-美洲</x:v>
      </x:c>
      <x:c r="AC30" s="21" t="str"/>
      <x:c r="AD30" s="21" t="n">
        <x:v>1</x:v>
      </x:c>
      <x:c r="AE30" s="21" t="str">
        <x:v>未检查</x:v>
      </x:c>
      <x:c r="AF30" s="21" t="str"/>
      <x:c r="AG30" s="24" t="n">
        <x:v>46260</x:v>
      </x:c>
      <x:c r="AH30" s="21" t="str"/>
      <x:c r="AI30" s="21" t="n">
        <x:v>1</x:v>
      </x:c>
      <x:c r="AJ30" s="21" t="str">
        <x:v>未评估（本事件表不建立热浪因果关系）</x:v>
      </x:c>
      <x:c r="AK30" s="21" t="str">
        <x:v>已有来源描述</x:v>
      </x:c>
    </x:row>
    <x:row r="31" ht="42" customHeight="1">
      <x:c r="A31" s="33" t="n">
        <x:v>30</x:v>
      </x:c>
      <x:c r="B31" s="33" t="str">
        <x:v>RAW-0030</x:v>
      </x:c>
      <x:c r="C31" s="36" t="str">
        <x:v>欧洲</x:v>
      </x:c>
      <x:c r="D31" s="36" t="str">
        <x:v>United Kingdom</x:v>
      </x:c>
      <x:c r="E31" s="21" t="str">
        <x:v>Paddington, London, England, United Kingdom</x:v>
      </x:c>
      <x:c r="F31" s="21" t="str">
        <x:v>Telstar House fire</x:v>
      </x:c>
      <x:c r="G31" s="39" t="n">
        <x:v>37831</x:v>
      </x:c>
      <x:c r="H31" s="21" t="str">
        <x:v>伦敦一栋高层办公楼发生大火，火势破坏第7至10层并延至第11层局部。</x:v>
      </x:c>
      <x:c r="I31" s="21" t="str">
        <x:v>来源页未给出最终起火原因。</x:v>
      </x:c>
      <x:c r="J31" s="21" t="str">
        <x:v>约5万平方英尺受火；3人受伤；建筑无法继续使用，后拆除。</x:v>
      </x:c>
      <x:c r="K31" s="21" t="str">
        <x:v>https://highrisefire.co.uk/cstelstar.html</x:v>
      </x:c>
      <x:c r="L31" s="27" t="n">
        <x:v>51.5169</x:v>
      </x:c>
      <x:c r="M31" s="27" t="n">
        <x:v>-0.1774</x:v>
      </x:c>
      <x:c r="N31" s="21" t="str">
        <x:v>事件/建筑近似点（候选来源提供）</x:v>
      </x:c>
      <x:c r="O31" s="21" t="str">
        <x:v>high-rise office fire</x:v>
      </x:c>
      <x:c r="P31" s="21" t="str">
        <x:v>office</x:v>
      </x:c>
      <x:c r="Q31" s="21" t="str">
        <x:v>13 storeys; floors 7-10 destroyed, part of 11th affected</x:v>
      </x:c>
      <x:c r="R31" s="21" t="str">
        <x:v>未检索到</x:v>
      </x:c>
      <x:c r="S31" s="21" t="str">
        <x:v>1960s office building</x:v>
      </x:c>
      <x:c r="T31" s="42" t="n">
        <x:v>0</x:v>
      </x:c>
      <x:c r="U31" s="42" t="n">
        <x:v>3</x:v>
      </x:c>
      <x:c r="V31" s="42"/>
      <x:c r="W31" s="33" t="str">
        <x:v>B</x:v>
      </x:c>
      <x:c r="X31" s="33" t="str">
        <x:v>confirmed_highrise</x:v>
      </x:c>
      <x:c r="Y31" s="33" t="str">
        <x:v>候选待核实</x:v>
      </x:c>
      <x:c r="Z31" s="21" t="str">
        <x:v>现场消防报告明确称其为13层高层建筑；坐标为Eastbourne Terrace近似点。</x:v>
      </x:c>
      <x:c r="AA31" s="21" t="str">
        <x:v>区域代理-欧洲非洲</x:v>
      </x:c>
      <x:c r="AB31" s="21" t="str">
        <x:v>区域代理-欧洲非洲</x:v>
      </x:c>
      <x:c r="AC31" s="21" t="str"/>
      <x:c r="AD31" s="21" t="n">
        <x:v>1</x:v>
      </x:c>
      <x:c r="AE31" s="21" t="str">
        <x:v>未检查</x:v>
      </x:c>
      <x:c r="AF31" s="21" t="str"/>
      <x:c r="AG31" s="24" t="n">
        <x:v>46260</x:v>
      </x:c>
      <x:c r="AH31" s="21" t="str"/>
      <x:c r="AI31" s="21" t="n">
        <x:v>1</x:v>
      </x:c>
      <x:c r="AJ31" s="21" t="str">
        <x:v>未评估（本事件表不建立热浪因果关系）</x:v>
      </x:c>
      <x:c r="AK31" s="21" t="str">
        <x:v>缺失/待核实</x:v>
      </x:c>
    </x:row>
    <x:row r="32" ht="42" customHeight="1">
      <x:c r="A32" s="33" t="n">
        <x:v>31</x:v>
      </x:c>
      <x:c r="B32" s="33" t="str">
        <x:v>RAW-0031</x:v>
      </x:c>
      <x:c r="C32" s="36" t="str">
        <x:v>欧洲</x:v>
      </x:c>
      <x:c r="D32" s="36" t="str">
        <x:v>Spain</x:v>
      </x:c>
      <x:c r="E32" s="21" t="str">
        <x:v>AZCA, Madrid, Community of Madrid, Spain</x:v>
      </x:c>
      <x:c r="F32" s="21" t="str">
        <x:v>Windsor Tower fire</x:v>
      </x:c>
      <x:c r="G32" s="39" t="n">
        <x:v>38395</x:v>
      </x:c>
      <x:c r="H32" s="21" t="str">
        <x:v>马德里温莎大厦夜间起火，火势沿高层扩展并造成上部楼层局部坍塌。</x:v>
      </x:c>
      <x:c r="I32" s="21" t="str">
        <x:v>调查通常指向电气故障，但本候选表暂列待进一步确认。</x:v>
      </x:c>
      <x:c r="J32" s="21" t="str">
        <x:v>0人死亡、7人受伤；严重结构损伤，后拆除。</x:v>
      </x:c>
      <x:c r="K32" s="21" t="str">
        <x:v>https://en.wikipedia.org/wiki/Windsor_Tower_(Madrid)</x:v>
      </x:c>
      <x:c r="L32" s="27" t="n">
        <x:v>40.4462</x:v>
      </x:c>
      <x:c r="M32" s="27" t="n">
        <x:v>-3.692</x:v>
      </x:c>
      <x:c r="N32" s="21" t="str">
        <x:v>事件/建筑近似点（候选来源提供）</x:v>
      </x:c>
      <x:c r="O32" s="21" t="str">
        <x:v>high-rise office fire</x:v>
      </x:c>
      <x:c r="P32" s="21" t="str">
        <x:v>office</x:v>
      </x:c>
      <x:c r="Q32" s="21" t="str">
        <x:v>32 storeys / about 106 m</x:v>
      </x:c>
      <x:c r="R32" s="21" t="str">
        <x:v>未检索到</x:v>
      </x:c>
      <x:c r="S32" s="21" t="str">
        <x:v>completed 1979; demolished after fire</x:v>
      </x:c>
      <x:c r="T32" s="42" t="n">
        <x:v>0</x:v>
      </x:c>
      <x:c r="U32" s="42" t="n">
        <x:v>7</x:v>
      </x:c>
      <x:c r="V32" s="42"/>
      <x:c r="W32" s="33" t="str">
        <x:v>C</x:v>
      </x:c>
      <x:c r="X32" s="33" t="str">
        <x:v>confirmed_highrise</x:v>
      </x:c>
      <x:c r="Y32" s="33" t="str">
        <x:v>候选待核实</x:v>
      </x:c>
      <x:c r="Z32" s="21" t="str">
        <x:v>高层外立面火灾汇总表记录32个楼层受影响、0死7伤；应继续用消防调查交叉核验。</x:v>
      </x:c>
      <x:c r="AA32" s="21" t="str">
        <x:v>区域代理-欧洲非洲</x:v>
      </x:c>
      <x:c r="AB32" s="21" t="str">
        <x:v>区域代理-欧洲非洲</x:v>
      </x:c>
      <x:c r="AC32" s="21" t="str"/>
      <x:c r="AD32" s="21" t="n">
        <x:v>1</x:v>
      </x:c>
      <x:c r="AE32" s="21" t="str">
        <x:v>未检查</x:v>
      </x:c>
      <x:c r="AF32" s="21" t="str"/>
      <x:c r="AG32" s="24" t="n">
        <x:v>46260</x:v>
      </x:c>
      <x:c r="AH32" s="21" t="str"/>
      <x:c r="AI32" s="21" t="n">
        <x:v>1</x:v>
      </x:c>
      <x:c r="AJ32" s="21" t="str">
        <x:v>未评估（本事件表不建立热浪因果关系）</x:v>
      </x:c>
      <x:c r="AK32" s="21" t="str">
        <x:v>已有来源描述</x:v>
      </x:c>
    </x:row>
    <x:row r="33" ht="42" customHeight="1">
      <x:c r="A33" s="33" t="n">
        <x:v>32</x:v>
      </x:c>
      <x:c r="B33" s="33" t="str">
        <x:v>RAW-0032</x:v>
      </x:c>
      <x:c r="C33" s="36" t="str">
        <x:v>欧洲</x:v>
      </x:c>
      <x:c r="D33" s="36" t="str">
        <x:v>United Kingdom</x:v>
      </x:c>
      <x:c r="E33" s="21" t="str">
        <x:v>Camberwell, London, England, United Kingdom</x:v>
      </x:c>
      <x:c r="F33" s="21" t="str">
        <x:v>Lakanal House fire</x:v>
      </x:c>
      <x:c r="G33" s="39" t="n">
        <x:v>39997</x:v>
      </x:c>
      <x:c r="H33" s="21" t="str">
        <x:v>伦敦Lakanal House高层住宅火灾造成6人死亡，火和烟跨楼层传播。</x:v>
      </x:c>
      <x:c r="I33" s="21" t="str">
        <x:v>9层一台电视机附近发生电气故障；传播受建筑分隔和改造问题影响。</x:v>
      </x:c>
      <x:c r="J33" s="21" t="str">
        <x:v>6人死亡、至少20人受伤，多户住宅严重受损。</x:v>
      </x:c>
      <x:c r="K33" s="21" t="str">
        <x:v>https://en.wikipedia.org/wiki/Lakanal_House_fire</x:v>
      </x:c>
      <x:c r="L33" s="27" t="n">
        <x:v>51.4745</x:v>
      </x:c>
      <x:c r="M33" s="27" t="n">
        <x:v>-0.0876</x:v>
      </x:c>
      <x:c r="N33" s="21" t="str">
        <x:v>事件/建筑近似点（候选来源提供）</x:v>
      </x:c>
      <x:c r="O33" s="21" t="str">
        <x:v>high-rise residential fire</x:v>
      </x:c>
      <x:c r="P33" s="21" t="str">
        <x:v>residential</x:v>
      </x:c>
      <x:c r="Q33" s="21" t="str">
        <x:v>14 storeys</x:v>
      </x:c>
      <x:c r="R33" s="21" t="str">
        <x:v>未检索到</x:v>
      </x:c>
      <x:c r="S33" s="21" t="str">
        <x:v>completed 1959</x:v>
      </x:c>
      <x:c r="T33" s="42" t="n">
        <x:v>6</x:v>
      </x:c>
      <x:c r="U33" s="42" t="n">
        <x:v>20</x:v>
      </x:c>
      <x:c r="V33" s="42"/>
      <x:c r="W33" s="33" t="str">
        <x:v>C</x:v>
      </x:c>
      <x:c r="X33" s="33" t="str">
        <x:v>confirmed_highrise</x:v>
      </x:c>
      <x:c r="Y33" s="33" t="str">
        <x:v>候选待核实</x:v>
      </x:c>
      <x:c r="Z33" s="21" t="str">
        <x:v>独立事件条目与高层外立面火灾表均确认14层住宅；伤亡数一致。</x:v>
      </x:c>
      <x:c r="AA33" s="21" t="str">
        <x:v>区域代理-欧洲非洲</x:v>
      </x:c>
      <x:c r="AB33" s="21" t="str">
        <x:v>区域代理-欧洲非洲</x:v>
      </x:c>
      <x:c r="AC33" s="21" t="str"/>
      <x:c r="AD33" s="21" t="n">
        <x:v>1</x:v>
      </x:c>
      <x:c r="AE33" s="21" t="str">
        <x:v>未检查</x:v>
      </x:c>
      <x:c r="AF33" s="21" t="str"/>
      <x:c r="AG33" s="24" t="n">
        <x:v>46260</x:v>
      </x:c>
      <x:c r="AH33" s="21" t="str"/>
      <x:c r="AI33" s="21" t="n">
        <x:v>1</x:v>
      </x:c>
      <x:c r="AJ33" s="21" t="str">
        <x:v>未评估（本事件表不建立热浪因果关系）</x:v>
      </x:c>
      <x:c r="AK33" s="21" t="str">
        <x:v>已有来源描述</x:v>
      </x:c>
    </x:row>
    <x:row r="34" ht="42" customHeight="1">
      <x:c r="A34" s="33" t="n">
        <x:v>33</x:v>
      </x:c>
      <x:c r="B34" s="33" t="str">
        <x:v>RAW-0033</x:v>
      </x:c>
      <x:c r="C34" s="36" t="str">
        <x:v>欧洲</x:v>
      </x:c>
      <x:c r="D34" s="36" t="str">
        <x:v>Hungary</x:v>
      </x:c>
      <x:c r="E34" s="21" t="str">
        <x:v>Középszer Street, Miskolc, Borsod-Abaúj-Zemplén, Hungary</x:v>
      </x:c>
      <x:c r="F34" s="21" t="str">
        <x:v>Középszer Street panel-building fire</x:v>
      </x:c>
      <x:c r="G34" s="39" t="n">
        <x:v>40040</x:v>
      </x:c>
      <x:c r="H34" s="21" t="str">
        <x:v>一栋10层板式住宅6层厨房起火，火焰和烟气沿外立面、管井及楼梯间向上扩散。</x:v>
      </x:c>
      <x:c r="I34" s="21" t="str">
        <x:v>6层住宅厨房起火；开放房门、管井缺陷和不合格外墙保温施工加剧传播。</x:v>
      </x:c>
      <x:c r="J34" s="21" t="str">
        <x:v>一名母亲和两名子女死亡；报告另记12人烟气中毒。</x:v>
      </x:c>
      <x:c r="K34" s="21" t="str">
        <x:v>https://people.fsv.cvut.cz/~wald/fire/ifer/WP3/Fire%20brigade%20reports_sm.pdf</x:v>
      </x:c>
      <x:c r="L34" s="27" t="n">
        <x:v>48.1035</x:v>
      </x:c>
      <x:c r="M34" s="27" t="n">
        <x:v>20.7784</x:v>
      </x:c>
      <x:c r="N34" s="21" t="str">
        <x:v>事件/建筑近似点（候选来源提供）</x:v>
      </x:c>
      <x:c r="O34" s="21" t="str">
        <x:v>high-rise residential façade fire</x:v>
      </x:c>
      <x:c r="P34" s="21" t="str">
        <x:v>residential</x:v>
      </x:c>
      <x:c r="Q34" s="21" t="str">
        <x:v>basement + ground floor + 10 upper floors</x:v>
      </x:c>
      <x:c r="R34" s="21" t="str">
        <x:v>未检索到</x:v>
      </x:c>
      <x:c r="S34" s="21" t="str">
        <x:v>industrialized panel building; façade renovated in 2007</x:v>
      </x:c>
      <x:c r="T34" s="42" t="n">
        <x:v>3</x:v>
      </x:c>
      <x:c r="U34" s="42" t="n">
        <x:v>12</x:v>
      </x:c>
      <x:c r="V34" s="42"/>
      <x:c r="W34" s="33" t="str">
        <x:v>A</x:v>
      </x:c>
      <x:c r="X34" s="33" t="str">
        <x:v>confirmed_highrise</x:v>
      </x:c>
      <x:c r="Y34" s="33" t="str">
        <x:v>候选待核实</x:v>
      </x:c>
      <x:c r="Z34" s="21" t="str">
        <x:v>COST TU0904消防工程报告明确给出10层、起火楼层、传播路径和3名死者；坐标为街区近似点。</x:v>
      </x:c>
      <x:c r="AA34" s="21" t="str">
        <x:v>区域代理-欧洲非洲</x:v>
      </x:c>
      <x:c r="AB34" s="21" t="str">
        <x:v>区域代理-欧洲非洲</x:v>
      </x:c>
      <x:c r="AC34" s="21" t="str"/>
      <x:c r="AD34" s="21" t="n">
        <x:v>1</x:v>
      </x:c>
      <x:c r="AE34" s="21" t="str">
        <x:v>未检查</x:v>
      </x:c>
      <x:c r="AF34" s="21" t="str"/>
      <x:c r="AG34" s="24" t="n">
        <x:v>46260</x:v>
      </x:c>
      <x:c r="AH34" s="21" t="str"/>
      <x:c r="AI34" s="21" t="n">
        <x:v>1</x:v>
      </x:c>
      <x:c r="AJ34" s="21" t="str">
        <x:v>未评估（本事件表不建立热浪因果关系）</x:v>
      </x:c>
      <x:c r="AK34" s="21" t="str">
        <x:v>已有来源描述</x:v>
      </x:c>
    </x:row>
    <x:row r="35" ht="42" customHeight="1">
      <x:c r="A35" s="33" t="n">
        <x:v>34</x:v>
      </x:c>
      <x:c r="B35" s="33" t="str">
        <x:v>RAW-0034</x:v>
      </x:c>
      <x:c r="C35" s="36" t="str">
        <x:v>欧洲</x:v>
      </x:c>
      <x:c r="D35" s="36" t="str">
        <x:v>France</x:v>
      </x:c>
      <x:c r="E35" s="21" t="str">
        <x:v>Fontaine d'Ouche, Dijon, Bourgogne-Franche-Comté, France</x:v>
      </x:c>
      <x:c r="F35" s="21" t="str">
        <x:v>Rue du Lac migrant residence fire</x:v>
      </x:c>
      <x:c r="G35" s="39" t="n">
        <x:v>40496</x:v>
      </x:c>
      <x:c r="H35" s="21" t="str">
        <x:v>第戎一栋9层移民工人宿舍附属垃圾房起火，强风将火焰推向外墙并造成大量烟气伤害。</x:v>
      </x:c>
      <x:c r="I35" s="21" t="str">
        <x:v>底层相邻垃圾房起火；强风促使火焰贴外墙传播，确切点火原因待查。</x:v>
      </x:c>
      <x:c r="J35" s="21" t="str">
        <x:v>7人死亡；至少11人重伤，高层汇总表记11伤，但同期媒体报道总受伤逾100；需区分重伤与所有就医者。</x:v>
      </x:c>
      <x:c r="K35" s="21" t="str">
        <x:v>https://www.interieur.gouv.fr/fr/Archives/Archives-des-actualites/2010-Actualites/Incendie-dans-un-foyer-Sonacotra-Adoma</x:v>
      </x:c>
      <x:c r="L35" s="27" t="n">
        <x:v>47.322</x:v>
      </x:c>
      <x:c r="M35" s="27" t="n">
        <x:v>5.009</x:v>
      </x:c>
      <x:c r="N35" s="21" t="str">
        <x:v>事件/建筑近似点（候选来源提供）</x:v>
      </x:c>
      <x:c r="O35" s="21" t="str">
        <x:v>multi-storey residential façade fire</x:v>
      </x:c>
      <x:c r="P35" s="21" t="str">
        <x:v>residential / migrant workers' residence</x:v>
      </x:c>
      <x:c r="Q35" s="21" t="str">
        <x:v>9 storeys</x:v>
      </x:c>
      <x:c r="R35" s="21" t="str">
        <x:v>未检索到</x:v>
      </x:c>
      <x:c r="S35" s="21" t="str">
        <x:v>未检索到</x:v>
      </x:c>
      <x:c r="T35" s="42" t="n">
        <x:v>7</x:v>
      </x:c>
      <x:c r="U35" s="42" t="n">
        <x:v>11</x:v>
      </x:c>
      <x:c r="V35" s="42" t="n">
        <x:v>141</x:v>
      </x:c>
      <x:c r="W35" s="33" t="str">
        <x:v>A</x:v>
      </x:c>
      <x:c r="X35" s="33" t="str">
        <x:v>threshold_review_9_storeys</x:v>
      </x:c>
      <x:c r="Y35" s="33" t="str">
        <x:v>候选待核实</x:v>
      </x:c>
      <x:c r="Z35" s="21" t="str">
        <x:v>法国内政部确认9层建筑和重大伤亡；9层是否满足最终高层阈值需统一口径。</x:v>
      </x:c>
      <x:c r="AA35" s="21" t="str">
        <x:v>区域代理-欧洲非洲</x:v>
      </x:c>
      <x:c r="AB35" s="21" t="str">
        <x:v>区域代理-欧洲非洲</x:v>
      </x:c>
      <x:c r="AC35" s="21" t="str"/>
      <x:c r="AD35" s="21" t="n">
        <x:v>1</x:v>
      </x:c>
      <x:c r="AE35" s="21" t="str">
        <x:v>未检查</x:v>
      </x:c>
      <x:c r="AF35" s="21" t="str"/>
      <x:c r="AG35" s="24" t="n">
        <x:v>46260</x:v>
      </x:c>
      <x:c r="AH35" s="21" t="str"/>
      <x:c r="AI35" s="21" t="n">
        <x:v>1</x:v>
      </x:c>
      <x:c r="AJ35" s="21" t="str">
        <x:v>未评估（本事件表不建立热浪因果关系）</x:v>
      </x:c>
      <x:c r="AK35" s="21" t="str">
        <x:v>已有来源描述</x:v>
      </x:c>
    </x:row>
    <x:row r="36" ht="42" customHeight="1">
      <x:c r="A36" s="33" t="n">
        <x:v>35</x:v>
      </x:c>
      <x:c r="B36" s="33" t="str">
        <x:v>RAW-0035</x:v>
      </x:c>
      <x:c r="C36" s="36" t="str">
        <x:v>欧洲</x:v>
      </x:c>
      <x:c r="D36" s="36" t="str">
        <x:v>France</x:v>
      </x:c>
      <x:c r="E36" s="21" t="str">
        <x:v>Roubaix, Hauts-de-France, France</x:v>
      </x:c>
      <x:c r="F36" s="21" t="str">
        <x:v>Mermoz Tower fire</x:v>
      </x:c>
      <x:c r="G36" s="39" t="n">
        <x:v>41043</x:v>
      </x:c>
      <x:c r="H36" s="21" t="str">
        <x:v>18层社会住宅一层阳台起火后，火焰沿可燃外墙系统快速蔓延至高层。</x:v>
      </x:c>
      <x:c r="I36" s="21" t="str">
        <x:v>一层阳台堆放的过量可燃物可能被烟头点燃；火经Alucobond PE外墙系统向上扩展。</x:v>
      </x:c>
      <x:c r="J36" s="21" t="str">
        <x:v>1人死亡；同期报道8至10人受伤，约250人疏散并需安置。</x:v>
      </x:c>
      <x:c r="K36" s="21" t="str">
        <x:v>https://douai.cour-administrative-appel.fr/decisions-de-justice/dernieres-decisions/incendie-de-la-tour-mermoz-a-roubaix-la-cour-censure-le-jugement-du-tribunal-administratif-de-lille-et-rejette-la-demande-de-lille-metropole-ha</x:v>
      </x:c>
      <x:c r="L36" s="27" t="n">
        <x:v>50.6927</x:v>
      </x:c>
      <x:c r="M36" s="27" t="n">
        <x:v>3.1746</x:v>
      </x:c>
      <x:c r="N36" s="21" t="str">
        <x:v>事件/建筑近似点（候选来源提供）</x:v>
      </x:c>
      <x:c r="O36" s="21" t="str">
        <x:v>high-rise residential façade fire</x:v>
      </x:c>
      <x:c r="P36" s="21" t="str">
        <x:v>residential / social housing</x:v>
      </x:c>
      <x:c r="Q36" s="21" t="str">
        <x:v>18 storeys</x:v>
      </x:c>
      <x:c r="R36" s="21" t="str">
        <x:v>未检索到</x:v>
      </x:c>
      <x:c r="S36" s="21" t="str">
        <x:v>façade refurbished before fire</x:v>
      </x:c>
      <x:c r="T36" s="42" t="n">
        <x:v>1</x:v>
      </x:c>
      <x:c r="U36" s="42" t="n">
        <x:v>10</x:v>
      </x:c>
      <x:c r="V36" s="42" t="n">
        <x:v>250</x:v>
      </x:c>
      <x:c r="W36" s="33" t="str">
        <x:v>A</x:v>
      </x:c>
      <x:c r="X36" s="33" t="str">
        <x:v>confirmed_highrise</x:v>
      </x:c>
      <x:c r="Y36" s="33" t="str">
        <x:v>候选待核实</x:v>
      </x:c>
      <x:c r="Z36" s="21" t="str">
        <x:v>法国行政上诉法院判决确认事件、住宅用途、外墙工程与死亡；Grenfell Inquiry资料确认18层。</x:v>
      </x:c>
      <x:c r="AA36" s="21" t="str">
        <x:v>区域代理-欧洲非洲</x:v>
      </x:c>
      <x:c r="AB36" s="21" t="str">
        <x:v>区域代理-欧洲非洲</x:v>
      </x:c>
      <x:c r="AC36" s="21" t="str"/>
      <x:c r="AD36" s="21" t="n">
        <x:v>1</x:v>
      </x:c>
      <x:c r="AE36" s="21" t="str">
        <x:v>未检查</x:v>
      </x:c>
      <x:c r="AF36" s="21" t="str"/>
      <x:c r="AG36" s="24" t="n">
        <x:v>46260</x:v>
      </x:c>
      <x:c r="AH36" s="21" t="str"/>
      <x:c r="AI36" s="21" t="n">
        <x:v>1</x:v>
      </x:c>
      <x:c r="AJ36" s="21" t="str">
        <x:v>未评估（本事件表不建立热浪因果关系）</x:v>
      </x:c>
      <x:c r="AK36" s="21" t="str">
        <x:v>已有来源描述</x:v>
      </x:c>
    </x:row>
    <x:row r="37" ht="42" customHeight="1">
      <x:c r="A37" s="33" t="n">
        <x:v>36</x:v>
      </x:c>
      <x:c r="B37" s="33" t="str">
        <x:v>RAW-0036</x:v>
      </x:c>
      <x:c r="C37" s="36" t="str">
        <x:v>欧洲</x:v>
      </x:c>
      <x:c r="D37" s="36" t="str">
        <x:v>Russia</x:v>
      </x:c>
      <x:c r="E37" s="21" t="str">
        <x:v>Grozny City, Grozny, Chechen Republic, Russia</x:v>
      </x:c>
      <x:c r="F37" s="21" t="str">
        <x:v>Grozny-City Olimp Tower fire</x:v>
      </x:c>
      <x:c r="G37" s="39" t="n">
        <x:v>41367</x:v>
      </x:c>
      <x:c r="H37" s="21" t="str">
        <x:v>Grozny-City综合体40层住宅塔楼外立面大面积燃烧。</x:v>
      </x:c>
      <x:c r="I37" s="21" t="str">
        <x:v>官方初步判断为短路，起火于4层或5层附近。</x:v>
      </x:c>
      <x:c r="J37" s="21" t="str">
        <x:v>外立面几乎贯穿全高燃烧；无死亡或受伤报道。</x:v>
      </x:c>
      <x:c r="K37" s="21" t="str">
        <x:v>https://www.themoscowtimes.com/2013/04/04/short-circuit-blamed-for-blaze-at-groznys-tallest-building-a22947</x:v>
      </x:c>
      <x:c r="L37" s="27" t="n">
        <x:v>43.3169</x:v>
      </x:c>
      <x:c r="M37" s="27" t="n">
        <x:v>45.6981</x:v>
      </x:c>
      <x:c r="N37" s="21" t="str">
        <x:v>事件/建筑近似点（候选来源提供）</x:v>
      </x:c>
      <x:c r="O37" s="21" t="str">
        <x:v>high-rise residential façade fire</x:v>
      </x:c>
      <x:c r="P37" s="21" t="str">
        <x:v>residential tower, under completion / not occupied</x:v>
      </x:c>
      <x:c r="Q37" s="21" t="str">
        <x:v>40 storeys</x:v>
      </x:c>
      <x:c r="R37" s="21" t="str">
        <x:v>未检索到</x:v>
      </x:c>
      <x:c r="S37" s="21" t="str">
        <x:v>new / not yet occupied</x:v>
      </x:c>
      <x:c r="T37" s="42" t="n">
        <x:v>0</x:v>
      </x:c>
      <x:c r="U37" s="42" t="n">
        <x:v>0</x:v>
      </x:c>
      <x:c r="V37" s="42" t="n">
        <x:v>0</x:v>
      </x:c>
      <x:c r="W37" s="33" t="str">
        <x:v>B</x:v>
      </x:c>
      <x:c r="X37" s="33" t="str">
        <x:v>confirmed_highrise</x:v>
      </x:c>
      <x:c r="Y37" s="33" t="str">
        <x:v>候选待核实</x:v>
      </x:c>
      <x:c r="Z37" s="21" t="str">
        <x:v>新闻正文明确40层、住宅用途和初步原因；建筑当时尚未投入使用。</x:v>
      </x:c>
      <x:c r="AA37" s="21" t="str">
        <x:v>区域代理-欧洲非洲</x:v>
      </x:c>
      <x:c r="AB37" s="21" t="str">
        <x:v>区域代理-欧洲非洲</x:v>
      </x:c>
      <x:c r="AC37" s="21" t="str"/>
      <x:c r="AD37" s="21" t="n">
        <x:v>1</x:v>
      </x:c>
      <x:c r="AE37" s="21" t="str">
        <x:v>未检查</x:v>
      </x:c>
      <x:c r="AF37" s="21" t="str"/>
      <x:c r="AG37" s="24" t="n">
        <x:v>46260</x:v>
      </x:c>
      <x:c r="AH37" s="21" t="str"/>
      <x:c r="AI37" s="21" t="n">
        <x:v>1</x:v>
      </x:c>
      <x:c r="AJ37" s="21" t="str">
        <x:v>未评估（本事件表不建立热浪因果关系）</x:v>
      </x:c>
      <x:c r="AK37" s="21" t="str">
        <x:v>已有来源描述</x:v>
      </x:c>
    </x:row>
    <x:row r="38" ht="42" customHeight="1">
      <x:c r="A38" s="33" t="n">
        <x:v>37</x:v>
      </x:c>
      <x:c r="B38" s="33" t="str">
        <x:v>RAW-0037</x:v>
      </x:c>
      <x:c r="C38" s="36" t="str">
        <x:v>欧洲</x:v>
      </x:c>
      <x:c r="D38" s="36" t="str">
        <x:v>France</x:v>
      </x:c>
      <x:c r="E38" s="21" t="str">
        <x:v>La Défense, Paris metropolitan area, France</x:v>
      </x:c>
      <x:c r="F38" s="21" t="str">
        <x:v>Franklin Tower fire</x:v>
      </x:c>
      <x:c r="G38" s="39" t="n">
        <x:v>42080</x:v>
      </x:c>
      <x:c r="H38" s="21" t="str">
        <x:v>巴黎拉德芳斯Franklin办公塔局部发生外立面相关火灾。</x:v>
      </x:c>
      <x:c r="I38" s="21" t="str">
        <x:v>未核实。</x:v>
      </x:c>
      <x:c r="J38" s="21" t="str">
        <x:v>0人死亡、0人受伤；2个楼层受影响。</x:v>
      </x:c>
      <x:c r="K38" s="21" t="str">
        <x:v>https://en.wikipedia.org/wiki/List_of_high-rise_fa%C3%A7ade_fires</x:v>
      </x:c>
      <x:c r="L38" s="27" t="n">
        <x:v>48.8918</x:v>
      </x:c>
      <x:c r="M38" s="27" t="n">
        <x:v>2.2386</x:v>
      </x:c>
      <x:c r="N38" s="21" t="str">
        <x:v>事件/建筑近似点（候选来源提供）</x:v>
      </x:c>
      <x:c r="O38" s="21" t="str">
        <x:v>high-rise office façade fire</x:v>
      </x:c>
      <x:c r="P38" s="21" t="str">
        <x:v>office</x:v>
      </x:c>
      <x:c r="Q38" s="21" t="str">
        <x:v>未检索到</x:v>
      </x:c>
      <x:c r="R38" s="21" t="str">
        <x:v>high-rise; 2 floors affected; total floor count to verify</x:v>
      </x:c>
      <x:c r="S38" s="21" t="str">
        <x:v>未检索到</x:v>
      </x:c>
      <x:c r="T38" s="42" t="n">
        <x:v>0</x:v>
      </x:c>
      <x:c r="U38" s="42" t="n">
        <x:v>0</x:v>
      </x:c>
      <x:c r="V38" s="42"/>
      <x:c r="W38" s="33" t="str">
        <x:v>C</x:v>
      </x:c>
      <x:c r="X38" s="33" t="str">
        <x:v>candidate_needs_primary_source</x:v>
      </x:c>
      <x:c r="Y38" s="33" t="str">
        <x:v>候选待核实</x:v>
      </x:c>
      <x:c r="Z38" s="21" t="str">
        <x:v>高层外立面火灾汇总表确认日期、建筑、城市和2层受影响；需补法国消防或物业来源确认总高度与原因。</x:v>
      </x:c>
      <x:c r="AA38" s="21" t="str">
        <x:v>区域代理-欧洲非洲</x:v>
      </x:c>
      <x:c r="AB38" s="21" t="str">
        <x:v>区域代理-欧洲非洲</x:v>
      </x:c>
      <x:c r="AC38" s="21" t="str"/>
      <x:c r="AD38" s="21" t="n">
        <x:v>1</x:v>
      </x:c>
      <x:c r="AE38" s="21" t="str">
        <x:v>未检查</x:v>
      </x:c>
      <x:c r="AF38" s="21" t="str"/>
      <x:c r="AG38" s="24" t="n">
        <x:v>46260</x:v>
      </x:c>
      <x:c r="AH38" s="21" t="str"/>
      <x:c r="AI38" s="21" t="n">
        <x:v>1</x:v>
      </x:c>
      <x:c r="AJ38" s="21" t="str">
        <x:v>未评估（本事件表不建立热浪因果关系）</x:v>
      </x:c>
      <x:c r="AK38" s="21" t="str">
        <x:v>已有来源描述</x:v>
      </x:c>
    </x:row>
    <x:row r="39" ht="42" customHeight="1">
      <x:c r="A39" s="33" t="n">
        <x:v>38</x:v>
      </x:c>
      <x:c r="B39" s="33" t="str">
        <x:v>RAW-0038</x:v>
      </x:c>
      <x:c r="C39" s="36" t="str">
        <x:v>欧洲</x:v>
      </x:c>
      <x:c r="D39" s="36" t="str">
        <x:v>United Kingdom</x:v>
      </x:c>
      <x:c r="E39" s="21" t="str">
        <x:v>Shepherd's Bush, London, England, United Kingdom</x:v>
      </x:c>
      <x:c r="F39" s="21" t="str">
        <x:v>Shepherds Court fire</x:v>
      </x:c>
      <x:c r="G39" s="39" t="n">
        <x:v>42601</x:v>
      </x:c>
      <x:c r="H39" s="21" t="str">
        <x:v>伦敦一栋高层住宅外立面受火，火势跨越3个楼层。</x:v>
      </x:c>
      <x:c r="I39" s="21" t="str">
        <x:v>未核实。</x:v>
      </x:c>
      <x:c r="J39" s="21" t="str">
        <x:v>无死亡、1人受伤；3层受影响。</x:v>
      </x:c>
      <x:c r="K39" s="21" t="str">
        <x:v>https://en.wikipedia.org/wiki/List_of_high-rise_fa%C3%A7ade_fires</x:v>
      </x:c>
      <x:c r="L39" s="27" t="n">
        <x:v>51.5053</x:v>
      </x:c>
      <x:c r="M39" s="27" t="n">
        <x:v>-0.2269</x:v>
      </x:c>
      <x:c r="N39" s="21" t="str">
        <x:v>事件/建筑近似点（候选来源提供）</x:v>
      </x:c>
      <x:c r="O39" s="21" t="str">
        <x:v>high-rise residential façade fire</x:v>
      </x:c>
      <x:c r="P39" s="21" t="str">
        <x:v>residential</x:v>
      </x:c>
      <x:c r="Q39" s="21" t="str">
        <x:v>未检索到</x:v>
      </x:c>
      <x:c r="R39" s="21" t="str">
        <x:v>high-rise; 3 floors affected; total floor count to verify</x:v>
      </x:c>
      <x:c r="S39" s="21" t="str">
        <x:v>未检索到</x:v>
      </x:c>
      <x:c r="T39" s="42" t="n">
        <x:v>0</x:v>
      </x:c>
      <x:c r="U39" s="42" t="n">
        <x:v>1</x:v>
      </x:c>
      <x:c r="V39" s="42"/>
      <x:c r="W39" s="33" t="str">
        <x:v>C</x:v>
      </x:c>
      <x:c r="X39" s="33" t="str">
        <x:v>candidate_needs_primary_source</x:v>
      </x:c>
      <x:c r="Y39" s="33" t="str">
        <x:v>候选待核实</x:v>
      </x:c>
      <x:c r="Z39" s="21" t="str">
        <x:v>高层外立面火灾汇总表确认日期、地点、1人受伤和3层受影响；需补LFB报告核实总层数。</x:v>
      </x:c>
      <x:c r="AA39" s="21" t="str">
        <x:v>区域代理-欧洲非洲</x:v>
      </x:c>
      <x:c r="AB39" s="21" t="str">
        <x:v>区域代理-欧洲非洲</x:v>
      </x:c>
      <x:c r="AC39" s="21" t="str"/>
      <x:c r="AD39" s="21" t="n">
        <x:v>1</x:v>
      </x:c>
      <x:c r="AE39" s="21" t="str">
        <x:v>未检查</x:v>
      </x:c>
      <x:c r="AF39" s="21" t="str"/>
      <x:c r="AG39" s="24" t="n">
        <x:v>46260</x:v>
      </x:c>
      <x:c r="AH39" s="21" t="str"/>
      <x:c r="AI39" s="21" t="n">
        <x:v>1</x:v>
      </x:c>
      <x:c r="AJ39" s="21" t="str">
        <x:v>未评估（本事件表不建立热浪因果关系）</x:v>
      </x:c>
      <x:c r="AK39" s="21" t="str">
        <x:v>已有来源描述</x:v>
      </x:c>
    </x:row>
    <x:row r="40" ht="42" customHeight="1">
      <x:c r="A40" s="33" t="n">
        <x:v>39</x:v>
      </x:c>
      <x:c r="B40" s="33" t="str">
        <x:v>RAW-0039</x:v>
      </x:c>
      <x:c r="C40" s="36" t="str">
        <x:v>欧洲</x:v>
      </x:c>
      <x:c r="D40" s="36" t="str">
        <x:v>United Kingdom</x:v>
      </x:c>
      <x:c r="E40" s="21" t="str">
        <x:v>North Kensington, London, England, United Kingdom</x:v>
      </x:c>
      <x:c r="F40" s="21" t="str">
        <x:v>Grenfell Tower fire</x:v>
      </x:c>
      <x:c r="G40" s="39" t="n">
        <x:v>42900</x:v>
      </x:c>
      <x:c r="H40" s="21" t="str">
        <x:v>24层社会住宅冰箱起火后突破窗户并经可燃外墙系统迅速包覆整栋塔楼。</x:v>
      </x:c>
      <x:c r="I40" s="21" t="str">
        <x:v>4层住宅冰箱电气故障起火；可燃雨幕板、保温材料及系统性安全失效导致灾难性外墙传播。</x:v>
      </x:c>
      <x:c r="J40" s="21" t="str">
        <x:v>72人死亡、约70余人受伤；129套住宅被毁，整栋楼疏散和救援。</x:v>
      </x:c>
      <x:c r="K40" s="21" t="str">
        <x:v>https://assets.publishing.service.gov.uk/media/66d817aa701781e1b341dbd3/CCS0923434692-004_GTI_Phase_2_Volume_1_BOOKMARKED.pdf</x:v>
      </x:c>
      <x:c r="L40" s="27" t="n">
        <x:v>51.5131</x:v>
      </x:c>
      <x:c r="M40" s="27" t="n">
        <x:v>-0.2159</x:v>
      </x:c>
      <x:c r="N40" s="21" t="str">
        <x:v>事件/建筑近似点（候选来源提供）</x:v>
      </x:c>
      <x:c r="O40" s="21" t="str">
        <x:v>high-rise residential façade fire</x:v>
      </x:c>
      <x:c r="P40" s="21" t="str">
        <x:v>residential / social housing</x:v>
      </x:c>
      <x:c r="Q40" s="21" t="str">
        <x:v>24 storeys / 67 m</x:v>
      </x:c>
      <x:c r="R40" s="21" t="str">
        <x:v>未检索到</x:v>
      </x:c>
      <x:c r="S40" s="21" t="str">
        <x:v>completed 1974; refurbished 2015-2016</x:v>
      </x:c>
      <x:c r="T40" s="42" t="n">
        <x:v>72</x:v>
      </x:c>
      <x:c r="U40" s="42" t="n">
        <x:v>74</x:v>
      </x:c>
      <x:c r="V40" s="42" t="n">
        <x:v>223</x:v>
      </x:c>
      <x:c r="W40" s="33" t="str">
        <x:v>A</x:v>
      </x:c>
      <x:c r="X40" s="33" t="str">
        <x:v>confirmed_highrise</x:v>
      </x:c>
      <x:c r="Y40" s="33" t="str">
        <x:v>候选待核实</x:v>
      </x:c>
      <x:c r="Z40" s="21" t="str">
        <x:v>英国Grenfell Tower Inquiry正式报告；伤亡、建筑和传播机制均有系统调查。</x:v>
      </x:c>
      <x:c r="AA40" s="21" t="str">
        <x:v>区域代理-欧洲非洲</x:v>
      </x:c>
      <x:c r="AB40" s="21" t="str">
        <x:v>区域代理-欧洲非洲</x:v>
      </x:c>
      <x:c r="AC40" s="21" t="str"/>
      <x:c r="AD40" s="21" t="n">
        <x:v>1</x:v>
      </x:c>
      <x:c r="AE40" s="21" t="str">
        <x:v>未检查</x:v>
      </x:c>
      <x:c r="AF40" s="21" t="str"/>
      <x:c r="AG40" s="24" t="n">
        <x:v>46260</x:v>
      </x:c>
      <x:c r="AH40" s="21" t="str"/>
      <x:c r="AI40" s="21" t="n">
        <x:v>1</x:v>
      </x:c>
      <x:c r="AJ40" s="21" t="str">
        <x:v>未评估（本事件表不建立热浪因果关系）</x:v>
      </x:c>
      <x:c r="AK40" s="21" t="str">
        <x:v>已有来源描述</x:v>
      </x:c>
    </x:row>
    <x:row r="41" ht="42" customHeight="1">
      <x:c r="A41" s="33" t="n">
        <x:v>40</x:v>
      </x:c>
      <x:c r="B41" s="33" t="str">
        <x:v>RAW-0040</x:v>
      </x:c>
      <x:c r="C41" s="36" t="str">
        <x:v>欧洲</x:v>
      </x:c>
      <x:c r="D41" s="36" t="str">
        <x:v>United Kingdom</x:v>
      </x:c>
      <x:c r="E41" s="21" t="str">
        <x:v>Northern Quarter, Manchester, England, United Kingdom</x:v>
      </x:c>
      <x:c r="F41" s="21" t="str">
        <x:v>Lighthouse Apartments fire</x:v>
      </x:c>
      <x:c r="G41" s="39" t="n">
        <x:v>43099</x:v>
      </x:c>
      <x:c r="H41" s="21" t="str">
        <x:v>12层住宅楼9层起火，火焰通过木质阳台向10至11层传播。</x:v>
      </x:c>
      <x:c r="I41" s="21" t="str">
        <x:v>来源未给出最终起火原因；木质阳台促进竖向传播。</x:v>
      </x:c>
      <x:c r="J41" s="21" t="str">
        <x:v>3人接受烟气吸入治疗，1人送院；无死亡。</x:v>
      </x:c>
      <x:c r="K41" s="21" t="str">
        <x:v>https://ctif.org/sites/default/files/2025-08/CTIF_Report30.pdf</x:v>
      </x:c>
      <x:c r="L41" s="27" t="n">
        <x:v>53.4843</x:v>
      </x:c>
      <x:c r="M41" s="27" t="n">
        <x:v>-2.235</x:v>
      </x:c>
      <x:c r="N41" s="21" t="str">
        <x:v>事件/建筑近似点（候选来源提供）</x:v>
      </x:c>
      <x:c r="O41" s="21" t="str">
        <x:v>high-rise residential exterior fire</x:v>
      </x:c>
      <x:c r="P41" s="21" t="str">
        <x:v>residential</x:v>
      </x:c>
      <x:c r="Q41" s="21" t="str">
        <x:v>12 storeys; floors 9-11 affected</x:v>
      </x:c>
      <x:c r="R41" s="21" t="str">
        <x:v>未检索到</x:v>
      </x:c>
      <x:c r="S41" s="21" t="str">
        <x:v>未检索到</x:v>
      </x:c>
      <x:c r="T41" s="42" t="n">
        <x:v>0</x:v>
      </x:c>
      <x:c r="U41" s="42" t="n">
        <x:v>4</x:v>
      </x:c>
      <x:c r="V41" s="42"/>
      <x:c r="W41" s="33" t="str">
        <x:v>B</x:v>
      </x:c>
      <x:c r="X41" s="33" t="str">
        <x:v>confirmed_highrise</x:v>
      </x:c>
      <x:c r="Y41" s="33" t="str">
        <x:v>候选待核实</x:v>
      </x:c>
      <x:c r="Z41" s="21" t="str">
        <x:v>CTIF报告明确12层、起火层、传播路径和伤情。</x:v>
      </x:c>
      <x:c r="AA41" s="21" t="str">
        <x:v>区域代理-欧洲非洲</x:v>
      </x:c>
      <x:c r="AB41" s="21" t="str">
        <x:v>区域代理-欧洲非洲</x:v>
      </x:c>
      <x:c r="AC41" s="21" t="str"/>
      <x:c r="AD41" s="21" t="n">
        <x:v>1</x:v>
      </x:c>
      <x:c r="AE41" s="21" t="str">
        <x:v>未检查</x:v>
      </x:c>
      <x:c r="AF41" s="21" t="str"/>
      <x:c r="AG41" s="24" t="n">
        <x:v>46260</x:v>
      </x:c>
      <x:c r="AH41" s="21" t="str"/>
      <x:c r="AI41" s="21" t="n">
        <x:v>1</x:v>
      </x:c>
      <x:c r="AJ41" s="21" t="str">
        <x:v>未评估（本事件表不建立热浪因果关系）</x:v>
      </x:c>
      <x:c r="AK41" s="21" t="str">
        <x:v>缺失/待核实</x:v>
      </x:c>
    </x:row>
    <x:row r="42" ht="42" customHeight="1">
      <x:c r="A42" s="33" t="n">
        <x:v>41</x:v>
      </x:c>
      <x:c r="B42" s="33" t="str">
        <x:v>RAW-0041</x:v>
      </x:c>
      <x:c r="C42" s="36" t="str">
        <x:v>欧洲</x:v>
      </x:c>
      <x:c r="D42" s="36" t="str">
        <x:v>France</x:v>
      </x:c>
      <x:c r="E42" s="21" t="str">
        <x:v>16th arrondissement, Paris, Île-de-France, France</x:v>
      </x:c>
      <x:c r="F42" s="21" t="str">
        <x:v>17 bis rue Erlanger apartment fire</x:v>
      </x:c>
      <x:c r="G42" s="39" t="n">
        <x:v>43501</x:v>
      </x:c>
      <x:c r="H42" s="21" t="str">
        <x:v>巴黎一栋9层住宅楼遭纵火，火与烟影响3至9层。</x:v>
      </x:c>
      <x:c r="I42" s="21" t="str">
        <x:v>邻里纠纷后人为纵火。</x:v>
      </x:c>
      <x:c r="J42" s="21" t="str">
        <x:v>10人死亡、36人受伤；3至9层受影响。</x:v>
      </x:c>
      <x:c r="K42" s="21" t="str">
        <x:v>https://en.wikipedia.org/wiki/List_of_high-rise_fa%C3%A7ade_fires</x:v>
      </x:c>
      <x:c r="L42" s="27" t="n">
        <x:v>48.847</x:v>
      </x:c>
      <x:c r="M42" s="27" t="n">
        <x:v>2.263</x:v>
      </x:c>
      <x:c r="N42" s="21" t="str">
        <x:v>事件/建筑近似点（候选来源提供）</x:v>
      </x:c>
      <x:c r="O42" s="21" t="str">
        <x:v>multi-storey residential / arson fire</x:v>
      </x:c>
      <x:c r="P42" s="21" t="str">
        <x:v>residential</x:v>
      </x:c>
      <x:c r="Q42" s="21" t="str">
        <x:v>9 storeys; floors 3-9 affected</x:v>
      </x:c>
      <x:c r="R42" s="21" t="str">
        <x:v>未检索到</x:v>
      </x:c>
      <x:c r="S42" s="21" t="str">
        <x:v>older Paris apartment building</x:v>
      </x:c>
      <x:c r="T42" s="42" t="n">
        <x:v>10</x:v>
      </x:c>
      <x:c r="U42" s="42" t="n">
        <x:v>36</x:v>
      </x:c>
      <x:c r="V42" s="42"/>
      <x:c r="W42" s="33" t="str">
        <x:v>C</x:v>
      </x:c>
      <x:c r="X42" s="33" t="str">
        <x:v>threshold_review_9_storeys</x:v>
      </x:c>
      <x:c r="Y42" s="33" t="str">
        <x:v>候选待核实</x:v>
      </x:c>
      <x:c r="Z42" s="21" t="str">
        <x:v>高层外立面火灾汇总表记录10死36伤和受影响楼层；9层是否纳入最终高层需统一阈值。</x:v>
      </x:c>
      <x:c r="AA42" s="21" t="str">
        <x:v>区域代理-欧洲非洲</x:v>
      </x:c>
      <x:c r="AB42" s="21" t="str">
        <x:v>区域代理-欧洲非洲</x:v>
      </x:c>
      <x:c r="AC42" s="21" t="str"/>
      <x:c r="AD42" s="21" t="n">
        <x:v>1</x:v>
      </x:c>
      <x:c r="AE42" s="21" t="str">
        <x:v>未检查</x:v>
      </x:c>
      <x:c r="AF42" s="21" t="str"/>
      <x:c r="AG42" s="24" t="n">
        <x:v>46260</x:v>
      </x:c>
      <x:c r="AH42" s="21" t="str"/>
      <x:c r="AI42" s="21" t="n">
        <x:v>1</x:v>
      </x:c>
      <x:c r="AJ42" s="21" t="str">
        <x:v>未评估（本事件表不建立热浪因果关系）</x:v>
      </x:c>
      <x:c r="AK42" s="21" t="str">
        <x:v>已有来源描述</x:v>
      </x:c>
    </x:row>
    <x:row r="43" ht="42" customHeight="1">
      <x:c r="A43" s="33" t="n">
        <x:v>42</x:v>
      </x:c>
      <x:c r="B43" s="33" t="str">
        <x:v>RAW-0042</x:v>
      </x:c>
      <x:c r="C43" s="36" t="str">
        <x:v>欧洲</x:v>
      </x:c>
      <x:c r="D43" s="36" t="str">
        <x:v>Poland</x:v>
      </x:c>
      <x:c r="E43" s="21" t="str">
        <x:v>Wola, Warsaw, Masovian Voivodeship, Poland</x:v>
      </x:c>
      <x:c r="F43" s="21" t="str">
        <x:v>Warsaw Hub construction fire</x:v>
      </x:c>
      <x:c r="G43" s="39" t="n">
        <x:v>43623</x:v>
      </x:c>
      <x:c r="H43" s="21" t="str">
        <x:v>在建31层Warsaw Hub上部楼层发生大火，周边封锁但结构未被认为有坍塌危险。</x:v>
      </x:c>
      <x:c r="I43" s="21" t="str">
        <x:v>未核实。</x:v>
      </x:c>
      <x:c r="J43" s="21" t="str">
        <x:v>无伤亡报道；上部楼层受损，周边道路和区域临时封锁。</x:v>
      </x:c>
      <x:c r="K43" s="21" t="str">
        <x:v>https://ctif.org/sites/default/files/2025-08/CTIF_Report30.pdf</x:v>
      </x:c>
      <x:c r="L43" s="27" t="n">
        <x:v>52.229</x:v>
      </x:c>
      <x:c r="M43" s="27" t="n">
        <x:v>20.9847</x:v>
      </x:c>
      <x:c r="N43" s="21" t="str">
        <x:v>事件/建筑近似点（候选来源提供）</x:v>
      </x:c>
      <x:c r="O43" s="21" t="str">
        <x:v>high-rise construction fire</x:v>
      </x:c>
      <x:c r="P43" s="21" t="str">
        <x:v>office / mixed-use under construction</x:v>
      </x:c>
      <x:c r="Q43" s="21" t="str">
        <x:v>31 storeys</x:v>
      </x:c>
      <x:c r="R43" s="21" t="str">
        <x:v>未检索到</x:v>
      </x:c>
      <x:c r="S43" s="21" t="str">
        <x:v>under construction</x:v>
      </x:c>
      <x:c r="T43" s="42" t="n">
        <x:v>0</x:v>
      </x:c>
      <x:c r="U43" s="42" t="n">
        <x:v>0</x:v>
      </x:c>
      <x:c r="V43" s="42"/>
      <x:c r="W43" s="33" t="str">
        <x:v>B</x:v>
      </x:c>
      <x:c r="X43" s="33" t="str">
        <x:v>confirmed_highrise_date_recheck</x:v>
      </x:c>
      <x:c r="Y43" s="33" t="str">
        <x:v>候选待核实</x:v>
      </x:c>
      <x:c r="Z43" s="21" t="str">
        <x:v>CTIF报告明确31层、在建状态和结构影响；精确日期需再与CTBUH原始新闻核对。</x:v>
      </x:c>
      <x:c r="AA43" s="21" t="str">
        <x:v>区域代理-欧洲非洲</x:v>
      </x:c>
      <x:c r="AB43" s="21" t="str">
        <x:v>区域代理-欧洲非洲</x:v>
      </x:c>
      <x:c r="AC43" s="21" t="str"/>
      <x:c r="AD43" s="21" t="n">
        <x:v>1</x:v>
      </x:c>
      <x:c r="AE43" s="21" t="str">
        <x:v>未检查</x:v>
      </x:c>
      <x:c r="AF43" s="21" t="str"/>
      <x:c r="AG43" s="24" t="n">
        <x:v>46260</x:v>
      </x:c>
      <x:c r="AH43" s="21" t="str"/>
      <x:c r="AI43" s="21" t="n">
        <x:v>1</x:v>
      </x:c>
      <x:c r="AJ43" s="21" t="str">
        <x:v>未评估（本事件表不建立热浪因果关系）</x:v>
      </x:c>
      <x:c r="AK43" s="21" t="str">
        <x:v>已有来源描述</x:v>
      </x:c>
    </x:row>
    <x:row r="44" ht="42" customHeight="1">
      <x:c r="A44" s="33" t="n">
        <x:v>43</x:v>
      </x:c>
      <x:c r="B44" s="33" t="str">
        <x:v>RAW-0043</x:v>
      </x:c>
      <x:c r="C44" s="36" t="str">
        <x:v>欧洲</x:v>
      </x:c>
      <x:c r="D44" s="36" t="str">
        <x:v>France</x:v>
      </x:c>
      <x:c r="E44" s="21" t="str">
        <x:v>Seine Tower, Paris, Île-de-France, France</x:v>
      </x:c>
      <x:c r="F44" s="21" t="str">
        <x:v>Seine Tower fire</x:v>
      </x:c>
      <x:c r="G44" s="39" t="n">
        <x:v>43783</x:v>
      </x:c>
      <x:c r="H44" s="21" t="str">
        <x:v>巴黎Seine Tower发生局部高层外立面火灾。</x:v>
      </x:c>
      <x:c r="I44" s="21" t="str">
        <x:v>未核实。</x:v>
      </x:c>
      <x:c r="J44" s="21" t="str">
        <x:v>0人死亡、2人受伤；表中记1个楼层受影响。</x:v>
      </x:c>
      <x:c r="K44" s="21" t="str">
        <x:v>https://en.wikipedia.org/wiki/List_of_high-rise_fa%C3%A7ade_fires</x:v>
      </x:c>
      <x:c r="L44" s="27" t="n">
        <x:v>48.8566</x:v>
      </x:c>
      <x:c r="M44" s="27" t="n">
        <x:v>2.3522</x:v>
      </x:c>
      <x:c r="N44" s="21" t="str">
        <x:v>事件/建筑近似点（候选来源提供）</x:v>
      </x:c>
      <x:c r="O44" s="21" t="str">
        <x:v>high-rise tower fire</x:v>
      </x:c>
      <x:c r="P44" s="21" t="str">
        <x:v>unknown</x:v>
      </x:c>
      <x:c r="Q44" s="21" t="str">
        <x:v>high-rise; 1 floor affected; total floors to verify</x:v>
      </x:c>
      <x:c r="R44" s="21" t="str">
        <x:v>未检索到</x:v>
      </x:c>
      <x:c r="S44" s="21" t="str">
        <x:v>未检索到</x:v>
      </x:c>
      <x:c r="T44" s="42" t="n">
        <x:v>0</x:v>
      </x:c>
      <x:c r="U44" s="42" t="n">
        <x:v>2</x:v>
      </x:c>
      <x:c r="V44" s="42"/>
      <x:c r="W44" s="33" t="str">
        <x:v>C</x:v>
      </x:c>
      <x:c r="X44" s="33" t="str">
        <x:v>candidate_needs_building_details</x:v>
      </x:c>
      <x:c r="Y44" s="33" t="str">
        <x:v>候选待核实</x:v>
      </x:c>
      <x:c r="Z44" s="21" t="str">
        <x:v>高层外立面火灾汇总表记录0死2伤；总层数、用途和具体地址仍需补充。</x:v>
      </x:c>
      <x:c r="AA44" s="21" t="str">
        <x:v>区域代理-欧洲非洲</x:v>
      </x:c>
      <x:c r="AB44" s="21" t="str">
        <x:v>区域代理-欧洲非洲</x:v>
      </x:c>
      <x:c r="AC44" s="21" t="str"/>
      <x:c r="AD44" s="21" t="n">
        <x:v>1</x:v>
      </x:c>
      <x:c r="AE44" s="21" t="str">
        <x:v>未检查</x:v>
      </x:c>
      <x:c r="AF44" s="21" t="str"/>
      <x:c r="AG44" s="24" t="n">
        <x:v>46260</x:v>
      </x:c>
      <x:c r="AH44" s="21" t="str"/>
      <x:c r="AI44" s="21" t="n">
        <x:v>1</x:v>
      </x:c>
      <x:c r="AJ44" s="21" t="str">
        <x:v>未评估（本事件表不建立热浪因果关系）</x:v>
      </x:c>
      <x:c r="AK44" s="21" t="str">
        <x:v>已有来源描述</x:v>
      </x:c>
    </x:row>
    <x:row r="45" ht="42" customHeight="1">
      <x:c r="A45" s="33" t="n">
        <x:v>44</x:v>
      </x:c>
      <x:c r="B45" s="33" t="str">
        <x:v>RAW-0044</x:v>
      </x:c>
      <x:c r="C45" s="36" t="str">
        <x:v>欧洲</x:v>
      </x:c>
      <x:c r="D45" s="36" t="str">
        <x:v>United Kingdom</x:v>
      </x:c>
      <x:c r="E45" s="21" t="str">
        <x:v>Bolton, Greater Manchester, England, United Kingdom</x:v>
      </x:c>
      <x:c r="F45" s="21" t="str">
        <x:v>The Cube student residence fire</x:v>
      </x:c>
      <x:c r="G45" s="39" t="n">
        <x:v>43785</x:v>
      </x:c>
      <x:c r="H45" s="21" t="str">
        <x:v>学生公寓外墙发生快速燃烧并导致住户疏散。</x:v>
      </x:c>
      <x:c r="I45" s="21" t="str">
        <x:v>未核实；外墙系统被认为与快速传播有关。</x:v>
      </x:c>
      <x:c r="J45" s="21" t="str">
        <x:v>无死亡、2人受伤；学生住户被疏散。</x:v>
      </x:c>
      <x:c r="K45" s="21" t="str">
        <x:v>https://en.wikipedia.org/wiki/List_of_high-rise_fa%C3%A7ade_fires</x:v>
      </x:c>
      <x:c r="L45" s="27" t="n">
        <x:v>53.578</x:v>
      </x:c>
      <x:c r="M45" s="27" t="n">
        <x:v>-2.429</x:v>
      </x:c>
      <x:c r="N45" s="21" t="str">
        <x:v>事件/建筑近似点（候选来源提供）</x:v>
      </x:c>
      <x:c r="O45" s="21" t="str">
        <x:v>student-housing façade fire</x:v>
      </x:c>
      <x:c r="P45" s="21" t="str">
        <x:v>student housing</x:v>
      </x:c>
      <x:c r="Q45" s="21" t="str">
        <x:v>about 6 storeys</x:v>
      </x:c>
      <x:c r="R45" s="21" t="str">
        <x:v>未检索到</x:v>
      </x:c>
      <x:c r="S45" s="21" t="str">
        <x:v>recently built student accommodation</x:v>
      </x:c>
      <x:c r="T45" s="42" t="n">
        <x:v>0</x:v>
      </x:c>
      <x:c r="U45" s="42" t="n">
        <x:v>2</x:v>
      </x:c>
      <x:c r="V45" s="42"/>
      <x:c r="W45" s="33" t="str">
        <x:v>C</x:v>
      </x:c>
      <x:c r="X45" s="33" t="str">
        <x:v>exclude_if_threshold_ge_10_storeys</x:v>
      </x:c>
      <x:c r="Y45" s="33" t="str">
        <x:v>候选待核实</x:v>
      </x:c>
      <x:c r="Z45" s="21" t="str">
        <x:v>汇总表纳入高层外立面火灾，但该建筑约6层，可能不符合严格高层阈值。</x:v>
      </x:c>
      <x:c r="AA45" s="21" t="str">
        <x:v>区域代理-欧洲非洲</x:v>
      </x:c>
      <x:c r="AB45" s="21" t="str">
        <x:v>区域代理-欧洲非洲</x:v>
      </x:c>
      <x:c r="AC45" s="21" t="str"/>
      <x:c r="AD45" s="21" t="n">
        <x:v>1</x:v>
      </x:c>
      <x:c r="AE45" s="21" t="str">
        <x:v>未检查</x:v>
      </x:c>
      <x:c r="AF45" s="21" t="str"/>
      <x:c r="AG45" s="24" t="n">
        <x:v>46260</x:v>
      </x:c>
      <x:c r="AH45" s="21" t="str"/>
      <x:c r="AI45" s="21" t="n">
        <x:v>1</x:v>
      </x:c>
      <x:c r="AJ45" s="21" t="str">
        <x:v>未评估（本事件表不建立热浪因果关系）</x:v>
      </x:c>
      <x:c r="AK45" s="21" t="str">
        <x:v>已有来源描述</x:v>
      </x:c>
    </x:row>
    <x:row r="46" ht="42" customHeight="1">
      <x:c r="A46" s="33" t="n">
        <x:v>45</x:v>
      </x:c>
      <x:c r="B46" s="33" t="str">
        <x:v>RAW-0045</x:v>
      </x:c>
      <x:c r="C46" s="36" t="str">
        <x:v>欧洲</x:v>
      </x:c>
      <x:c r="D46" s="36" t="str">
        <x:v>Spain</x:v>
      </x:c>
      <x:c r="E46" s="21" t="str">
        <x:v>Madrid, Community of Madrid, Spain</x:v>
      </x:c>
      <x:c r="F46" s="21" t="str">
        <x:v>Madrid tower-block façade fire</x:v>
      </x:c>
      <x:c r="G46" s="39" t="n">
        <x:v>44072</x:v>
      </x:c>
      <x:c r="H46" s="21" t="str">
        <x:v>马德里一栋住宅塔楼局部外立面火灾跨越3层。</x:v>
      </x:c>
      <x:c r="I46" s="21" t="str">
        <x:v>未核实。</x:v>
      </x:c>
      <x:c r="J46" s="21" t="str">
        <x:v>无死亡、无受伤报道；3层受影响。</x:v>
      </x:c>
      <x:c r="K46" s="21" t="str">
        <x:v>https://en.wikipedia.org/wiki/List_of_high-rise_fa%C3%A7ade_fires</x:v>
      </x:c>
      <x:c r="L46" s="27" t="n">
        <x:v>40.4168</x:v>
      </x:c>
      <x:c r="M46" s="27" t="n">
        <x:v>-3.7038</x:v>
      </x:c>
      <x:c r="N46" s="21" t="str">
        <x:v>事件/建筑近似点（候选来源提供）</x:v>
      </x:c>
      <x:c r="O46" s="21" t="str">
        <x:v>high-rise residential façade fire</x:v>
      </x:c>
      <x:c r="P46" s="21" t="str">
        <x:v>residential</x:v>
      </x:c>
      <x:c r="Q46" s="21" t="str">
        <x:v>未检索到</x:v>
      </x:c>
      <x:c r="R46" s="21" t="str">
        <x:v>tower block; 3 floors affected; total floors to verify</x:v>
      </x:c>
      <x:c r="S46" s="21" t="str">
        <x:v>未检索到</x:v>
      </x:c>
      <x:c r="T46" s="42" t="n">
        <x:v>0</x:v>
      </x:c>
      <x:c r="U46" s="42" t="n">
        <x:v>0</x:v>
      </x:c>
      <x:c r="V46" s="42"/>
      <x:c r="W46" s="33" t="str">
        <x:v>C</x:v>
      </x:c>
      <x:c r="X46" s="33" t="str">
        <x:v>candidate_needs_building_details</x:v>
      </x:c>
      <x:c r="Y46" s="33" t="str">
        <x:v>候选待核实</x:v>
      </x:c>
      <x:c r="Z46" s="21" t="str">
        <x:v>高层外立面火灾汇总表确认日期、城市和3层受影响；建筑名、总层数和原因待核。</x:v>
      </x:c>
      <x:c r="AA46" s="21" t="str">
        <x:v>区域代理-欧洲非洲</x:v>
      </x:c>
      <x:c r="AB46" s="21" t="str">
        <x:v>区域代理-欧洲非洲</x:v>
      </x:c>
      <x:c r="AC46" s="21" t="str"/>
      <x:c r="AD46" s="21" t="n">
        <x:v>1</x:v>
      </x:c>
      <x:c r="AE46" s="21" t="str">
        <x:v>未检查</x:v>
      </x:c>
      <x:c r="AF46" s="21" t="str"/>
      <x:c r="AG46" s="24" t="n">
        <x:v>46260</x:v>
      </x:c>
      <x:c r="AH46" s="21" t="str"/>
      <x:c r="AI46" s="21" t="n">
        <x:v>1</x:v>
      </x:c>
      <x:c r="AJ46" s="21" t="str">
        <x:v>未评估（本事件表不建立热浪因果关系）</x:v>
      </x:c>
      <x:c r="AK46" s="21" t="str">
        <x:v>已有来源描述</x:v>
      </x:c>
    </x:row>
    <x:row r="47" ht="42" customHeight="1">
      <x:c r="A47" s="33" t="n">
        <x:v>46</x:v>
      </x:c>
      <x:c r="B47" s="33" t="str">
        <x:v>RAW-0046</x:v>
      </x:c>
      <x:c r="C47" s="36" t="str">
        <x:v>欧洲</x:v>
      </x:c>
      <x:c r="D47" s="36" t="str">
        <x:v>Italy</x:v>
      </x:c>
      <x:c r="E47" s="21" t="str">
        <x:v>Via Antonini, Milan, Lombardy, Italy</x:v>
      </x:c>
      <x:c r="F47" s="21" t="str">
        <x:v>Torre dei Moro fire</x:v>
      </x:c>
      <x:c r="G47" s="39" t="n">
        <x:v>44437</x:v>
      </x:c>
      <x:c r="H47" s="21" t="str">
        <x:v>米兰18层住宅塔楼外墙构件在短时间内几乎全高燃烧。</x:v>
      </x:c>
      <x:c r="I47" s="21" t="str">
        <x:v>最终起火原因需查意大利调查结论；外墙覆层促进快速蔓延。</x:v>
      </x:c>
      <x:c r="J47" s="21" t="str">
        <x:v>无死亡；住户全部撤离，建筑严重损毁，约70户受影响。</x:v>
      </x:c>
      <x:c r="K47" s="21" t="str">
        <x:v>https://www.rainews.it/archivio-rainews/articoli/Grattacielo-in-fiamme-a-Milano-ancora-in-corso-le-operazioni-di-spegnimento-Nessuna-vittima-287fb407-626c-470a-8db3-efd789f646a8.html</x:v>
      </x:c>
      <x:c r="L47" s="27" t="n">
        <x:v>45.4376</x:v>
      </x:c>
      <x:c r="M47" s="27" t="n">
        <x:v>9.1805</x:v>
      </x:c>
      <x:c r="N47" s="21" t="str">
        <x:v>事件/建筑近似点（候选来源提供）</x:v>
      </x:c>
      <x:c r="O47" s="21" t="str">
        <x:v>high-rise residential façade fire</x:v>
      </x:c>
      <x:c r="P47" s="21" t="str">
        <x:v>residential</x:v>
      </x:c>
      <x:c r="Q47" s="21" t="str">
        <x:v>18 storeys / over 60 m</x:v>
      </x:c>
      <x:c r="R47" s="21" t="str">
        <x:v>未检索到</x:v>
      </x:c>
      <x:c r="S47" s="21" t="str">
        <x:v>completed around 2011</x:v>
      </x:c>
      <x:c r="T47" s="42" t="n">
        <x:v>0</x:v>
      </x:c>
      <x:c r="U47" s="42" t="n">
        <x:v>0</x:v>
      </x:c>
      <x:c r="V47" s="42" t="n">
        <x:v>70</x:v>
      </x:c>
      <x:c r="W47" s="33" t="str">
        <x:v>B</x:v>
      </x:c>
      <x:c r="X47" s="33" t="str">
        <x:v>confirmed_highrise</x:v>
      </x:c>
      <x:c r="Y47" s="33" t="str">
        <x:v>候选待核实</x:v>
      </x:c>
      <x:c r="Z47" s="21" t="str">
        <x:v>Rai报道引用意大利消防部门；另有建筑资料确认18层、约60米。</x:v>
      </x:c>
      <x:c r="AA47" s="21" t="str">
        <x:v>区域代理-欧洲非洲</x:v>
      </x:c>
      <x:c r="AB47" s="21" t="str">
        <x:v>区域代理-欧洲非洲</x:v>
      </x:c>
      <x:c r="AC47" s="21" t="str"/>
      <x:c r="AD47" s="21" t="n">
        <x:v>1</x:v>
      </x:c>
      <x:c r="AE47" s="21" t="str">
        <x:v>未检查</x:v>
      </x:c>
      <x:c r="AF47" s="21" t="str"/>
      <x:c r="AG47" s="24" t="n">
        <x:v>46260</x:v>
      </x:c>
      <x:c r="AH47" s="21" t="str"/>
      <x:c r="AI47" s="21" t="n">
        <x:v>1</x:v>
      </x:c>
      <x:c r="AJ47" s="21" t="str">
        <x:v>未评估（本事件表不建立热浪因果关系）</x:v>
      </x:c>
      <x:c r="AK47" s="21" t="str">
        <x:v>已有来源描述</x:v>
      </x:c>
    </x:row>
    <x:row r="48" ht="42" customHeight="1">
      <x:c r="A48" s="33" t="n">
        <x:v>47</x:v>
      </x:c>
      <x:c r="B48" s="33" t="str">
        <x:v>RAW-0047</x:v>
      </x:c>
      <x:c r="C48" s="36" t="str">
        <x:v>欧洲</x:v>
      </x:c>
      <x:c r="D48" s="36" t="str">
        <x:v>Spain</x:v>
      </x:c>
      <x:c r="E48" s="21" t="str">
        <x:v>Campanar, Valencia, Valencian Community, Spain</x:v>
      </x:c>
      <x:c r="F48" s="21" t="str">
        <x:v>Valencia residential complex fire</x:v>
      </x:c>
      <x:c r="G48" s="39" t="n">
        <x:v>45344</x:v>
      </x:c>
      <x:c r="H48" s="21" t="str">
        <x:v>14层住宅综合体一户起火后在强风下迅速蔓延至外墙和相邻楼体。</x:v>
      </x:c>
      <x:c r="I48" s="21" t="str">
        <x:v>火始于住宅单元；后续调查指向冰箱制冷剂泄漏后被火花点燃，但点火细节并非完全确定。</x:v>
      </x:c>
      <x:c r="J48" s="21" t="str">
        <x:v>10人死亡、15人接受伤情治疗；约140套住宅所在综合体严重烧毁，住户临时安置。</x:v>
      </x:c>
      <x:c r="K48" s="21" t="str">
        <x:v>https://apnews.com/article/e57323a53ece0d24e14ad67a3049ff47</x:v>
      </x:c>
      <x:c r="L48" s="27" t="n">
        <x:v>39.4862</x:v>
      </x:c>
      <x:c r="M48" s="27" t="n">
        <x:v>-0.4057</x:v>
      </x:c>
      <x:c r="N48" s="21" t="str">
        <x:v>事件/建筑近似点（候选来源提供）</x:v>
      </x:c>
      <x:c r="O48" s="21" t="str">
        <x:v>high-rise residential façade fire</x:v>
      </x:c>
      <x:c r="P48" s="21" t="str">
        <x:v>residential</x:v>
      </x:c>
      <x:c r="Q48" s="21" t="str">
        <x:v>14 storeys</x:v>
      </x:c>
      <x:c r="R48" s="21" t="str">
        <x:v>未检索到</x:v>
      </x:c>
      <x:c r="S48" s="21" t="str">
        <x:v>modern residential complex</x:v>
      </x:c>
      <x:c r="T48" s="42" t="n">
        <x:v>10</x:v>
      </x:c>
      <x:c r="U48" s="42" t="n">
        <x:v>15</x:v>
      </x:c>
      <x:c r="V48" s="42" t="n">
        <x:v>140</x:v>
      </x:c>
      <x:c r="W48" s="33" t="str">
        <x:v>A</x:v>
      </x:c>
      <x:c r="X48" s="33" t="str">
        <x:v>confirmed_highrise</x:v>
      </x:c>
      <x:c r="Y48" s="33" t="str">
        <x:v>候选待核实</x:v>
      </x:c>
      <x:c r="Z48" s="21" t="str">
        <x:v>AP后续报道确认最终10名死者、14层和约140套住宅；原因最终结论仍应以西班牙调查为准。</x:v>
      </x:c>
      <x:c r="AA48" s="21" t="str">
        <x:v>区域代理-欧洲非洲</x:v>
      </x:c>
      <x:c r="AB48" s="21" t="str">
        <x:v>区域代理-欧洲非洲</x:v>
      </x:c>
      <x:c r="AC48" s="21" t="str"/>
      <x:c r="AD48" s="21" t="n">
        <x:v>1</x:v>
      </x:c>
      <x:c r="AE48" s="21" t="str">
        <x:v>未检查</x:v>
      </x:c>
      <x:c r="AF48" s="21" t="str"/>
      <x:c r="AG48" s="24" t="n">
        <x:v>46260</x:v>
      </x:c>
      <x:c r="AH48" s="21" t="str"/>
      <x:c r="AI48" s="21" t="n">
        <x:v>1</x:v>
      </x:c>
      <x:c r="AJ48" s="21" t="str">
        <x:v>未评估（本事件表不建立热浪因果关系）</x:v>
      </x:c>
      <x:c r="AK48" s="21" t="str">
        <x:v>已有来源描述</x:v>
      </x:c>
    </x:row>
    <x:row r="49" ht="42" customHeight="1">
      <x:c r="A49" s="33" t="n">
        <x:v>48</x:v>
      </x:c>
      <x:c r="B49" s="33" t="str">
        <x:v>RAW-0048</x:v>
      </x:c>
      <x:c r="C49" s="36" t="str">
        <x:v>欧洲</x:v>
      </x:c>
      <x:c r="D49" s="36" t="str">
        <x:v>France</x:v>
      </x:c>
      <x:c r="E49" s="21" t="str">
        <x:v>146 rue de Charonne, Paris, Île-de-France, France</x:v>
      </x:c>
      <x:c r="F49" s="21" t="str">
        <x:v>146 rue de Charonne fire</x:v>
      </x:c>
      <x:c r="G49" s="39" t="n">
        <x:v>45389</x:v>
      </x:c>
      <x:c r="H49" s="21" t="str">
        <x:v>巴黎一栋12层建筑7层发生火灾。</x:v>
      </x:c>
      <x:c r="I49" s="21" t="str">
        <x:v>未核实。</x:v>
      </x:c>
      <x:c r="J49" s="21" t="str">
        <x:v>3人死亡；表中未记录受伤。</x:v>
      </x:c>
      <x:c r="K49" s="21" t="str">
        <x:v>https://en.wikipedia.org/wiki/List_of_high-rise_fa%C3%A7ade_fires</x:v>
      </x:c>
      <x:c r="L49" s="27" t="n">
        <x:v>48.854</x:v>
      </x:c>
      <x:c r="M49" s="27" t="n">
        <x:v>2.389</x:v>
      </x:c>
      <x:c r="N49" s="21" t="str">
        <x:v>事件/建筑近似点（候选来源提供）</x:v>
      </x:c>
      <x:c r="O49" s="21" t="str">
        <x:v>high-rise residential fire</x:v>
      </x:c>
      <x:c r="P49" s="21" t="str">
        <x:v>residential / mixed-use to verify</x:v>
      </x:c>
      <x:c r="Q49" s="21" t="str">
        <x:v>12 storeys; fire on 7th floor</x:v>
      </x:c>
      <x:c r="R49" s="21" t="str">
        <x:v>未检索到</x:v>
      </x:c>
      <x:c r="S49" s="21" t="str">
        <x:v>未检索到</x:v>
      </x:c>
      <x:c r="T49" s="42" t="n">
        <x:v>3</x:v>
      </x:c>
      <x:c r="U49" s="42" t="n">
        <x:v>0</x:v>
      </x:c>
      <x:c r="V49" s="42"/>
      <x:c r="W49" s="33" t="str">
        <x:v>C</x:v>
      </x:c>
      <x:c r="X49" s="33" t="str">
        <x:v>confirmed_height_needs_primary_source</x:v>
      </x:c>
      <x:c r="Y49" s="33" t="str">
        <x:v>候选待核实</x:v>
      </x:c>
      <x:c r="Z49" s="21" t="str">
        <x:v>高层外立面火灾汇总表确认12层、7层起火和3人死亡；需补法国警方或消防原始来源。</x:v>
      </x:c>
      <x:c r="AA49" s="21" t="str">
        <x:v>区域代理-欧洲非洲</x:v>
      </x:c>
      <x:c r="AB49" s="21" t="str">
        <x:v>区域代理-欧洲非洲</x:v>
      </x:c>
      <x:c r="AC49" s="21" t="str"/>
      <x:c r="AD49" s="21" t="n">
        <x:v>1</x:v>
      </x:c>
      <x:c r="AE49" s="21" t="str">
        <x:v>未检查</x:v>
      </x:c>
      <x:c r="AF49" s="21" t="str"/>
      <x:c r="AG49" s="24" t="n">
        <x:v>46260</x:v>
      </x:c>
      <x:c r="AH49" s="21" t="str"/>
      <x:c r="AI49" s="21" t="n">
        <x:v>1</x:v>
      </x:c>
      <x:c r="AJ49" s="21" t="str">
        <x:v>未评估（本事件表不建立热浪因果关系）</x:v>
      </x:c>
      <x:c r="AK49" s="21" t="str">
        <x:v>已有来源描述</x:v>
      </x:c>
    </x:row>
    <x:row r="50" ht="42" customHeight="1">
      <x:c r="A50" s="33" t="n">
        <x:v>49</x:v>
      </x:c>
      <x:c r="B50" s="33" t="str">
        <x:v>RAW-0049</x:v>
      </x:c>
      <x:c r="C50" s="36" t="str">
        <x:v>欧洲</x:v>
      </x:c>
      <x:c r="D50" s="36" t="str">
        <x:v>Croatia</x:v>
      </x:c>
      <x:c r="E50" s="21" t="str">
        <x:v>Vjesnik Tower, Zagreb, City of Zagreb, Croatia</x:v>
      </x:c>
      <x:c r="F50" s="21" t="str">
        <x:v>Vjesnik Tower fire</x:v>
      </x:c>
      <x:c r="G50" s="39" t="n">
        <x:v>45978</x:v>
      </x:c>
      <x:c r="H50" s="21" t="str">
        <x:v>萨格勒布地标高层办公塔发生大火，建筑内部和上部楼层严重损毁。</x:v>
      </x:c>
      <x:c r="I50" s="21" t="str">
        <x:v>未核实。</x:v>
      </x:c>
      <x:c r="J50" s="21" t="str">
        <x:v>建筑几乎被完全烧毁；无人员伤亡。</x:v>
      </x:c>
      <x:c r="K50" s="21" t="str">
        <x:v>https://apnews.com/article/09f6463cc7981e4ee74cc79fbe922b07</x:v>
      </x:c>
      <x:c r="L50" s="27" t="n">
        <x:v>45.7997</x:v>
      </x:c>
      <x:c r="M50" s="27" t="n">
        <x:v>15.9614</x:v>
      </x:c>
      <x:c r="N50" s="21" t="str">
        <x:v>事件/建筑近似点（候选来源提供）</x:v>
      </x:c>
      <x:c r="O50" s="21" t="str">
        <x:v>high-rise office fire</x:v>
      </x:c>
      <x:c r="P50" s="21" t="str">
        <x:v>office / former newspaper headquarters</x:v>
      </x:c>
      <x:c r="Q50" s="21" t="str">
        <x:v>about 16 storeys / landmark tower</x:v>
      </x:c>
      <x:c r="R50" s="21" t="str">
        <x:v>未检索到</x:v>
      </x:c>
      <x:c r="S50" s="21" t="str">
        <x:v>older landmark office tower</x:v>
      </x:c>
      <x:c r="T50" s="42" t="n">
        <x:v>0</x:v>
      </x:c>
      <x:c r="U50" s="42" t="n">
        <x:v>0</x:v>
      </x:c>
      <x:c r="V50" s="42" t="n">
        <x:v>0</x:v>
      </x:c>
      <x:c r="W50" s="33" t="str">
        <x:v>A</x:v>
      </x:c>
      <x:c r="X50" s="33" t="str">
        <x:v>confirmed_highrise</x:v>
      </x:c>
      <x:c r="Y50" s="33" t="str">
        <x:v>候选待核实</x:v>
      </x:c>
      <x:c r="Z50" s="21" t="str">
        <x:v>AP确认事件和无人员伤亡；建筑资料显示约16层，需再用业主或市政府资料核对确切层数。</x:v>
      </x:c>
      <x:c r="AA50" s="21" t="str">
        <x:v>区域代理-欧洲非洲</x:v>
      </x:c>
      <x:c r="AB50" s="21" t="str">
        <x:v>区域代理-欧洲非洲</x:v>
      </x:c>
      <x:c r="AC50" s="21" t="str"/>
      <x:c r="AD50" s="21" t="n">
        <x:v>1</x:v>
      </x:c>
      <x:c r="AE50" s="21" t="str">
        <x:v>未检查</x:v>
      </x:c>
      <x:c r="AF50" s="21" t="str"/>
      <x:c r="AG50" s="24" t="n">
        <x:v>46260</x:v>
      </x:c>
      <x:c r="AH50" s="21" t="str"/>
      <x:c r="AI50" s="21" t="n">
        <x:v>1</x:v>
      </x:c>
      <x:c r="AJ50" s="21" t="str">
        <x:v>未评估（本事件表不建立热浪因果关系）</x:v>
      </x:c>
      <x:c r="AK50" s="21" t="str">
        <x:v>已有来源描述</x:v>
      </x:c>
    </x:row>
    <x:row r="51" ht="42" customHeight="1">
      <x:c r="A51" s="33" t="n">
        <x:v>50</x:v>
      </x:c>
      <x:c r="B51" s="33" t="str">
        <x:v>RAW-0050</x:v>
      </x:c>
      <x:c r="C51" s="36" t="str">
        <x:v>非洲</x:v>
      </x:c>
      <x:c r="D51" s="36" t="str">
        <x:v>South Africa</x:v>
      </x:c>
      <x:c r="E51" s="21" t="str">
        <x:v>Johannesburg CBD, Gauteng, South Africa</x:v>
      </x:c>
      <x:c r="F51" s="21" t="str">
        <x:v>Rand Inn International Hotel fire</x:v>
      </x:c>
      <x:c r="G51" s="39" t="n">
        <x:v>37685</x:v>
      </x:c>
      <x:c r="H51" s="21" t="str">
        <x:v>约21层住宅旅馆低层餐厅/厨房起火，烟气通过楼梯间和电梯井充满整栋高层。</x:v>
      </x:c>
      <x:c r="I51" s="21" t="str">
        <x:v>餐厅厨房火花起火为CTIF汇总说法；同期报道仅确认火集中于2至3层，原因应再查消防调查。</x:v>
      </x:c>
      <x:c r="J51" s="21" t="str">
        <x:v>同期报道5死61伤，其中有人从高层跳下；CTIF汇总为6死67伤。</x:v>
      </x:c>
      <x:c r="K51" s="21" t="str">
        <x:v>https://iol.co.za/news/south-africa/2003-03-05-joburg-fire-victims-leap-to-their-death/</x:v>
      </x:c>
      <x:c r="L51" s="27" t="n">
        <x:v>-26.2041</x:v>
      </x:c>
      <x:c r="M51" s="27" t="n">
        <x:v>28.0473</x:v>
      </x:c>
      <x:c r="N51" s="21" t="str">
        <x:v>事件/建筑近似点（候选来源提供）</x:v>
      </x:c>
      <x:c r="O51" s="21" t="str">
        <x:v>high-rise hotel / residential fire</x:v>
      </x:c>
      <x:c r="P51" s="21" t="str">
        <x:v>residential hotel</x:v>
      </x:c>
      <x:c r="Q51" s="21" t="str">
        <x:v>20-21 storeys</x:v>
      </x:c>
      <x:c r="R51" s="21" t="str">
        <x:v>未检索到</x:v>
      </x:c>
      <x:c r="S51" s="21" t="str">
        <x:v>older inner-city residential hotel</x:v>
      </x:c>
      <x:c r="T51" s="42" t="n">
        <x:v>5</x:v>
      </x:c>
      <x:c r="U51" s="42" t="n">
        <x:v>61</x:v>
      </x:c>
      <x:c r="V51" s="42"/>
      <x:c r="W51" s="33" t="str">
        <x:v>B</x:v>
      </x:c>
      <x:c r="X51" s="33" t="str">
        <x:v>confirmed_highrise_casualty_discrepancy</x:v>
      </x:c>
      <x:c r="Y51" s="33" t="str">
        <x:v>候选待核实</x:v>
      </x:c>
      <x:c r="Z51" s="21" t="str">
        <x:v>IOL同期报道明确20层烟气传播、5死61伤；CTIF二次汇总记21层、6死67伤，存在版本差异。</x:v>
      </x:c>
      <x:c r="AA51" s="21" t="str">
        <x:v>区域代理-欧洲非洲</x:v>
      </x:c>
      <x:c r="AB51" s="21" t="str">
        <x:v>区域代理-欧洲非洲</x:v>
      </x:c>
      <x:c r="AC51" s="21" t="str"/>
      <x:c r="AD51" s="21" t="n">
        <x:v>1</x:v>
      </x:c>
      <x:c r="AE51" s="21" t="str">
        <x:v>未检查</x:v>
      </x:c>
      <x:c r="AF51" s="21" t="str"/>
      <x:c r="AG51" s="24" t="n">
        <x:v>46260</x:v>
      </x:c>
      <x:c r="AH51" s="21" t="str"/>
      <x:c r="AI51" s="21" t="n">
        <x:v>1</x:v>
      </x:c>
      <x:c r="AJ51" s="21" t="str">
        <x:v>未评估（本事件表不建立热浪因果关系）</x:v>
      </x:c>
      <x:c r="AK51" s="21" t="str">
        <x:v>已有来源描述</x:v>
      </x:c>
    </x:row>
    <x:row r="52" ht="42" customHeight="1">
      <x:c r="A52" s="33" t="n">
        <x:v>51</x:v>
      </x:c>
      <x:c r="B52" s="33" t="str">
        <x:v>RAW-0051</x:v>
      </x:c>
      <x:c r="C52" s="36" t="str">
        <x:v>非洲</x:v>
      </x:c>
      <x:c r="D52" s="36" t="str">
        <x:v>Egypt</x:v>
      </x:c>
      <x:c r="E52" s="21" t="str">
        <x:v>Abbas Al-Aqqad Street, Nasr City, Cairo, Egypt</x:v>
      </x:c>
      <x:c r="F52" s="21" t="str">
        <x:v>Nasr City high-rise fire and collapse</x:v>
      </x:c>
      <x:c r="G52" s="39" t="n">
        <x:v>38012</x:v>
      </x:c>
      <x:c r="H52" s="21" t="str">
        <x:v>开罗Nasr City一栋12层住宅商住楼底层商店起火后发生气瓶爆炸并整体坍塌。</x:v>
      </x:c>
      <x:c r="I52" s="21" t="str">
        <x:v>底层家电商店/仓库起火，餐馆气瓶受热爆炸；违法加层和较差施工被认为导致坍塌。</x:v>
      </x:c>
      <x:c r="J52" s="21" t="str">
        <x:v>最终报道14人死亡、36至40余人受伤；相邻两栋楼被疏散。</x:v>
      </x:c>
      <x:c r="K52" s="21" t="str">
        <x:v>https://www.cbsnews.com/news/collapsed-cairo-high-rise-traps-15/</x:v>
      </x:c>
      <x:c r="L52" s="27" t="n">
        <x:v>30.056</x:v>
      </x:c>
      <x:c r="M52" s="27" t="n">
        <x:v>31.33</x:v>
      </x:c>
      <x:c r="N52" s="21" t="str">
        <x:v>事件/建筑近似点（候选来源提供）</x:v>
      </x:c>
      <x:c r="O52" s="21" t="str">
        <x:v>high-rise mixed-use fire and collapse</x:v>
      </x:c>
      <x:c r="P52" s="21" t="str">
        <x:v>residential with ground-floor commercial uses</x:v>
      </x:c>
      <x:c r="Q52" s="21" t="str">
        <x:v>11-12 storeys; originally permitted 4-5 floors</x:v>
      </x:c>
      <x:c r="R52" s="21" t="str">
        <x:v>未检索到</x:v>
      </x:c>
      <x:c r="S52" s="21" t="str">
        <x:v>built 1981; 6-7 floors added illegally</x:v>
      </x:c>
      <x:c r="T52" s="42" t="n">
        <x:v>14</x:v>
      </x:c>
      <x:c r="U52" s="42" t="n">
        <x:v>36</x:v>
      </x:c>
      <x:c r="V52" s="42"/>
      <x:c r="W52" s="33" t="str">
        <x:v>A</x:v>
      </x:c>
      <x:c r="X52" s="33" t="str">
        <x:v>confirmed_highrise_floor_discrepancy</x:v>
      </x:c>
      <x:c r="Y52" s="33" t="str">
        <x:v>候选待核实</x:v>
      </x:c>
      <x:c r="Z52" s="21" t="str">
        <x:v>CBS刊载AP同期报道；Al Jazeera后续确认14死36伤，楼层报道11至12层不一。</x:v>
      </x:c>
      <x:c r="AA52" s="21" t="str">
        <x:v>区域代理-欧洲非洲</x:v>
      </x:c>
      <x:c r="AB52" s="21" t="str">
        <x:v>区域代理-欧洲非洲</x:v>
      </x:c>
      <x:c r="AC52" s="21" t="str"/>
      <x:c r="AD52" s="21" t="n">
        <x:v>1</x:v>
      </x:c>
      <x:c r="AE52" s="21" t="str">
        <x:v>未检查</x:v>
      </x:c>
      <x:c r="AF52" s="21" t="str"/>
      <x:c r="AG52" s="24" t="n">
        <x:v>46260</x:v>
      </x:c>
      <x:c r="AH52" s="21" t="str"/>
      <x:c r="AI52" s="21" t="n">
        <x:v>1</x:v>
      </x:c>
      <x:c r="AJ52" s="21" t="str">
        <x:v>未评估（本事件表不建立热浪因果关系）</x:v>
      </x:c>
      <x:c r="AK52" s="21" t="str">
        <x:v>已有来源描述</x:v>
      </x:c>
    </x:row>
    <x:row r="53" ht="42" customHeight="1">
      <x:c r="A53" s="33" t="n">
        <x:v>52</x:v>
      </x:c>
      <x:c r="B53" s="33" t="str">
        <x:v>RAW-0052</x:v>
      </x:c>
      <x:c r="C53" s="36" t="str">
        <x:v>非洲</x:v>
      </x:c>
      <x:c r="D53" s="36" t="str">
        <x:v>Nigeria</x:v>
      </x:c>
      <x:c r="E53" s="21" t="str">
        <x:v>47/57 Martins Street, Lagos Island, Lagos State, Nigeria</x:v>
      </x:c>
      <x:c r="F53" s="21" t="str">
        <x:v>Great Nigeria House fire</x:v>
      </x:c>
      <x:c r="G53" s="39" t="n">
        <x:v>41582</x:v>
      </x:c>
      <x:c r="H53" s="21" t="str">
        <x:v>25层商业大楼低层起火并持续燃烧约24小时，影响1至3层及夹层。</x:v>
      </x:c>
      <x:c r="I53" s="21" t="str">
        <x:v>确切原因未定；同期目击者称恢复供电后出现浓烟，可燃商品加剧火势。</x:v>
      </x:c>
      <x:c r="J53" s="21" t="str">
        <x:v>无死亡；同期报道2至3人受伤，超过200名商户受影响，财产损失巨大。</x:v>
      </x:c>
      <x:c r="K53" s="21" t="str">
        <x:v>https://www.greatnigeriaplc.com/report/2014FinancialStatementFull.pdf</x:v>
      </x:c>
      <x:c r="L53" s="27" t="n">
        <x:v>6.454</x:v>
      </x:c>
      <x:c r="M53" s="27" t="n">
        <x:v>3.392</x:v>
      </x:c>
      <x:c r="N53" s="21" t="str">
        <x:v>事件/建筑近似点（候选来源提供）</x:v>
      </x:c>
      <x:c r="O53" s="21" t="str">
        <x:v>high-rise commercial fire</x:v>
      </x:c>
      <x:c r="P53" s="21" t="str">
        <x:v>commercial / offices / trading and storage</x:v>
      </x:c>
      <x:c r="Q53" s="21" t="str">
        <x:v>25 storeys; floors 1-3 and mezzanine mainly affected</x:v>
      </x:c>
      <x:c r="R53" s="21" t="str">
        <x:v>未检索到</x:v>
      </x:c>
      <x:c r="S53" s="21" t="str">
        <x:v>over 30 years old in 2013</x:v>
      </x:c>
      <x:c r="T53" s="42" t="n">
        <x:v>0</x:v>
      </x:c>
      <x:c r="U53" s="42" t="n">
        <x:v>3</x:v>
      </x:c>
      <x:c r="V53" s="42" t="n">
        <x:v>200</x:v>
      </x:c>
      <x:c r="W53" s="33" t="str">
        <x:v>A</x:v>
      </x:c>
      <x:c r="X53" s="33" t="str">
        <x:v>confirmed_highrise</x:v>
      </x:c>
      <x:c r="Y53" s="33" t="str">
        <x:v>候选待核实</x:v>
      </x:c>
      <x:c r="Z53" s="21" t="str">
        <x:v>业主2014财务报表确认地址、日期及主要受影响楼层；同期新闻确认25层和人员影响。</x:v>
      </x:c>
      <x:c r="AA53" s="21" t="str">
        <x:v>区域代理-欧洲非洲</x:v>
      </x:c>
      <x:c r="AB53" s="21" t="str">
        <x:v>区域代理-欧洲非洲</x:v>
      </x:c>
      <x:c r="AC53" s="21" t="str"/>
      <x:c r="AD53" s="21" t="n">
        <x:v>1</x:v>
      </x:c>
      <x:c r="AE53" s="21" t="str">
        <x:v>未检查</x:v>
      </x:c>
      <x:c r="AF53" s="21" t="str"/>
      <x:c r="AG53" s="24" t="n">
        <x:v>46260</x:v>
      </x:c>
      <x:c r="AH53" s="21" t="str"/>
      <x:c r="AI53" s="21" t="n">
        <x:v>1</x:v>
      </x:c>
      <x:c r="AJ53" s="21" t="str">
        <x:v>未评估（本事件表不建立热浪因果关系）</x:v>
      </x:c>
      <x:c r="AK53" s="21" t="str">
        <x:v>已有来源描述</x:v>
      </x:c>
    </x:row>
    <x:row r="54" ht="42" customHeight="1">
      <x:c r="A54" s="33" t="n">
        <x:v>53</x:v>
      </x:c>
      <x:c r="B54" s="33" t="str">
        <x:v>RAW-0053</x:v>
      </x:c>
      <x:c r="C54" s="36" t="str">
        <x:v>非洲</x:v>
      </x:c>
      <x:c r="D54" s="36" t="str">
        <x:v>Nigeria</x:v>
      </x:c>
      <x:c r="E54" s="21" t="str">
        <x:v>Marina, Lagos Island, Lagos State, Nigeria</x:v>
      </x:c>
      <x:c r="F54" s="21" t="str">
        <x:v>Mamman Kontagora House fire</x:v>
      </x:c>
      <x:c r="G54" s="39" t="n">
        <x:v>42109</x:v>
      </x:c>
      <x:c r="H54" s="21" t="str">
        <x:v>拉各斯Marina一栋高层办公楼发电机房起火，火势向上影响至约7层。</x:v>
      </x:c>
      <x:c r="I54" s="21" t="str">
        <x:v>发电机/发电机房被消防部门认定为起火点。</x:v>
      </x:c>
      <x:c r="J54" s="21" t="str">
        <x:v>无已报告死亡；办公机构临时迁出，具体损失待评估。</x:v>
      </x:c>
      <x:c r="K54" s="21" t="str">
        <x:v>https://www.channelstv.com/2015/04/15/fire-guts-kontagora-house-in-lagos/</x:v>
      </x:c>
      <x:c r="L54" s="27" t="n">
        <x:v>6.448</x:v>
      </x:c>
      <x:c r="M54" s="27" t="n">
        <x:v>3.397</x:v>
      </x:c>
      <x:c r="N54" s="21" t="str">
        <x:v>事件/建筑近似点（候选来源提供）</x:v>
      </x:c>
      <x:c r="O54" s="21" t="str">
        <x:v>high-rise office fire</x:v>
      </x:c>
      <x:c r="P54" s="21" t="str">
        <x:v>office / government and financial institutions</x:v>
      </x:c>
      <x:c r="Q54" s="21" t="str">
        <x:v>high-rise; fire reportedly reached 7th floor; total floors to verify</x:v>
      </x:c>
      <x:c r="R54" s="21" t="str">
        <x:v>未检索到</x:v>
      </x:c>
      <x:c r="S54" s="21" t="str">
        <x:v>未检索到</x:v>
      </x:c>
      <x:c r="T54" s="42" t="n">
        <x:v>0</x:v>
      </x:c>
      <x:c r="U54" s="42"/>
      <x:c r="V54" s="42"/>
      <x:c r="W54" s="33" t="str">
        <x:v>B</x:v>
      </x:c>
      <x:c r="X54" s="33" t="str">
        <x:v>candidate_needs_total_floor_count</x:v>
      </x:c>
      <x:c r="Y54" s="33" t="str">
        <x:v>候选待核实</x:v>
      </x:c>
      <x:c r="Z54" s="21" t="str">
        <x:v>Channels TV明确称高层建筑并记录消防响应；总层数未在所用正文中给出。</x:v>
      </x:c>
      <x:c r="AA54" s="21" t="str">
        <x:v>区域代理-欧洲非洲</x:v>
      </x:c>
      <x:c r="AB54" s="21" t="str">
        <x:v>区域代理-欧洲非洲</x:v>
      </x:c>
      <x:c r="AC54" s="21" t="str"/>
      <x:c r="AD54" s="21" t="n">
        <x:v>1</x:v>
      </x:c>
      <x:c r="AE54" s="21" t="str">
        <x:v>未检查</x:v>
      </x:c>
      <x:c r="AF54" s="21" t="str"/>
      <x:c r="AG54" s="24" t="n">
        <x:v>46260</x:v>
      </x:c>
      <x:c r="AH54" s="21" t="str"/>
      <x:c r="AI54" s="21" t="n">
        <x:v>1</x:v>
      </x:c>
      <x:c r="AJ54" s="21" t="str">
        <x:v>未评估（本事件表不建立热浪因果关系）</x:v>
      </x:c>
      <x:c r="AK54" s="21" t="str">
        <x:v>已有来源描述</x:v>
      </x:c>
    </x:row>
    <x:row r="55" ht="42" customHeight="1">
      <x:c r="A55" s="33" t="n">
        <x:v>54</x:v>
      </x:c>
      <x:c r="B55" s="33" t="str">
        <x:v>RAW-0054</x:v>
      </x:c>
      <x:c r="C55" s="36" t="str">
        <x:v>非洲</x:v>
      </x:c>
      <x:c r="D55" s="36" t="str">
        <x:v>Nigeria</x:v>
      </x:c>
      <x:c r="E55" s="21" t="str">
        <x:v>NECOM House, Marina, Lagos Island, Lagos State, Nigeria</x:v>
      </x:c>
      <x:c r="F55" s="21" t="str">
        <x:v>NECOM House top-floor fire</x:v>
      </x:c>
      <x:c r="G55" s="39" t="n">
        <x:v>42346</x:v>
      </x:c>
      <x:c r="H55" s="21" t="str">
        <x:v>NECOM House最高层发生电气火灾，被工作人员和消防部门迅速扑灭。</x:v>
      </x:c>
      <x:c r="I55" s="21" t="str">
        <x:v>顶部楼层电缆电气火花；可燃废旧物品加剧火势。</x:v>
      </x:c>
      <x:c r="J55" s="21" t="str">
        <x:v>无死亡、无严重建筑损坏报道。</x:v>
      </x:c>
      <x:c r="K55" s="21" t="str">
        <x:v>https://www.vanguardngr.com/2015/12/nitel-building-fire-caused-by-electrical-sparks/</x:v>
      </x:c>
      <x:c r="L55" s="27" t="n">
        <x:v>6.449</x:v>
      </x:c>
      <x:c r="M55" s="27" t="n">
        <x:v>3.398</x:v>
      </x:c>
      <x:c r="N55" s="21" t="str">
        <x:v>事件/建筑近似点（候选来源提供）</x:v>
      </x:c>
      <x:c r="O55" s="21" t="str">
        <x:v>skyscraper office fire</x:v>
      </x:c>
      <x:c r="P55" s="21" t="str">
        <x:v>office / telecommunications</x:v>
      </x:c>
      <x:c r="Q55" s="21" t="str">
        <x:v>32 storeys / about 160 m</x:v>
      </x:c>
      <x:c r="R55" s="21" t="str">
        <x:v>未检索到</x:v>
      </x:c>
      <x:c r="S55" s="21" t="str">
        <x:v>completed 1979</x:v>
      </x:c>
      <x:c r="T55" s="42" t="n">
        <x:v>0</x:v>
      </x:c>
      <x:c r="U55" s="42" t="n">
        <x:v>0</x:v>
      </x:c>
      <x:c r="V55" s="42"/>
      <x:c r="W55" s="33" t="str">
        <x:v>B</x:v>
      </x:c>
      <x:c r="X55" s="33" t="str">
        <x:v>confirmed_highrise</x:v>
      </x:c>
      <x:c r="Y55" s="33" t="str">
        <x:v>候选待核实</x:v>
      </x:c>
      <x:c r="Z55" s="21" t="str">
        <x:v>报道明确32层和顶部起火；Skyscraper Center列建筑为32层、约160米。</x:v>
      </x:c>
      <x:c r="AA55" s="21" t="str">
        <x:v>区域代理-欧洲非洲</x:v>
      </x:c>
      <x:c r="AB55" s="21" t="str">
        <x:v>区域代理-欧洲非洲</x:v>
      </x:c>
      <x:c r="AC55" s="21" t="str"/>
      <x:c r="AD55" s="21" t="n">
        <x:v>1</x:v>
      </x:c>
      <x:c r="AE55" s="21" t="str">
        <x:v>未检查</x:v>
      </x:c>
      <x:c r="AF55" s="21" t="str"/>
      <x:c r="AG55" s="24" t="n">
        <x:v>46260</x:v>
      </x:c>
      <x:c r="AH55" s="21" t="str"/>
      <x:c r="AI55" s="21" t="n">
        <x:v>1</x:v>
      </x:c>
      <x:c r="AJ55" s="21" t="str">
        <x:v>未评估（本事件表不建立热浪因果关系）</x:v>
      </x:c>
      <x:c r="AK55" s="21" t="str">
        <x:v>已有来源描述</x:v>
      </x:c>
    </x:row>
    <x:row r="56" ht="42" customHeight="1">
      <x:c r="A56" s="33" t="n">
        <x:v>55</x:v>
      </x:c>
      <x:c r="B56" s="33" t="str">
        <x:v>RAW-0055</x:v>
      </x:c>
      <x:c r="C56" s="36" t="str">
        <x:v>非洲</x:v>
      </x:c>
      <x:c r="D56" s="36" t="str">
        <x:v>South Africa</x:v>
      </x:c>
      <x:c r="E56" s="21" t="str">
        <x:v>Bank of Lisbon Building, Johannesburg CBD, Gauteng, South Africa</x:v>
      </x:c>
      <x:c r="F56" s="21" t="str">
        <x:v>Bank of Lisbon Building fire</x:v>
      </x:c>
      <x:c r="G56" s="39" t="n">
        <x:v>43348</x:v>
      </x:c>
      <x:c r="H56" s="21" t="str">
        <x:v>约23层政府办公高楼持续燃烧三天，三名消防员死亡，建筑随后因不安全被爆破拆除。</x:v>
      </x:c>
      <x:c r="I56" s="21" t="str">
        <x:v>最终起火原因未确定。</x:v>
      </x:c>
      <x:c r="J56" s="21" t="str">
        <x:v>3名消防员死亡、多人受伤；建筑严重受损并于2019年拆除。</x:v>
      </x:c>
      <x:c r="K56" s="21" t="str">
        <x:v>https://ctif.org/sites/default/files/2025-08/CTIF_Report30.pdf</x:v>
      </x:c>
      <x:c r="L56" s="27" t="n">
        <x:v>-26.205</x:v>
      </x:c>
      <x:c r="M56" s="27" t="n">
        <x:v>28.043</x:v>
      </x:c>
      <x:c r="N56" s="21" t="str">
        <x:v>事件/建筑近似点（候选来源提供）</x:v>
      </x:c>
      <x:c r="O56" s="21" t="str">
        <x:v>high-rise office fire</x:v>
      </x:c>
      <x:c r="P56" s="21" t="str">
        <x:v>government offices</x:v>
      </x:c>
      <x:c r="Q56" s="21" t="str">
        <x:v>23 storeys / 101 m</x:v>
      </x:c>
      <x:c r="R56" s="21" t="str">
        <x:v>未检索到</x:v>
      </x:c>
      <x:c r="S56" s="21" t="str">
        <x:v>older office building</x:v>
      </x:c>
      <x:c r="T56" s="42" t="n">
        <x:v>3</x:v>
      </x:c>
      <x:c r="U56" s="42"/>
      <x:c r="V56" s="42"/>
      <x:c r="W56" s="33" t="str">
        <x:v>B</x:v>
      </x:c>
      <x:c r="X56" s="33" t="str">
        <x:v>confirmed_highrise</x:v>
      </x:c>
      <x:c r="Y56" s="33" t="str">
        <x:v>候选待核实</x:v>
      </x:c>
      <x:c r="Z56" s="21" t="str">
        <x:v>CTIF报告明确23层、101米、3名消防员死亡和后续拆除；日期在个别来源有5/6日差异，按起火日5日记录。</x:v>
      </x:c>
      <x:c r="AA56" s="21" t="str">
        <x:v>区域代理-欧洲非洲</x:v>
      </x:c>
      <x:c r="AB56" s="21" t="str">
        <x:v>区域代理-欧洲非洲</x:v>
      </x:c>
      <x:c r="AC56" s="21" t="str"/>
      <x:c r="AD56" s="21" t="n">
        <x:v>1</x:v>
      </x:c>
      <x:c r="AE56" s="21" t="str">
        <x:v>未检查</x:v>
      </x:c>
      <x:c r="AF56" s="21" t="str"/>
      <x:c r="AG56" s="24" t="n">
        <x:v>46260</x:v>
      </x:c>
      <x:c r="AH56" s="21" t="str"/>
      <x:c r="AI56" s="21" t="n">
        <x:v>1</x:v>
      </x:c>
      <x:c r="AJ56" s="21" t="str">
        <x:v>未评估（本事件表不建立热浪因果关系）</x:v>
      </x:c>
      <x:c r="AK56" s="21" t="str">
        <x:v>已有来源描述</x:v>
      </x:c>
    </x:row>
    <x:row r="57" ht="42" customHeight="1">
      <x:c r="A57" s="33" t="n">
        <x:v>56</x:v>
      </x:c>
      <x:c r="B57" s="33" t="str">
        <x:v>RAW-0056</x:v>
      </x:c>
      <x:c r="C57" s="36" t="str">
        <x:v>非洲</x:v>
      </x:c>
      <x:c r="D57" s="36" t="str">
        <x:v>Nigeria</x:v>
      </x:c>
      <x:c r="E57" s="21" t="str">
        <x:v>World Trade Centre, Central Business District, Abuja, FCT, Nigeria</x:v>
      </x:c>
      <x:c r="F57" s="21" t="str">
        <x:v>Abuja World Trade Centre fire</x:v>
      </x:c>
      <x:c r="G57" s="39" t="n">
        <x:v>44025</x:v>
      </x:c>
      <x:c r="H57" s="21" t="str">
        <x:v>Abuja世界贸易中心上部楼层发生小范围火灾，建筑自动高压喷淋系统将其扑灭。</x:v>
      </x:c>
      <x:c r="I57" s="21" t="str">
        <x:v>未确定；起火位置接近顶部设备竖井。</x:v>
      </x:c>
      <x:c r="J57" s="21" t="str">
        <x:v>无已报告伤亡；损伤范围较小，建筑被称保持安全完整。</x:v>
      </x:c>
      <x:c r="K57" s="21" t="str">
        <x:v>https://www.thecable.ng/fire-breaks-out-at-abuja-world-trade-centre/</x:v>
      </x:c>
      <x:c r="L57" s="27" t="n">
        <x:v>9.0579</x:v>
      </x:c>
      <x:c r="M57" s="27" t="n">
        <x:v>7.4951</x:v>
      </x:c>
      <x:c r="N57" s="21" t="str">
        <x:v>事件/建筑近似点（候选来源提供）</x:v>
      </x:c>
      <x:c r="O57" s="21" t="str">
        <x:v>high-rise office fire</x:v>
      </x:c>
      <x:c r="P57" s="21" t="str">
        <x:v>office / mixed-use tower</x:v>
      </x:c>
      <x:c r="Q57" s="21" t="str">
        <x:v>24 floors in owner statement; contemporaneous report says over 30 floors</x:v>
      </x:c>
      <x:c r="R57" s="21" t="str">
        <x:v>未检索到</x:v>
      </x:c>
      <x:c r="S57" s="21" t="str">
        <x:v>newer high-rise complex</x:v>
      </x:c>
      <x:c r="T57" s="42" t="n">
        <x:v>0</x:v>
      </x:c>
      <x:c r="U57" s="42" t="n">
        <x:v>0</x:v>
      </x:c>
      <x:c r="V57" s="42"/>
      <x:c r="W57" s="33" t="str">
        <x:v>B</x:v>
      </x:c>
      <x:c r="X57" s="33" t="str">
        <x:v>confirmed_highrise_floor_count_recheck</x:v>
      </x:c>
      <x:c r="Y57" s="33" t="str">
        <x:v>候选待核实</x:v>
      </x:c>
      <x:c r="Z57" s="21" t="str">
        <x:v>TheCable称两栋楼均超过30层；业主后续报道涉及一栋24层楼，层数口径有矛盾，需核具体塔楼。</x:v>
      </x:c>
      <x:c r="AA57" s="21" t="str">
        <x:v>区域代理-欧洲非洲</x:v>
      </x:c>
      <x:c r="AB57" s="21" t="str">
        <x:v>区域代理-欧洲非洲</x:v>
      </x:c>
      <x:c r="AC57" s="21" t="str"/>
      <x:c r="AD57" s="21" t="n">
        <x:v>1</x:v>
      </x:c>
      <x:c r="AE57" s="21" t="str">
        <x:v>未检查</x:v>
      </x:c>
      <x:c r="AF57" s="21" t="str"/>
      <x:c r="AG57" s="24" t="n">
        <x:v>46260</x:v>
      </x:c>
      <x:c r="AH57" s="21" t="str"/>
      <x:c r="AI57" s="21" t="n">
        <x:v>1</x:v>
      </x:c>
      <x:c r="AJ57" s="21" t="str">
        <x:v>未评估（本事件表不建立热浪因果关系）</x:v>
      </x:c>
      <x:c r="AK57" s="21" t="str">
        <x:v>已有来源描述</x:v>
      </x:c>
    </x:row>
    <x:row r="58" ht="42" customHeight="1">
      <x:c r="A58" s="33" t="n">
        <x:v>57</x:v>
      </x:c>
      <x:c r="B58" s="33" t="str">
        <x:v>RAW-0057</x:v>
      </x:c>
      <x:c r="C58" s="36" t="str">
        <x:v>非洲</x:v>
      </x:c>
      <x:c r="D58" s="36" t="str">
        <x:v>Egypt</x:v>
      </x:c>
      <x:c r="E58" s="21" t="str">
        <x:v>Ramses Central, Cairo, Cairo Governorate, Egypt</x:v>
      </x:c>
      <x:c r="F58" s="21" t="str">
        <x:v>Ramses Exchange fire</x:v>
      </x:c>
      <x:c r="G58" s="39" t="n">
        <x:v>45845</x:v>
      </x:c>
      <x:c r="H58" s="21" t="str">
        <x:v>开罗市中心10层电信枢纽7层设备区域起火并向其他楼层蔓延，造成全国通信和交易中断。</x:v>
      </x:c>
      <x:c r="I58" s="21" t="str">
        <x:v>7层电信设备房/运营大厅起火；确切点火原因未公布。</x:v>
      </x:c>
      <x:c r="J58" s="21" t="str">
        <x:v>4人死亡、27人住院；全国网络连接降至正常约62%，航班和证券交易受影响。</x:v>
      </x:c>
      <x:c r="K58" s="21" t="str">
        <x:v>https://apnews.com/article/2675a5740d566e11cd4f2c80354da61c</x:v>
      </x:c>
      <x:c r="L58" s="27" t="n">
        <x:v>30.0626</x:v>
      </x:c>
      <x:c r="M58" s="27" t="n">
        <x:v>31.2461</x:v>
      </x:c>
      <x:c r="N58" s="21" t="str">
        <x:v>事件/建筑近似点（候选来源提供）</x:v>
      </x:c>
      <x:c r="O58" s="21" t="str">
        <x:v>high-rise infrastructure / office fire</x:v>
      </x:c>
      <x:c r="P58" s="21" t="str">
        <x:v>telecommunications / office</x:v>
      </x:c>
      <x:c r="Q58" s="21" t="str">
        <x:v>10 storeys; fire began on 7th floor</x:v>
      </x:c>
      <x:c r="R58" s="21" t="str">
        <x:v>未检索到</x:v>
      </x:c>
      <x:c r="S58" s="21" t="str">
        <x:v>landmark older telecom building</x:v>
      </x:c>
      <x:c r="T58" s="42" t="n">
        <x:v>4</x:v>
      </x:c>
      <x:c r="U58" s="42" t="n">
        <x:v>27</x:v>
      </x:c>
      <x:c r="V58" s="42"/>
      <x:c r="W58" s="33" t="str">
        <x:v>A</x:v>
      </x:c>
      <x:c r="X58" s="33" t="str">
        <x:v>confirmed_10_storeys_threshold_review</x:v>
      </x:c>
      <x:c r="Y58" s="33" t="str">
        <x:v>候选待核实</x:v>
      </x:c>
      <x:c r="Z58" s="21" t="str">
        <x:v>AP后续报道确认10层、4死27伤及通信影响；10层是否纳入高层由最终阈值决定。</x:v>
      </x:c>
      <x:c r="AA58" s="21" t="str">
        <x:v>区域代理-欧洲非洲</x:v>
      </x:c>
      <x:c r="AB58" s="21" t="str">
        <x:v>区域代理-欧洲非洲</x:v>
      </x:c>
      <x:c r="AC58" s="21" t="str"/>
      <x:c r="AD58" s="21" t="n">
        <x:v>1</x:v>
      </x:c>
      <x:c r="AE58" s="21" t="str">
        <x:v>未检查</x:v>
      </x:c>
      <x:c r="AF58" s="21" t="str"/>
      <x:c r="AG58" s="24" t="n">
        <x:v>46260</x:v>
      </x:c>
      <x:c r="AH58" s="21" t="str"/>
      <x:c r="AI58" s="21" t="n">
        <x:v>1</x:v>
      </x:c>
      <x:c r="AJ58" s="21" t="str">
        <x:v>未评估（本事件表不建立热浪因果关系）</x:v>
      </x:c>
      <x:c r="AK58" s="21" t="str">
        <x:v>已有来源描述</x:v>
      </x:c>
    </x:row>
    <x:row r="59" ht="42" customHeight="1">
      <x:c r="A59" s="33" t="n">
        <x:v>58</x:v>
      </x:c>
      <x:c r="B59" s="33" t="str">
        <x:v>RAW-0058</x:v>
      </x:c>
      <x:c r="C59" s="36" t="str">
        <x:v>非洲</x:v>
      </x:c>
      <x:c r="D59" s="36" t="str">
        <x:v>Nigeria</x:v>
      </x:c>
      <x:c r="E59" s="21" t="str">
        <x:v>Afriland Towers, Broad Street, Lagos Island, Lagos State, Nigeria</x:v>
      </x:c>
      <x:c r="F59" s="21" t="str">
        <x:v>Afriland Towers fire</x:v>
      </x:c>
      <x:c r="G59" s="39" t="n">
        <x:v>45916</x:v>
      </x:c>
      <x:c r="H59" s="21" t="str">
        <x:v>商业办公楼地下室逆变器房起火，浓烟沿楼内迅速传播并封阻疏散路线。</x:v>
      </x:c>
      <x:c r="I59" s="21" t="str">
        <x:v>地下室逆变器房起火；浓烟和高温迅速扩散。</x:v>
      </x:c>
      <x:c r="J59" s="21" t="str">
        <x:v>10人因烟气吸入死亡；部分人员砸窗跳楼逃生，企业运营中断。</x:v>
      </x:c>
      <x:c r="K59" s="21" t="str">
        <x:v>https://www.channelstv.com/2025/09/20/afriland-publishes-detailed-faqs-on-towers-fire-incident/</x:v>
      </x:c>
      <x:c r="L59" s="27" t="n">
        <x:v>6.4494</x:v>
      </x:c>
      <x:c r="M59" s="27" t="n">
        <x:v>3.397</x:v>
      </x:c>
      <x:c r="N59" s="21" t="str">
        <x:v>事件/建筑近似点（候选来源提供）</x:v>
      </x:c>
      <x:c r="O59" s="21" t="str">
        <x:v>multi-storey commercial office fire</x:v>
      </x:c>
      <x:c r="P59" s="21" t="str">
        <x:v>commercial offices / bank / tax offices</x:v>
      </x:c>
      <x:c r="Q59" s="21" t="str">
        <x:v>6-7 storeys</x:v>
      </x:c>
      <x:c r="R59" s="21" t="str">
        <x:v>未检索到</x:v>
      </x:c>
      <x:c r="S59" s="21" t="str">
        <x:v>未检索到</x:v>
      </x:c>
      <x:c r="T59" s="42" t="n">
        <x:v>10</x:v>
      </x:c>
      <x:c r="U59" s="42"/>
      <x:c r="V59" s="42"/>
      <x:c r="W59" s="33" t="str">
        <x:v>B</x:v>
      </x:c>
      <x:c r="X59" s="33" t="str">
        <x:v>exclude_if_threshold_ge_10_storeys</x:v>
      </x:c>
      <x:c r="Y59" s="33" t="str">
        <x:v>候选待核实</x:v>
      </x:c>
      <x:c r="Z59" s="21" t="str">
        <x:v>业主FAQ和政府发布确认起火房间、死亡机制和10名死者；楼层有6层和7层两种报道，严格高层阈值下可能排除。</x:v>
      </x:c>
      <x:c r="AA59" s="21" t="str">
        <x:v>区域代理-欧洲非洲</x:v>
      </x:c>
      <x:c r="AB59" s="21" t="str">
        <x:v>区域代理-欧洲非洲</x:v>
      </x:c>
      <x:c r="AC59" s="21" t="str"/>
      <x:c r="AD59" s="21" t="n">
        <x:v>1</x:v>
      </x:c>
      <x:c r="AE59" s="21" t="str">
        <x:v>未检查</x:v>
      </x:c>
      <x:c r="AF59" s="21" t="str"/>
      <x:c r="AG59" s="24" t="n">
        <x:v>46260</x:v>
      </x:c>
      <x:c r="AH59" s="21" t="str"/>
      <x:c r="AI59" s="21" t="n">
        <x:v>1</x:v>
      </x:c>
      <x:c r="AJ59" s="21" t="str">
        <x:v>未评估（本事件表不建立热浪因果关系）</x:v>
      </x:c>
      <x:c r="AK59" s="21" t="str">
        <x:v>已有来源描述</x:v>
      </x:c>
    </x:row>
    <x:row r="60" ht="42" customHeight="1">
      <x:c r="A60" s="33" t="n">
        <x:v>59</x:v>
      </x:c>
      <x:c r="B60" s="33" t="str">
        <x:v>RAW-0059</x:v>
      </x:c>
      <x:c r="C60" s="36" t="str">
        <x:v>非洲</x:v>
      </x:c>
      <x:c r="D60" s="36" t="str">
        <x:v>Nigeria</x:v>
      </x:c>
      <x:c r="E60" s="21" t="str">
        <x:v>Great Nigeria Insurance House, Martins Street, Lagos Island, Lagos State, Nigeria</x:v>
      </x:c>
      <x:c r="F60" s="21" t="str">
        <x:v>Great Nigeria Insurance House fire</x:v>
      </x:c>
      <x:c r="G60" s="39" t="n">
        <x:v>46015</x:v>
      </x:c>
      <x:c r="H60" s="21" t="str">
        <x:v>25层高层商用建筑4层起火并广泛破坏楼内商品及相邻物业。</x:v>
      </x:c>
      <x:c r="I60" s="21" t="str">
        <x:v>火源位于4层；截至所用来源，最终点火原因未明确。</x:v>
      </x:c>
      <x:c r="J60" s="21" t="str">
        <x:v>8人死亡、13人获救；建筑和周边商业严重受损，区域封锁搜救。</x:v>
      </x:c>
      <x:c r="K60" s="21" t="str">
        <x:v>https://www.channelstv.com/2026/01/02/lagos-govt-confirms-eight-deaths-at-gni-building-fire/</x:v>
      </x:c>
      <x:c r="L60" s="27" t="n">
        <x:v>6.454</x:v>
      </x:c>
      <x:c r="M60" s="27" t="n">
        <x:v>3.392</x:v>
      </x:c>
      <x:c r="N60" s="21" t="str">
        <x:v>事件/建筑近似点（候选来源提供）</x:v>
      </x:c>
      <x:c r="O60" s="21" t="str">
        <x:v>high-rise commercial fire</x:v>
      </x:c>
      <x:c r="P60" s="21" t="str">
        <x:v>commercial / trading and storage</x:v>
      </x:c>
      <x:c r="Q60" s="21" t="str">
        <x:v>25 storeys</x:v>
      </x:c>
      <x:c r="R60" s="21" t="str">
        <x:v>未检索到</x:v>
      </x:c>
      <x:c r="S60" s="21" t="str">
        <x:v>same older building affected by 2013 fire</x:v>
      </x:c>
      <x:c r="T60" s="42" t="n">
        <x:v>8</x:v>
      </x:c>
      <x:c r="U60" s="42"/>
      <x:c r="V60" s="42" t="n">
        <x:v>13</x:v>
      </x:c>
      <x:c r="W60" s="33" t="str">
        <x:v>B</x:v>
      </x:c>
      <x:c r="X60" s="33" t="str">
        <x:v>confirmed_highrise</x:v>
      </x:c>
      <x:c r="Y60" s="33" t="str">
        <x:v>候选待核实</x:v>
      </x:c>
      <x:c r="Z60" s="21" t="str">
        <x:v>Channels TV引用拉各斯州长确认25层、8死和13名获救者；同址2013年火灾为独立事件。</x:v>
      </x:c>
      <x:c r="AA60" s="21" t="str">
        <x:v>区域代理-欧洲非洲</x:v>
      </x:c>
      <x:c r="AB60" s="21" t="str">
        <x:v>区域代理-欧洲非洲</x:v>
      </x:c>
      <x:c r="AC60" s="21" t="str"/>
      <x:c r="AD60" s="21" t="n">
        <x:v>1</x:v>
      </x:c>
      <x:c r="AE60" s="21" t="str">
        <x:v>未检查</x:v>
      </x:c>
      <x:c r="AF60" s="21" t="str"/>
      <x:c r="AG60" s="24" t="n">
        <x:v>46260</x:v>
      </x:c>
      <x:c r="AH60" s="21" t="str"/>
      <x:c r="AI60" s="21" t="n">
        <x:v>1</x:v>
      </x:c>
      <x:c r="AJ60" s="21" t="str">
        <x:v>未评估（本事件表不建立热浪因果关系）</x:v>
      </x:c>
      <x:c r="AK60" s="21" t="str">
        <x:v>已有来源描述</x:v>
      </x:c>
    </x:row>
    <x:row r="61" ht="42" customHeight="1">
      <x:c r="A61" s="33" t="n">
        <x:v>60</x:v>
      </x:c>
      <x:c r="B61" s="33" t="str">
        <x:v>RAW-0060</x:v>
      </x:c>
      <x:c r="C61" s="36" t="str">
        <x:v>亚洲</x:v>
      </x:c>
      <x:c r="D61" s="36" t="str">
        <x:v>Hong Kong</x:v>
      </x:c>
      <x:c r="E61" s="21" t="str">
        <x:v>Hong Kong</x:v>
      </x:c>
      <x:c r="F61" s="21" t="str">
        <x:v>Immigration Tower fire</x:v>
      </x:c>
      <x:c r="G61" s="39" t="n">
        <x:v>36740</x:v>
      </x:c>
      <x:c r="H61" s="21" t="str">
        <x:v>Arson</x:v>
      </x:c>
      <x:c r="I61" s="21" t="str">
        <x:v>arson</x:v>
      </x:c>
      <x:c r="J61" s="21" t="str">
        <x:v>Arson</x:v>
      </x:c>
      <x:c r="K61" s="21" t="str">
        <x:v>https://en.wikipedia.org/wiki/List_of_fires_in_high-rise_buildings</x:v>
      </x:c>
      <x:c r="L61" s="27" t="n">
        <x:v>22.27832</x:v>
      </x:c>
      <x:c r="M61" s="27" t="n">
        <x:v>114.17469</x:v>
      </x:c>
      <x:c r="N61" s="21" t="str">
        <x:v>城市代表点（来源明确说明不是火场坐标）</x:v>
      </x:c>
      <x:c r="O61" s="21" t="str">
        <x:v>高层建筑火灾</x:v>
      </x:c>
      <x:c r="P61" s="21" t="str">
        <x:v>未检索到</x:v>
      </x:c>
      <x:c r="Q61" s="21" t="str">
        <x:v>181 m</x:v>
      </x:c>
      <x:c r="R61" s="21" t="str">
        <x:v>未检索到</x:v>
      </x:c>
      <x:c r="S61" s="21" t="str">
        <x:v>未检索到</x:v>
      </x:c>
      <x:c r="T61" s="42" t="n">
        <x:v>2</x:v>
      </x:c>
      <x:c r="U61" s="42"/>
      <x:c r="V61" s="42"/>
      <x:c r="W61" s="33" t="str">
        <x:v>C</x:v>
      </x:c>
      <x:c r="X61" s="33" t="str">
        <x:v>candidate_height_or_list_membership_needs_individual_source</x:v>
      </x:c>
      <x:c r="Y61" s="33" t="str">
        <x:v>候选待核实</x:v>
      </x:c>
      <x:c r="Z61" s="21" t="str">
        <x:v>height=181 m; listed in high-rise fire table；aggregate list is not sufficient for final inclusion; verify height/floors and event details with cited event or building source</x:v>
      </x:c>
      <x:c r="AA61" s="21" t="str">
        <x:v>Wikipedia dynamic high-rise list (candidate discovery)</x:v>
      </x:c>
      <x:c r="AB61" s="21" t="str">
        <x:v>批量来源代理</x:v>
      </x:c>
      <x:c r="AC61" s="21" t="str"/>
      <x:c r="AD61" s="21" t="n">
        <x:v>1</x:v>
      </x:c>
      <x:c r="AE61" s="21" t="str">
        <x:v>未检查</x:v>
      </x:c>
      <x:c r="AF61" s="21" t="str"/>
      <x:c r="AG61" s="24" t="n">
        <x:v>46260</x:v>
      </x:c>
      <x:c r="AH61" s="21" t="str"/>
      <x:c r="AI61" s="21" t="n">
        <x:v>1</x:v>
      </x:c>
      <x:c r="AJ61" s="21" t="str">
        <x:v>未评估（本事件表不建立热浪因果关系）</x:v>
      </x:c>
      <x:c r="AK61" s="21" t="str">
        <x:v>已有来源描述</x:v>
      </x:c>
    </x:row>
    <x:row r="62" ht="42" customHeight="1">
      <x:c r="A62" s="33" t="n">
        <x:v>61</x:v>
      </x:c>
      <x:c r="B62" s="33" t="str">
        <x:v>RAW-0061</x:v>
      </x:c>
      <x:c r="C62" s="36" t="str">
        <x:v>欧洲</x:v>
      </x:c>
      <x:c r="D62" s="36" t="str">
        <x:v>Russia</x:v>
      </x:c>
      <x:c r="E62" s="21" t="str">
        <x:v>Moscow</x:v>
      </x:c>
      <x:c r="F62" s="21" t="str">
        <x:v>Ostankino Tower fire</x:v>
      </x:c>
      <x:c r="G62" s="39" t="n">
        <x:v>36765</x:v>
      </x:c>
      <x:c r="H62" s="21" t="str">
        <x:v>Tallest structure in Europe</x:v>
      </x:c>
      <x:c r="I62" s="21" t="str">
        <x:v>未检索到/待核实</x:v>
      </x:c>
      <x:c r="J62" s="21" t="str">
        <x:v>Tallest structure in Europe</x:v>
      </x:c>
      <x:c r="K62" s="21" t="str">
        <x:v>https://en.wikipedia.org/wiki/List_of_fires_in_high-rise_buildings</x:v>
      </x:c>
      <x:c r="L62" s="27" t="n">
        <x:v>55.75204</x:v>
      </x:c>
      <x:c r="M62" s="27" t="n">
        <x:v>37.61781</x:v>
      </x:c>
      <x:c r="N62" s="21" t="str">
        <x:v>城市代表点（来源明确说明不是火场坐标）</x:v>
      </x:c>
      <x:c r="O62" s="21" t="str">
        <x:v>高层建筑火灾</x:v>
      </x:c>
      <x:c r="P62" s="21" t="str">
        <x:v>未检索到</x:v>
      </x:c>
      <x:c r="Q62" s="21" t="str">
        <x:v>540.1 m</x:v>
      </x:c>
      <x:c r="R62" s="21" t="str">
        <x:v>未检索到</x:v>
      </x:c>
      <x:c r="S62" s="21" t="str">
        <x:v>未检索到</x:v>
      </x:c>
      <x:c r="T62" s="42" t="n">
        <x:v>3</x:v>
      </x:c>
      <x:c r="U62" s="42"/>
      <x:c r="V62" s="42"/>
      <x:c r="W62" s="33" t="str">
        <x:v>C</x:v>
      </x:c>
      <x:c r="X62" s="33" t="str">
        <x:v>candidate_height_or_list_membership_needs_individual_source</x:v>
      </x:c>
      <x:c r="Y62" s="33" t="str">
        <x:v>候选待核实</x:v>
      </x:c>
      <x:c r="Z62" s="21" t="str">
        <x:v>height=540.1 m; listed in high-rise fire table；aggregate list is not sufficient for final inclusion; verify height/floors and event details with cited event or building source</x:v>
      </x:c>
      <x:c r="AA62" s="21" t="str">
        <x:v>Wikipedia dynamic high-rise list (candidate discovery)</x:v>
      </x:c>
      <x:c r="AB62" s="21" t="str">
        <x:v>批量来源代理</x:v>
      </x:c>
      <x:c r="AC62" s="21" t="str"/>
      <x:c r="AD62" s="21" t="n">
        <x:v>1</x:v>
      </x:c>
      <x:c r="AE62" s="21" t="str">
        <x:v>未检查</x:v>
      </x:c>
      <x:c r="AF62" s="21" t="str"/>
      <x:c r="AG62" s="24" t="n">
        <x:v>46260</x:v>
      </x:c>
      <x:c r="AH62" s="21" t="str"/>
      <x:c r="AI62" s="21" t="n">
        <x:v>1</x:v>
      </x:c>
      <x:c r="AJ62" s="21" t="str">
        <x:v>未评估（本事件表不建立热浪因果关系）</x:v>
      </x:c>
      <x:c r="AK62" s="21" t="str">
        <x:v>缺失/待核实</x:v>
      </x:c>
    </x:row>
    <x:row r="63" ht="42" customHeight="1">
      <x:c r="A63" s="33" t="n">
        <x:v>62</x:v>
      </x:c>
      <x:c r="B63" s="33" t="str">
        <x:v>RAW-0062</x:v>
      </x:c>
      <x:c r="C63" s="36" t="str">
        <x:v>北美洲</x:v>
      </x:c>
      <x:c r="D63" s="36" t="str">
        <x:v>United States</x:v>
      </x:c>
      <x:c r="E63" s="21" t="str">
        <x:v>New York City</x:v>
      </x:c>
      <x:c r="F63" s="21" t="str">
        <x:v>1 and 2 World Trade Center fire</x:v>
      </x:c>
      <x:c r="G63" s="39" t="n">
        <x:v>37145</x:v>
      </x:c>
      <x:c r="H63" s="21" t="str">
        <x:v>Part of the September 11 attacks. One hijacked airliner was deliberately flown into each of the skyscrapers. Both towers experienced a total structural failure within two hours of the plane impacts. Tallest buildings to ever be destroyed.</x:v>
      </x:c>
      <x:c r="I63" s="21" t="str">
        <x:v>未检索到/待核实</x:v>
      </x:c>
      <x:c r="J63" s="21" t="str">
        <x:v>Part of the September 11 attacks. One hijacked airliner was deliberately flown into each of the skyscrapers. Both towers experienced a total structural failure within two hours of the plane impacts. Tallest buildings to ever be destroyed.</x:v>
      </x:c>
      <x:c r="K63" s="21" t="str">
        <x:v>https://en.wikipedia.org/wiki/List_of_fires_in_high-rise_buildings</x:v>
      </x:c>
      <x:c r="L63" s="27" t="n">
        <x:v>40.71427</x:v>
      </x:c>
      <x:c r="M63" s="27" t="n">
        <x:v>-74.00597</x:v>
      </x:c>
      <x:c r="N63" s="21" t="str">
        <x:v>城市代表点（来源明确说明不是火场坐标）</x:v>
      </x:c>
      <x:c r="O63" s="21" t="str">
        <x:v>高层建筑火灾</x:v>
      </x:c>
      <x:c r="P63" s="21" t="str">
        <x:v>office/government</x:v>
      </x:c>
      <x:c r="Q63" s="21" t="str">
        <x:v>417 m</x:v>
      </x:c>
      <x:c r="R63" s="21" t="str">
        <x:v>未检索到</x:v>
      </x:c>
      <x:c r="S63" s="21" t="str">
        <x:v>未检索到</x:v>
      </x:c>
      <x:c r="T63" s="42" t="n">
        <x:v>2312</x:v>
      </x:c>
      <x:c r="U63" s="42"/>
      <x:c r="V63" s="42"/>
      <x:c r="W63" s="33" t="str">
        <x:v>C</x:v>
      </x:c>
      <x:c r="X63" s="33" t="str">
        <x:v>candidate_height_or_list_membership_needs_individual_source</x:v>
      </x:c>
      <x:c r="Y63" s="33" t="str">
        <x:v>候选待核实</x:v>
      </x:c>
      <x:c r="Z63" s="21" t="str">
        <x:v>height=417 m; listed in high-rise fire table；aggregate list is not sufficient for final inclusion; verify height/floors and event details with cited event or building source</x:v>
      </x:c>
      <x:c r="AA63" s="21" t="str">
        <x:v>Wikipedia dynamic high-rise list (candidate discovery)</x:v>
      </x:c>
      <x:c r="AB63" s="21" t="str">
        <x:v>批量来源代理</x:v>
      </x:c>
      <x:c r="AC63" s="21" t="str"/>
      <x:c r="AD63" s="21" t="n">
        <x:v>1</x:v>
      </x:c>
      <x:c r="AE63" s="21" t="str">
        <x:v>未检查</x:v>
      </x:c>
      <x:c r="AF63" s="21" t="str"/>
      <x:c r="AG63" s="24" t="n">
        <x:v>46260</x:v>
      </x:c>
      <x:c r="AH63" s="21" t="str"/>
      <x:c r="AI63" s="21" t="n">
        <x:v>1</x:v>
      </x:c>
      <x:c r="AJ63" s="21" t="str">
        <x:v>未评估（本事件表不建立热浪因果关系）</x:v>
      </x:c>
      <x:c r="AK63" s="21" t="str">
        <x:v>缺失/待核实</x:v>
      </x:c>
    </x:row>
    <x:row r="64" ht="42" customHeight="1">
      <x:c r="A64" s="33" t="n">
        <x:v>63</x:v>
      </x:c>
      <x:c r="B64" s="33" t="str">
        <x:v>RAW-0063</x:v>
      </x:c>
      <x:c r="C64" s="36" t="str">
        <x:v>北美洲</x:v>
      </x:c>
      <x:c r="D64" s="36" t="str">
        <x:v>United States</x:v>
      </x:c>
      <x:c r="E64" s="21" t="str">
        <x:v>New York City</x:v>
      </x:c>
      <x:c r="F64" s="21" t="str">
        <x:v>130 Cedar Street fire</x:v>
      </x:c>
      <x:c r="G64" s="39" t="n">
        <x:v>37145</x:v>
      </x:c>
      <x:c r="H64" s="21" t="str">
        <x:v>Caused by debris from the collapse of Building 2 (South Tower) of the World Trade Center</x:v>
      </x:c>
      <x:c r="I64" s="21" t="str">
        <x:v>未检索到/待核实</x:v>
      </x:c>
      <x:c r="J64" s="21" t="str">
        <x:v>Caused by debris from the collapse of Building 2 (South Tower) of the World Trade Center</x:v>
      </x:c>
      <x:c r="K64" s="21" t="str">
        <x:v>https://en.wikipedia.org/wiki/List_of_fires_in_high-rise_buildings</x:v>
      </x:c>
      <x:c r="L64" s="27" t="n">
        <x:v>40.71427</x:v>
      </x:c>
      <x:c r="M64" s="27" t="n">
        <x:v>-74.00597</x:v>
      </x:c>
      <x:c r="N64" s="21" t="str">
        <x:v>城市代表点（来源明确说明不是火场坐标）</x:v>
      </x:c>
      <x:c r="O64" s="21" t="str">
        <x:v>高层建筑火灾</x:v>
      </x:c>
      <x:c r="P64" s="21" t="str">
        <x:v>office/government</x:v>
      </x:c>
      <x:c r="Q64" s="21" t="str">
        <x:v>50 m</x:v>
      </x:c>
      <x:c r="R64" s="21" t="str">
        <x:v>未检索到</x:v>
      </x:c>
      <x:c r="S64" s="21" t="str">
        <x:v>未检索到</x:v>
      </x:c>
      <x:c r="T64" s="42" t="n">
        <x:v>0</x:v>
      </x:c>
      <x:c r="U64" s="42"/>
      <x:c r="V64" s="42"/>
      <x:c r="W64" s="33" t="str">
        <x:v>C</x:v>
      </x:c>
      <x:c r="X64" s="33" t="str">
        <x:v>candidate_height_or_list_membership_needs_individual_source</x:v>
      </x:c>
      <x:c r="Y64" s="33" t="str">
        <x:v>候选待核实</x:v>
      </x:c>
      <x:c r="Z64" s="21" t="str">
        <x:v>height=50 m; listed in high-rise fire table；aggregate list is not sufficient for final inclusion; verify height/floors and event details with cited event or building source</x:v>
      </x:c>
      <x:c r="AA64" s="21" t="str">
        <x:v>Wikipedia dynamic high-rise list (candidate discovery)</x:v>
      </x:c>
      <x:c r="AB64" s="21" t="str">
        <x:v>批量来源代理</x:v>
      </x:c>
      <x:c r="AC64" s="21" t="str"/>
      <x:c r="AD64" s="21" t="n">
        <x:v>1</x:v>
      </x:c>
      <x:c r="AE64" s="21" t="str">
        <x:v>未检查</x:v>
      </x:c>
      <x:c r="AF64" s="21" t="str"/>
      <x:c r="AG64" s="24" t="n">
        <x:v>46260</x:v>
      </x:c>
      <x:c r="AH64" s="21" t="str"/>
      <x:c r="AI64" s="21" t="n">
        <x:v>1</x:v>
      </x:c>
      <x:c r="AJ64" s="21" t="str">
        <x:v>未评估（本事件表不建立热浪因果关系）</x:v>
      </x:c>
      <x:c r="AK64" s="21" t="str">
        <x:v>缺失/待核实</x:v>
      </x:c>
    </x:row>
    <x:row r="65" ht="42" customHeight="1">
      <x:c r="A65" s="33" t="n">
        <x:v>64</x:v>
      </x:c>
      <x:c r="B65" s="33" t="str">
        <x:v>RAW-0064</x:v>
      </x:c>
      <x:c r="C65" s="36" t="str">
        <x:v>北美洲</x:v>
      </x:c>
      <x:c r="D65" s="36" t="str">
        <x:v>United States</x:v>
      </x:c>
      <x:c r="E65" s="21" t="str">
        <x:v>New York City</x:v>
      </x:c>
      <x:c r="F65" s="21" t="str">
        <x:v>7 World Trade Center fire</x:v>
      </x:c>
      <x:c r="G65" s="39" t="n">
        <x:v>37145</x:v>
      </x:c>
      <x:c r="H65" s="21" t="str">
        <x:v>Caused by debris from the collapse of Building 1 (North Tower) of the World Trade Center, resulting in this building also collapsing.</x:v>
      </x:c>
      <x:c r="I65" s="21" t="str">
        <x:v>未检索到/待核实</x:v>
      </x:c>
      <x:c r="J65" s="21" t="str">
        <x:v>Caused by debris from the collapse of Building 1 (North Tower) of the World Trade Center, resulting in this building also collapsing.</x:v>
      </x:c>
      <x:c r="K65" s="21" t="str">
        <x:v>https://en.wikipedia.org/wiki/List_of_fires_in_high-rise_buildings</x:v>
      </x:c>
      <x:c r="L65" s="27" t="n">
        <x:v>40.71427</x:v>
      </x:c>
      <x:c r="M65" s="27" t="n">
        <x:v>-74.00597</x:v>
      </x:c>
      <x:c r="N65" s="21" t="str">
        <x:v>城市代表点（来源明确说明不是火场坐标）</x:v>
      </x:c>
      <x:c r="O65" s="21" t="str">
        <x:v>高层建筑火灾</x:v>
      </x:c>
      <x:c r="P65" s="21" t="str">
        <x:v>office/government</x:v>
      </x:c>
      <x:c r="Q65" s="21" t="str">
        <x:v>190 m</x:v>
      </x:c>
      <x:c r="R65" s="21" t="str">
        <x:v>未检索到</x:v>
      </x:c>
      <x:c r="S65" s="21" t="str">
        <x:v>未检索到</x:v>
      </x:c>
      <x:c r="T65" s="42" t="n">
        <x:v>0</x:v>
      </x:c>
      <x:c r="U65" s="42"/>
      <x:c r="V65" s="42"/>
      <x:c r="W65" s="33" t="str">
        <x:v>C</x:v>
      </x:c>
      <x:c r="X65" s="33" t="str">
        <x:v>candidate_height_or_list_membership_needs_individual_source</x:v>
      </x:c>
      <x:c r="Y65" s="33" t="str">
        <x:v>候选待核实</x:v>
      </x:c>
      <x:c r="Z65" s="21" t="str">
        <x:v>height=190 m; listed in high-rise fire table；aggregate list is not sufficient for final inclusion; verify height/floors and event details with cited event or building source</x:v>
      </x:c>
      <x:c r="AA65" s="21" t="str">
        <x:v>Wikipedia dynamic high-rise list (candidate discovery)</x:v>
      </x:c>
      <x:c r="AB65" s="21" t="str">
        <x:v>批量来源代理</x:v>
      </x:c>
      <x:c r="AC65" s="21" t="str"/>
      <x:c r="AD65" s="21" t="n">
        <x:v>1</x:v>
      </x:c>
      <x:c r="AE65" s="21" t="str">
        <x:v>未检查</x:v>
      </x:c>
      <x:c r="AF65" s="21" t="str"/>
      <x:c r="AG65" s="24" t="n">
        <x:v>46260</x:v>
      </x:c>
      <x:c r="AH65" s="21" t="str"/>
      <x:c r="AI65" s="21" t="n">
        <x:v>1</x:v>
      </x:c>
      <x:c r="AJ65" s="21" t="str">
        <x:v>未评估（本事件表不建立热浪因果关系）</x:v>
      </x:c>
      <x:c r="AK65" s="21" t="str">
        <x:v>缺失/待核实</x:v>
      </x:c>
    </x:row>
    <x:row r="66" ht="42" customHeight="1">
      <x:c r="A66" s="33" t="n">
        <x:v>65</x:v>
      </x:c>
      <x:c r="B66" s="33" t="str">
        <x:v>RAW-0065</x:v>
      </x:c>
      <x:c r="C66" s="36" t="str">
        <x:v>北美洲</x:v>
      </x:c>
      <x:c r="D66" s="36" t="str">
        <x:v>United States</x:v>
      </x:c>
      <x:c r="E66" s="21" t="str">
        <x:v>New York City</x:v>
      </x:c>
      <x:c r="F66" s="21" t="str">
        <x:v>90 West Street fire</x:v>
      </x:c>
      <x:c r="G66" s="39" t="n">
        <x:v>37145</x:v>
      </x:c>
      <x:c r="H66" s="21" t="str">
        <x:v>Caused by debris from the collapse of Building 2 (South Tower) of the World Trade Center</x:v>
      </x:c>
      <x:c r="I66" s="21" t="str">
        <x:v>未检索到/待核实</x:v>
      </x:c>
      <x:c r="J66" s="21" t="str">
        <x:v>Caused by debris from the collapse of Building 2 (South Tower) of the World Trade Center</x:v>
      </x:c>
      <x:c r="K66" s="21" t="str">
        <x:v>https://en.wikipedia.org/wiki/List_of_fires_in_high-rise_buildings</x:v>
      </x:c>
      <x:c r="L66" s="27" t="n">
        <x:v>40.71427</x:v>
      </x:c>
      <x:c r="M66" s="27" t="n">
        <x:v>-74.00597</x:v>
      </x:c>
      <x:c r="N66" s="21" t="str">
        <x:v>城市代表点（来源明确说明不是火场坐标）</x:v>
      </x:c>
      <x:c r="O66" s="21" t="str">
        <x:v>高层建筑火灾</x:v>
      </x:c>
      <x:c r="P66" s="21" t="str">
        <x:v>office/government</x:v>
      </x:c>
      <x:c r="Q66" s="21" t="str">
        <x:v>98.76 m</x:v>
      </x:c>
      <x:c r="R66" s="21" t="str">
        <x:v>未检索到</x:v>
      </x:c>
      <x:c r="S66" s="21" t="str">
        <x:v>未检索到</x:v>
      </x:c>
      <x:c r="T66" s="42" t="n">
        <x:v>2</x:v>
      </x:c>
      <x:c r="U66" s="42"/>
      <x:c r="V66" s="42"/>
      <x:c r="W66" s="33" t="str">
        <x:v>C</x:v>
      </x:c>
      <x:c r="X66" s="33" t="str">
        <x:v>candidate_height_or_list_membership_needs_individual_source</x:v>
      </x:c>
      <x:c r="Y66" s="33" t="str">
        <x:v>候选待核实</x:v>
      </x:c>
      <x:c r="Z66" s="21" t="str">
        <x:v>height=98.76 m; listed in high-rise fire table；aggregate list is not sufficient for final inclusion; verify height/floors and event details with cited event or building source</x:v>
      </x:c>
      <x:c r="AA66" s="21" t="str">
        <x:v>Wikipedia dynamic high-rise list (candidate discovery)</x:v>
      </x:c>
      <x:c r="AB66" s="21" t="str">
        <x:v>批量来源代理</x:v>
      </x:c>
      <x:c r="AC66" s="21" t="str"/>
      <x:c r="AD66" s="21" t="n">
        <x:v>1</x:v>
      </x:c>
      <x:c r="AE66" s="21" t="str">
        <x:v>未检查</x:v>
      </x:c>
      <x:c r="AF66" s="21" t="str"/>
      <x:c r="AG66" s="24" t="n">
        <x:v>46260</x:v>
      </x:c>
      <x:c r="AH66" s="21" t="str"/>
      <x:c r="AI66" s="21" t="n">
        <x:v>1</x:v>
      </x:c>
      <x:c r="AJ66" s="21" t="str">
        <x:v>未评估（本事件表不建立热浪因果关系）</x:v>
      </x:c>
      <x:c r="AK66" s="21" t="str">
        <x:v>缺失/待核实</x:v>
      </x:c>
    </x:row>
    <x:row r="67" ht="42" customHeight="1">
      <x:c r="A67" s="33" t="n">
        <x:v>66</x:v>
      </x:c>
      <x:c r="B67" s="33" t="str">
        <x:v>RAW-0066</x:v>
      </x:c>
      <x:c r="C67" s="36" t="str">
        <x:v>北美洲</x:v>
      </x:c>
      <x:c r="D67" s="36" t="str">
        <x:v>United States</x:v>
      </x:c>
      <x:c r="E67" s="21" t="str">
        <x:v>Arlington County, Virginia</x:v>
      </x:c>
      <x:c r="F67" s="21" t="str">
        <x:v>The Pentagon fire</x:v>
      </x:c>
      <x:c r="G67" s="39" t="n">
        <x:v>37145</x:v>
      </x:c>
      <x:c r="H67" s="21" t="str">
        <x:v>Part of the September 11 attacks. Caused damaged at the southwestern side from one hijacked airliner Flight 77 of the impact and partial collapse.</x:v>
      </x:c>
      <x:c r="I67" s="21" t="str">
        <x:v>未检索到/待核实</x:v>
      </x:c>
      <x:c r="J67" s="21" t="str">
        <x:v>Part of the September 11 attacks. Caused damaged at the southwestern side from one hijacked airliner Flight 77 of the impact and partial collapse.</x:v>
      </x:c>
      <x:c r="K67" s="21" t="str">
        <x:v>https://en.wikipedia.org/wiki/List_of_fires_in_high-rise_buildings</x:v>
      </x:c>
      <x:c r="L67" s="27"/>
      <x:c r="M67" s="27"/>
      <x:c r="N67" s="21" t="str">
        <x:v>未提供坐标</x:v>
      </x:c>
      <x:c r="O67" s="21" t="str">
        <x:v>高层建筑火灾</x:v>
      </x:c>
      <x:c r="P67" s="21" t="str">
        <x:v>未检索到</x:v>
      </x:c>
      <x:c r="Q67" s="21" t="str">
        <x:v>23 m</x:v>
      </x:c>
      <x:c r="R67" s="21" t="str">
        <x:v>未检索到</x:v>
      </x:c>
      <x:c r="S67" s="21" t="str">
        <x:v>未检索到</x:v>
      </x:c>
      <x:c r="T67" s="42" t="n">
        <x:v>125</x:v>
      </x:c>
      <x:c r="U67" s="42"/>
      <x:c r="V67" s="42"/>
      <x:c r="W67" s="33" t="str">
        <x:v>C</x:v>
      </x:c>
      <x:c r="X67" s="33" t="str">
        <x:v>candidate_height_or_list_membership_needs_individual_source</x:v>
      </x:c>
      <x:c r="Y67" s="33" t="str">
        <x:v>候选待核实</x:v>
      </x:c>
      <x:c r="Z67" s="21" t="str">
        <x:v>height=23 m; listed in high-rise fire table；aggregate list is not sufficient for final inclusion; verify height/floors and event details with cited event or building source</x:v>
      </x:c>
      <x:c r="AA67" s="21" t="str">
        <x:v>Wikipedia dynamic high-rise list (candidate discovery)</x:v>
      </x:c>
      <x:c r="AB67" s="21" t="str">
        <x:v>批量来源代理</x:v>
      </x:c>
      <x:c r="AC67" s="21" t="str"/>
      <x:c r="AD67" s="21" t="n">
        <x:v>1</x:v>
      </x:c>
      <x:c r="AE67" s="21" t="str">
        <x:v>未检查</x:v>
      </x:c>
      <x:c r="AF67" s="21" t="str"/>
      <x:c r="AG67" s="24" t="n">
        <x:v>46260</x:v>
      </x:c>
      <x:c r="AH67" s="21" t="str"/>
      <x:c r="AI67" s="21" t="n">
        <x:v>1</x:v>
      </x:c>
      <x:c r="AJ67" s="21" t="str">
        <x:v>未评估（本事件表不建立热浪因果关系）</x:v>
      </x:c>
      <x:c r="AK67" s="21" t="str">
        <x:v>缺失/待核实</x:v>
      </x:c>
    </x:row>
    <x:row r="68" ht="42" customHeight="1">
      <x:c r="A68" s="33" t="n">
        <x:v>67</x:v>
      </x:c>
      <x:c r="B68" s="33" t="str">
        <x:v>RAW-0067</x:v>
      </x:c>
      <x:c r="C68" s="36" t="str">
        <x:v>欧洲</x:v>
      </x:c>
      <x:c r="D68" s="36" t="str">
        <x:v>Italy</x:v>
      </x:c>
      <x:c r="E68" s="21" t="str">
        <x:v>Milan</x:v>
      </x:c>
      <x:c r="F68" s="21" t="str">
        <x:v>Pirelli Tower fire</x:v>
      </x:c>
      <x:c r="G68" s="39" t="n">
        <x:v>37364</x:v>
      </x:c>
      <x:c r="H68" s="21" t="str">
        <x:v>Plane crash</x:v>
      </x:c>
      <x:c r="I68" s="21" t="str">
        <x:v>aircraft impact</x:v>
      </x:c>
      <x:c r="J68" s="21" t="str">
        <x:v>Plane crash</x:v>
      </x:c>
      <x:c r="K68" s="21" t="str">
        <x:v>https://en.wikipedia.org/wiki/List_of_fires_in_high-rise_buildings</x:v>
      </x:c>
      <x:c r="L68" s="27" t="n">
        <x:v>45.46427</x:v>
      </x:c>
      <x:c r="M68" s="27" t="n">
        <x:v>9.18951</x:v>
      </x:c>
      <x:c r="N68" s="21" t="str">
        <x:v>城市代表点（来源明确说明不是火场坐标）</x:v>
      </x:c>
      <x:c r="O68" s="21" t="str">
        <x:v>高层建筑火灾</x:v>
      </x:c>
      <x:c r="P68" s="21" t="str">
        <x:v>未检索到</x:v>
      </x:c>
      <x:c r="Q68" s="21" t="str">
        <x:v>127 m</x:v>
      </x:c>
      <x:c r="R68" s="21" t="str">
        <x:v>未检索到</x:v>
      </x:c>
      <x:c r="S68" s="21" t="str">
        <x:v>未检索到</x:v>
      </x:c>
      <x:c r="T68" s="42" t="n">
        <x:v>3</x:v>
      </x:c>
      <x:c r="U68" s="42"/>
      <x:c r="V68" s="42"/>
      <x:c r="W68" s="33" t="str">
        <x:v>C</x:v>
      </x:c>
      <x:c r="X68" s="33" t="str">
        <x:v>candidate_height_or_list_membership_needs_individual_source</x:v>
      </x:c>
      <x:c r="Y68" s="33" t="str">
        <x:v>候选待核实</x:v>
      </x:c>
      <x:c r="Z68" s="21" t="str">
        <x:v>height=127 m; listed in high-rise fire table；aggregate list is not sufficient for final inclusion; verify height/floors and event details with cited event or building source</x:v>
      </x:c>
      <x:c r="AA68" s="21" t="str">
        <x:v>Wikipedia dynamic high-rise list (candidate discovery)</x:v>
      </x:c>
      <x:c r="AB68" s="21" t="str">
        <x:v>批量来源代理</x:v>
      </x:c>
      <x:c r="AC68" s="21" t="str"/>
      <x:c r="AD68" s="21" t="n">
        <x:v>1</x:v>
      </x:c>
      <x:c r="AE68" s="21" t="str">
        <x:v>未检查</x:v>
      </x:c>
      <x:c r="AF68" s="21" t="str"/>
      <x:c r="AG68" s="24" t="n">
        <x:v>46260</x:v>
      </x:c>
      <x:c r="AH68" s="21" t="str"/>
      <x:c r="AI68" s="21" t="n">
        <x:v>1</x:v>
      </x:c>
      <x:c r="AJ68" s="21" t="str">
        <x:v>未评估（本事件表不建立热浪因果关系）</x:v>
      </x:c>
      <x:c r="AK68" s="21" t="str">
        <x:v>已有来源描述</x:v>
      </x:c>
    </x:row>
    <x:row r="69" ht="42" customHeight="1">
      <x:c r="A69" s="33" t="n">
        <x:v>68</x:v>
      </x:c>
      <x:c r="B69" s="33" t="str">
        <x:v>RAW-0068</x:v>
      </x:c>
      <x:c r="C69" s="36" t="str">
        <x:v>大洋洲</x:v>
      </x:c>
      <x:c r="D69" s="36" t="str">
        <x:v>Australia</x:v>
      </x:c>
      <x:c r="E69" s="21" t="str">
        <x:v>Fairfield</x:v>
      </x:c>
      <x:c r="F69" s="21" t="str">
        <x:v>Tip Top Bakery fire</x:v>
      </x:c>
      <x:c r="G69" s="39" t="n">
        <x:v>37409</x:v>
      </x:c>
      <x:c r="H69" s="21" t="str">
        <x:v>High-rise façade fire; reported floors affected: 1.</x:v>
      </x:c>
      <x:c r="I69" s="21" t="str">
        <x:v>未检索到/待核实</x:v>
      </x:c>
      <x:c r="J69" s="21" t="str">
        <x:v>façade involved; floors affected=1</x:v>
      </x:c>
      <x:c r="K69" s="21" t="str">
        <x:v>https://en.wikipedia.org/wiki/List_of_high-rise_fa%C3%A7ade_fires</x:v>
      </x:c>
      <x:c r="L69" s="27" t="n">
        <x:v>-34.89842</x:v>
      </x:c>
      <x:c r="M69" s="27" t="n">
        <x:v>148.85272</x:v>
      </x:c>
      <x:c r="N69" s="21" t="str">
        <x:v>城市代表点（来源明确说明不是火场坐标）</x:v>
      </x:c>
      <x:c r="O69" s="21" t="str">
        <x:v>高层建筑火灾</x:v>
      </x:c>
      <x:c r="P69" s="21" t="str">
        <x:v>未检索到</x:v>
      </x:c>
      <x:c r="Q69" s="21" t="str">
        <x:v>未检索到</x:v>
      </x:c>
      <x:c r="R69" s="21" t="str">
        <x:v>floors affected=1</x:v>
      </x:c>
      <x:c r="S69" s="21" t="str">
        <x:v>未检索到</x:v>
      </x:c>
      <x:c r="T69" s="42" t="n">
        <x:v>0</x:v>
      </x:c>
      <x:c r="U69" s="42" t="n">
        <x:v>1</x:v>
      </x:c>
      <x:c r="V69" s="42"/>
      <x:c r="W69" s="33" t="str">
        <x:v>C</x:v>
      </x:c>
      <x:c r="X69" s="33" t="str">
        <x:v>candidate_list_membership_needs_individual_height_source</x:v>
      </x:c>
      <x:c r="Y69" s="33" t="str">
        <x:v>候选待核实</x:v>
      </x:c>
      <x:c r="Z69" s="21" t="str">
        <x:v>listed in high-rise façade fire table; affected floors are not total building floors；aggregate list is not sufficient for final inclusion; floors affected must not be mistaken for total building floors</x:v>
      </x:c>
      <x:c r="AA69" s="21" t="str">
        <x:v>Wikipedia high-rise façade list; derived from Bonner et al./news (candidate discovery)</x:v>
      </x:c>
      <x:c r="AB69" s="21" t="str">
        <x:v>批量来源代理</x:v>
      </x:c>
      <x:c r="AC69" s="21" t="str"/>
      <x:c r="AD69" s="21" t="n">
        <x:v>1</x:v>
      </x:c>
      <x:c r="AE69" s="21" t="str">
        <x:v>未检查</x:v>
      </x:c>
      <x:c r="AF69" s="21" t="str"/>
      <x:c r="AG69" s="24" t="n">
        <x:v>46260</x:v>
      </x:c>
      <x:c r="AH69" s="21" t="str"/>
      <x:c r="AI69" s="21" t="n">
        <x:v>1</x:v>
      </x:c>
      <x:c r="AJ69" s="21" t="str">
        <x:v>未评估（本事件表不建立热浪因果关系）</x:v>
      </x:c>
      <x:c r="AK69" s="21" t="str">
        <x:v>缺失/待核实</x:v>
      </x:c>
    </x:row>
    <x:row r="70" ht="42" customHeight="1">
      <x:c r="A70" s="33" t="n">
        <x:v>69</x:v>
      </x:c>
      <x:c r="B70" s="33" t="str">
        <x:v>RAW-0069</x:v>
      </x:c>
      <x:c r="C70" s="36" t="str">
        <x:v>欧洲</x:v>
      </x:c>
      <x:c r="D70" s="36" t="str">
        <x:v>United Kingdom</x:v>
      </x:c>
      <x:c r="E70" s="21" t="str">
        <x:v>London</x:v>
      </x:c>
      <x:c r="F70" s="21" t="str">
        <x:v>Telstar House fire</x:v>
      </x:c>
      <x:c r="G70" s="39" t="n">
        <x:v>37831</x:v>
      </x:c>
      <x:c r="H70" s="21" t="str">
        <x:v>High-rise façade fire; reported floors affected: 4.</x:v>
      </x:c>
      <x:c r="I70" s="21" t="str">
        <x:v>未检索到/待核实</x:v>
      </x:c>
      <x:c r="J70" s="21" t="str">
        <x:v>façade involved; floors affected=4</x:v>
      </x:c>
      <x:c r="K70" s="21" t="str">
        <x:v>https://en.wikipedia.org/wiki/List_of_high-rise_fa%C3%A7ade_fires</x:v>
      </x:c>
      <x:c r="L70" s="27"/>
      <x:c r="M70" s="27"/>
      <x:c r="N70" s="21" t="str">
        <x:v>未提供坐标</x:v>
      </x:c>
      <x:c r="O70" s="21" t="str">
        <x:v>高层建筑火灾</x:v>
      </x:c>
      <x:c r="P70" s="21" t="str">
        <x:v>未检索到</x:v>
      </x:c>
      <x:c r="Q70" s="21" t="str">
        <x:v>未检索到</x:v>
      </x:c>
      <x:c r="R70" s="21" t="str">
        <x:v>floors affected=4</x:v>
      </x:c>
      <x:c r="S70" s="21" t="str">
        <x:v>未检索到</x:v>
      </x:c>
      <x:c r="T70" s="42" t="n">
        <x:v>0</x:v>
      </x:c>
      <x:c r="U70" s="42" t="n">
        <x:v>3</x:v>
      </x:c>
      <x:c r="V70" s="42"/>
      <x:c r="W70" s="33" t="str">
        <x:v>C</x:v>
      </x:c>
      <x:c r="X70" s="33" t="str">
        <x:v>candidate_list_membership_needs_individual_height_source</x:v>
      </x:c>
      <x:c r="Y70" s="33" t="str">
        <x:v>候选待核实</x:v>
      </x:c>
      <x:c r="Z70" s="21" t="str">
        <x:v>listed in high-rise façade fire table; affected floors are not total building floors；aggregate list is not sufficient for final inclusion; floors affected must not be mistaken for total building floors</x:v>
      </x:c>
      <x:c r="AA70" s="21" t="str">
        <x:v>Wikipedia high-rise façade list; derived from Bonner et al./news (candidate discovery)</x:v>
      </x:c>
      <x:c r="AB70" s="21" t="str">
        <x:v>批量来源代理</x:v>
      </x:c>
      <x:c r="AC70" s="21" t="str"/>
      <x:c r="AD70" s="21" t="n">
        <x:v>1</x:v>
      </x:c>
      <x:c r="AE70" s="21" t="str">
        <x:v>未检查</x:v>
      </x:c>
      <x:c r="AF70" s="21" t="str"/>
      <x:c r="AG70" s="24" t="n">
        <x:v>46260</x:v>
      </x:c>
      <x:c r="AH70" s="21" t="str"/>
      <x:c r="AI70" s="21" t="n">
        <x:v>1</x:v>
      </x:c>
      <x:c r="AJ70" s="21" t="str">
        <x:v>未评估（本事件表不建立热浪因果关系）</x:v>
      </x:c>
      <x:c r="AK70" s="21" t="str">
        <x:v>缺失/待核实</x:v>
      </x:c>
    </x:row>
    <x:row r="71" ht="42" customHeight="1">
      <x:c r="A71" s="33" t="n">
        <x:v>70</x:v>
      </x:c>
      <x:c r="B71" s="33" t="str">
        <x:v>RAW-0070</x:v>
      </x:c>
      <x:c r="C71" s="36" t="str">
        <x:v>北美洲</x:v>
      </x:c>
      <x:c r="D71" s="36" t="str">
        <x:v>United States</x:v>
      </x:c>
      <x:c r="E71" s="21" t="str">
        <x:v>Chicago</x:v>
      </x:c>
      <x:c r="F71" s="21" t="str">
        <x:v>Cook County Administration Building fire</x:v>
      </x:c>
      <x:c r="G71" s="39" t="n">
        <x:v>37911</x:v>
      </x:c>
      <x:c r="H71" s="21" t="str">
        <x:v>Seven other seriously injured, fire thought to have been arson</x:v>
      </x:c>
      <x:c r="I71" s="21" t="str">
        <x:v>arson</x:v>
      </x:c>
      <x:c r="J71" s="21" t="str">
        <x:v>Seven other seriously injured, fire thought to have been arson</x:v>
      </x:c>
      <x:c r="K71" s="21" t="str">
        <x:v>https://en.wikipedia.org/wiki/List_of_fires_in_high-rise_buildings</x:v>
      </x:c>
      <x:c r="L71" s="27" t="n">
        <x:v>41.85003</x:v>
      </x:c>
      <x:c r="M71" s="27" t="n">
        <x:v>-87.65005</x:v>
      </x:c>
      <x:c r="N71" s="21" t="str">
        <x:v>城市代表点（来源明确说明不是火场坐标）</x:v>
      </x:c>
      <x:c r="O71" s="21" t="str">
        <x:v>高层建筑火灾</x:v>
      </x:c>
      <x:c r="P71" s="21" t="str">
        <x:v>office/government</x:v>
      </x:c>
      <x:c r="Q71" s="21" t="str">
        <x:v>未检索到</x:v>
      </x:c>
      <x:c r="R71" s="21" t="str">
        <x:v>未检索到</x:v>
      </x:c>
      <x:c r="S71" s="21" t="str">
        <x:v>未检索到</x:v>
      </x:c>
      <x:c r="T71" s="42" t="n">
        <x:v>6</x:v>
      </x:c>
      <x:c r="U71" s="42"/>
      <x:c r="V71" s="42"/>
      <x:c r="W71" s="33" t="str">
        <x:v>C</x:v>
      </x:c>
      <x:c r="X71" s="33" t="str">
        <x:v>candidate_height_or_list_membership_needs_individual_source</x:v>
      </x:c>
      <x:c r="Y71" s="33" t="str">
        <x:v>候选待核实</x:v>
      </x:c>
      <x:c r="Z71" s="21" t="str">
        <x:v>listed in high-rise fire table；aggregate list is not sufficient for final inclusion; verify height/floors and event details with cited event or building source</x:v>
      </x:c>
      <x:c r="AA71" s="21" t="str">
        <x:v>Wikipedia dynamic high-rise list (candidate discovery)</x:v>
      </x:c>
      <x:c r="AB71" s="21" t="str">
        <x:v>批量来源代理</x:v>
      </x:c>
      <x:c r="AC71" s="21" t="str"/>
      <x:c r="AD71" s="21" t="n">
        <x:v>1</x:v>
      </x:c>
      <x:c r="AE71" s="21" t="str">
        <x:v>未检查</x:v>
      </x:c>
      <x:c r="AF71" s="21" t="str"/>
      <x:c r="AG71" s="24" t="n">
        <x:v>46260</x:v>
      </x:c>
      <x:c r="AH71" s="21" t="str"/>
      <x:c r="AI71" s="21" t="n">
        <x:v>1</x:v>
      </x:c>
      <x:c r="AJ71" s="21" t="str">
        <x:v>未评估（本事件表不建立热浪因果关系）</x:v>
      </x:c>
      <x:c r="AK71" s="21" t="str">
        <x:v>已有来源描述</x:v>
      </x:c>
    </x:row>
    <x:row r="72" ht="42" customHeight="1">
      <x:c r="A72" s="33" t="n">
        <x:v>71</x:v>
      </x:c>
      <x:c r="B72" s="33" t="str">
        <x:v>RAW-0071</x:v>
      </x:c>
      <x:c r="C72" s="36" t="str">
        <x:v>亚洲</x:v>
      </x:c>
      <x:c r="D72" s="36" t="str">
        <x:v>Iraq</x:v>
      </x:c>
      <x:c r="E72" s="21" t="str">
        <x:v>Baghdad</x:v>
      </x:c>
      <x:c r="F72" s="21" t="str">
        <x:v>Al Rasheed Hotel fire</x:v>
      </x:c>
      <x:c r="G72" s="39" t="n">
        <x:v>37981</x:v>
      </x:c>
      <x:c r="H72" s="21" t="str">
        <x:v>Twenty-eight 68 mm and 85 mm Katyusha rockets were fired at and struck the hotel</x:v>
      </x:c>
      <x:c r="I72" s="21" t="str">
        <x:v>conflict-related attack</x:v>
      </x:c>
      <x:c r="J72" s="21" t="str">
        <x:v>Twenty-eight 68 mm and 85 mm Katyusha rockets were fired at and struck the hotel</x:v>
      </x:c>
      <x:c r="K72" s="21" t="str">
        <x:v>https://en.wikipedia.org/wiki/List_of_fires_in_high-rise_buildings</x:v>
      </x:c>
      <x:c r="L72" s="27" t="n">
        <x:v>33.34058</x:v>
      </x:c>
      <x:c r="M72" s="27" t="n">
        <x:v>44.40088</x:v>
      </x:c>
      <x:c r="N72" s="21" t="str">
        <x:v>城市代表点（来源明确说明不是火场坐标）</x:v>
      </x:c>
      <x:c r="O72" s="21" t="str">
        <x:v>高层建筑火灾</x:v>
      </x:c>
      <x:c r="P72" s="21" t="str">
        <x:v>hotel</x:v>
      </x:c>
      <x:c r="Q72" s="21" t="str">
        <x:v>59.4 m</x:v>
      </x:c>
      <x:c r="R72" s="21" t="str">
        <x:v>未检索到</x:v>
      </x:c>
      <x:c r="S72" s="21" t="str">
        <x:v>未检索到</x:v>
      </x:c>
      <x:c r="T72" s="42" t="n">
        <x:v>1</x:v>
      </x:c>
      <x:c r="U72" s="42"/>
      <x:c r="V72" s="42"/>
      <x:c r="W72" s="33" t="str">
        <x:v>C</x:v>
      </x:c>
      <x:c r="X72" s="33" t="str">
        <x:v>candidate_height_or_list_membership_needs_individual_source</x:v>
      </x:c>
      <x:c r="Y72" s="33" t="str">
        <x:v>候选待核实</x:v>
      </x:c>
      <x:c r="Z72" s="21" t="str">
        <x:v>height=59.4 m; listed in high-rise fire table；aggregate list is not sufficient for final inclusion; verify height/floors and event details with cited event or building source</x:v>
      </x:c>
      <x:c r="AA72" s="21" t="str">
        <x:v>Wikipedia dynamic high-rise list (candidate discovery)</x:v>
      </x:c>
      <x:c r="AB72" s="21" t="str">
        <x:v>批量来源代理</x:v>
      </x:c>
      <x:c r="AC72" s="21" t="str"/>
      <x:c r="AD72" s="21" t="n">
        <x:v>1</x:v>
      </x:c>
      <x:c r="AE72" s="21" t="str">
        <x:v>未检查</x:v>
      </x:c>
      <x:c r="AF72" s="21" t="str"/>
      <x:c r="AG72" s="24" t="n">
        <x:v>46260</x:v>
      </x:c>
      <x:c r="AH72" s="21" t="str"/>
      <x:c r="AI72" s="21" t="n">
        <x:v>1</x:v>
      </x:c>
      <x:c r="AJ72" s="21" t="str">
        <x:v>未评估（本事件表不建立热浪因果关系）</x:v>
      </x:c>
      <x:c r="AK72" s="21" t="str">
        <x:v>已有来源描述</x:v>
      </x:c>
    </x:row>
    <x:row r="73" ht="42" customHeight="1">
      <x:c r="A73" s="33" t="n">
        <x:v>72</x:v>
      </x:c>
      <x:c r="B73" s="33" t="str">
        <x:v>RAW-0072</x:v>
      </x:c>
      <x:c r="C73" s="36" t="str">
        <x:v>南美洲</x:v>
      </x:c>
      <x:c r="D73" s="36" t="str">
        <x:v>Venezuela</x:v>
      </x:c>
      <x:c r="E73" s="21" t="str">
        <x:v>Caracas</x:v>
      </x:c>
      <x:c r="F73" s="21" t="str">
        <x:v>Parque Central Complex east tower fire</x:v>
      </x:c>
      <x:c r="G73" s="39" t="n">
        <x:v>38277</x:v>
      </x:c>
      <x:c r="H73" s="21" t="str">
        <x:v>Damage to 34th-44th floors</x:v>
      </x:c>
      <x:c r="I73" s="21" t="str">
        <x:v>未检索到/待核实</x:v>
      </x:c>
      <x:c r="J73" s="21" t="str">
        <x:v>Damage to 34th-44th floors</x:v>
      </x:c>
      <x:c r="K73" s="21" t="str">
        <x:v>https://en.wikipedia.org/wiki/List_of_fires_in_high-rise_buildings</x:v>
      </x:c>
      <x:c r="L73" s="27" t="n">
        <x:v>10.48801</x:v>
      </x:c>
      <x:c r="M73" s="27" t="n">
        <x:v>-66.87919</x:v>
      </x:c>
      <x:c r="N73" s="21" t="str">
        <x:v>城市代表点（来源明确说明不是火场坐标）</x:v>
      </x:c>
      <x:c r="O73" s="21" t="str">
        <x:v>高层建筑火灾</x:v>
      </x:c>
      <x:c r="P73" s="21" t="str">
        <x:v>未检索到</x:v>
      </x:c>
      <x:c r="Q73" s="21" t="str">
        <x:v>255 m</x:v>
      </x:c>
      <x:c r="R73" s="21" t="str">
        <x:v>未检索到</x:v>
      </x:c>
      <x:c r="S73" s="21" t="str">
        <x:v>未检索到</x:v>
      </x:c>
      <x:c r="T73" s="42" t="n">
        <x:v>0</x:v>
      </x:c>
      <x:c r="U73" s="42"/>
      <x:c r="V73" s="42"/>
      <x:c r="W73" s="33" t="str">
        <x:v>C</x:v>
      </x:c>
      <x:c r="X73" s="33" t="str">
        <x:v>candidate_height_or_list_membership_needs_individual_source</x:v>
      </x:c>
      <x:c r="Y73" s="33" t="str">
        <x:v>候选待核实</x:v>
      </x:c>
      <x:c r="Z73" s="21" t="str">
        <x:v>height=255 m; listed in high-rise fire table；aggregate list is not sufficient for final inclusion; verify height/floors and event details with cited event or building source</x:v>
      </x:c>
      <x:c r="AA73" s="21" t="str">
        <x:v>Wikipedia dynamic high-rise list (candidate discovery)</x:v>
      </x:c>
      <x:c r="AB73" s="21" t="str">
        <x:v>批量来源代理</x:v>
      </x:c>
      <x:c r="AC73" s="21" t="str"/>
      <x:c r="AD73" s="21" t="n">
        <x:v>1</x:v>
      </x:c>
      <x:c r="AE73" s="21" t="str">
        <x:v>未检查</x:v>
      </x:c>
      <x:c r="AF73" s="21" t="str"/>
      <x:c r="AG73" s="24" t="n">
        <x:v>46260</x:v>
      </x:c>
      <x:c r="AH73" s="21" t="str"/>
      <x:c r="AI73" s="21" t="n">
        <x:v>1</x:v>
      </x:c>
      <x:c r="AJ73" s="21" t="str">
        <x:v>未评估（本事件表不建立热浪因果关系）</x:v>
      </x:c>
      <x:c r="AK73" s="21" t="str">
        <x:v>缺失/待核实</x:v>
      </x:c>
    </x:row>
    <x:row r="74" ht="42" customHeight="1">
      <x:c r="A74" s="33" t="n">
        <x:v>73</x:v>
      </x:c>
      <x:c r="B74" s="33" t="str">
        <x:v>RAW-0073</x:v>
      </x:c>
      <x:c r="C74" s="36" t="str">
        <x:v>南美洲</x:v>
      </x:c>
      <x:c r="D74" s="36" t="str">
        <x:v>Venezuela</x:v>
      </x:c>
      <x:c r="E74" s="21" t="str">
        <x:v>Caracas</x:v>
      </x:c>
      <x:c r="F74" s="21" t="str">
        <x:v>Parque Central Complex fire</x:v>
      </x:c>
      <x:c r="G74" s="39" t="n">
        <x:v>38277</x:v>
      </x:c>
      <x:c r="H74" s="21" t="str">
        <x:v>High-rise façade fire; reported floors affected: 17.</x:v>
      </x:c>
      <x:c r="I74" s="21" t="str">
        <x:v>未检索到/待核实</x:v>
      </x:c>
      <x:c r="J74" s="21" t="str">
        <x:v>façade involved; floors affected=17</x:v>
      </x:c>
      <x:c r="K74" s="21" t="str">
        <x:v>https://en.wikipedia.org/wiki/List_of_high-rise_fa%C3%A7ade_fires</x:v>
      </x:c>
      <x:c r="L74" s="27" t="n">
        <x:v>10.48801</x:v>
      </x:c>
      <x:c r="M74" s="27" t="n">
        <x:v>-66.87919</x:v>
      </x:c>
      <x:c r="N74" s="21" t="str">
        <x:v>城市代表点（来源明确说明不是火场坐标）</x:v>
      </x:c>
      <x:c r="O74" s="21" t="str">
        <x:v>高层建筑火灾</x:v>
      </x:c>
      <x:c r="P74" s="21" t="str">
        <x:v>未检索到</x:v>
      </x:c>
      <x:c r="Q74" s="21" t="str">
        <x:v>未检索到</x:v>
      </x:c>
      <x:c r="R74" s="21" t="str">
        <x:v>floors affected=17</x:v>
      </x:c>
      <x:c r="S74" s="21" t="str">
        <x:v>未检索到</x:v>
      </x:c>
      <x:c r="T74" s="42" t="n">
        <x:v>0</x:v>
      </x:c>
      <x:c r="U74" s="42" t="n">
        <x:v>25</x:v>
      </x:c>
      <x:c r="V74" s="42"/>
      <x:c r="W74" s="33" t="str">
        <x:v>C</x:v>
      </x:c>
      <x:c r="X74" s="33" t="str">
        <x:v>candidate_list_membership_needs_individual_height_source</x:v>
      </x:c>
      <x:c r="Y74" s="33" t="str">
        <x:v>候选待核实</x:v>
      </x:c>
      <x:c r="Z74" s="21" t="str">
        <x:v>listed in high-rise façade fire table; affected floors are not total building floors；aggregate list is not sufficient for final inclusion; floors affected must not be mistaken for total building floors</x:v>
      </x:c>
      <x:c r="AA74" s="21" t="str">
        <x:v>Wikipedia high-rise façade list; derived from Bonner et al./news (candidate discovery)</x:v>
      </x:c>
      <x:c r="AB74" s="21" t="str">
        <x:v>批量来源代理</x:v>
      </x:c>
      <x:c r="AC74" s="21" t="str"/>
      <x:c r="AD74" s="21" t="n">
        <x:v>1</x:v>
      </x:c>
      <x:c r="AE74" s="21" t="str">
        <x:v>未检查</x:v>
      </x:c>
      <x:c r="AF74" s="21" t="str"/>
      <x:c r="AG74" s="24" t="n">
        <x:v>46260</x:v>
      </x:c>
      <x:c r="AH74" s="21" t="str"/>
      <x:c r="AI74" s="21" t="n">
        <x:v>1</x:v>
      </x:c>
      <x:c r="AJ74" s="21" t="str">
        <x:v>未评估（本事件表不建立热浪因果关系）</x:v>
      </x:c>
      <x:c r="AK74" s="21" t="str">
        <x:v>缺失/待核实</x:v>
      </x:c>
    </x:row>
    <x:row r="75" ht="42" customHeight="1">
      <x:c r="A75" s="33" t="n">
        <x:v>74</x:v>
      </x:c>
      <x:c r="B75" s="33" t="str">
        <x:v>RAW-0074</x:v>
      </x:c>
      <x:c r="C75" s="36" t="str">
        <x:v>北美洲</x:v>
      </x:c>
      <x:c r="D75" s="36" t="str">
        <x:v>United States</x:v>
      </x:c>
      <x:c r="E75" s="21" t="str">
        <x:v>Chicago</x:v>
      </x:c>
      <x:c r="F75" s="21" t="str">
        <x:v>LaSalle National Bank Building fire</x:v>
      </x:c>
      <x:c r="G75" s="39" t="n">
        <x:v>38328</x:v>
      </x:c>
      <x:c r="H75" s="21" t="str">
        <x:v>25 injured</x:v>
      </x:c>
      <x:c r="I75" s="21" t="str">
        <x:v>未检索到/待核实</x:v>
      </x:c>
      <x:c r="J75" s="21" t="str">
        <x:v>25 injured</x:v>
      </x:c>
      <x:c r="K75" s="21" t="str">
        <x:v>https://en.wikipedia.org/wiki/List_of_fires_in_high-rise_buildings</x:v>
      </x:c>
      <x:c r="L75" s="27" t="n">
        <x:v>41.85003</x:v>
      </x:c>
      <x:c r="M75" s="27" t="n">
        <x:v>-87.65005</x:v>
      </x:c>
      <x:c r="N75" s="21" t="str">
        <x:v>城市代表点（来源明确说明不是火场坐标）</x:v>
      </x:c>
      <x:c r="O75" s="21" t="str">
        <x:v>高层建筑火灾</x:v>
      </x:c>
      <x:c r="P75" s="21" t="str">
        <x:v>office/government</x:v>
      </x:c>
      <x:c r="Q75" s="21" t="str">
        <x:v>163.1 m</x:v>
      </x:c>
      <x:c r="R75" s="21" t="str">
        <x:v>未检索到</x:v>
      </x:c>
      <x:c r="S75" s="21" t="str">
        <x:v>未检索到</x:v>
      </x:c>
      <x:c r="T75" s="42" t="n">
        <x:v>0</x:v>
      </x:c>
      <x:c r="U75" s="42" t="n">
        <x:v>25</x:v>
      </x:c>
      <x:c r="V75" s="42"/>
      <x:c r="W75" s="33" t="str">
        <x:v>C</x:v>
      </x:c>
      <x:c r="X75" s="33" t="str">
        <x:v>candidate_height_or_list_membership_needs_individual_source</x:v>
      </x:c>
      <x:c r="Y75" s="33" t="str">
        <x:v>候选待核实</x:v>
      </x:c>
      <x:c r="Z75" s="21" t="str">
        <x:v>height=163.1 m; listed in high-rise fire table；aggregate list is not sufficient for final inclusion; verify height/floors and event details with cited event or building source</x:v>
      </x:c>
      <x:c r="AA75" s="21" t="str">
        <x:v>Wikipedia dynamic high-rise list (candidate discovery)</x:v>
      </x:c>
      <x:c r="AB75" s="21" t="str">
        <x:v>批量来源代理</x:v>
      </x:c>
      <x:c r="AC75" s="21" t="str"/>
      <x:c r="AD75" s="21" t="n">
        <x:v>1</x:v>
      </x:c>
      <x:c r="AE75" s="21" t="str">
        <x:v>未检查</x:v>
      </x:c>
      <x:c r="AF75" s="21" t="str"/>
      <x:c r="AG75" s="24" t="n">
        <x:v>46260</x:v>
      </x:c>
      <x:c r="AH75" s="21" t="str"/>
      <x:c r="AI75" s="21" t="n">
        <x:v>1</x:v>
      </x:c>
      <x:c r="AJ75" s="21" t="str">
        <x:v>未评估（本事件表不建立热浪因果关系）</x:v>
      </x:c>
      <x:c r="AK75" s="21" t="str">
        <x:v>缺失/待核实</x:v>
      </x:c>
    </x:row>
    <x:row r="76" ht="42" customHeight="1">
      <x:c r="A76" s="33" t="n">
        <x:v>75</x:v>
      </x:c>
      <x:c r="B76" s="33" t="str">
        <x:v>RAW-0075</x:v>
      </x:c>
      <x:c r="C76" s="36" t="str">
        <x:v>欧洲</x:v>
      </x:c>
      <x:c r="D76" s="36" t="str">
        <x:v>United Kingdom</x:v>
      </x:c>
      <x:c r="E76" s="21" t="str">
        <x:v>Hertfordshire</x:v>
      </x:c>
      <x:c r="F76" s="21" t="str">
        <x:v>Harrow Court fire</x:v>
      </x:c>
      <x:c r="G76" s="39" t="n">
        <x:v>38385</x:v>
      </x:c>
      <x:c r="H76" s="21" t="str">
        <x:v>Harrow Court fire</x:v>
      </x:c>
      <x:c r="I76" s="21" t="str">
        <x:v>未检索到/待核实</x:v>
      </x:c>
      <x:c r="J76" s="21" t="str">
        <x:v>Harrow Court fire</x:v>
      </x:c>
      <x:c r="K76" s="21" t="str">
        <x:v>https://en.wikipedia.org/wiki/List_of_fires_in_high-rise_buildings</x:v>
      </x:c>
      <x:c r="L76" s="27"/>
      <x:c r="M76" s="27"/>
      <x:c r="N76" s="21" t="str">
        <x:v>未提供坐标</x:v>
      </x:c>
      <x:c r="O76" s="21" t="str">
        <x:v>高层建筑火灾</x:v>
      </x:c>
      <x:c r="P76" s="21" t="str">
        <x:v>未检索到</x:v>
      </x:c>
      <x:c r="Q76" s="21" t="str">
        <x:v>56.1 m</x:v>
      </x:c>
      <x:c r="R76" s="21" t="str">
        <x:v>未检索到</x:v>
      </x:c>
      <x:c r="S76" s="21" t="str">
        <x:v>未检索到</x:v>
      </x:c>
      <x:c r="T76" s="42" t="n">
        <x:v>3</x:v>
      </x:c>
      <x:c r="U76" s="42"/>
      <x:c r="V76" s="42"/>
      <x:c r="W76" s="33" t="str">
        <x:v>C</x:v>
      </x:c>
      <x:c r="X76" s="33" t="str">
        <x:v>candidate_height_or_list_membership_needs_individual_source</x:v>
      </x:c>
      <x:c r="Y76" s="33" t="str">
        <x:v>候选待核实</x:v>
      </x:c>
      <x:c r="Z76" s="21" t="str">
        <x:v>height=56.1 m; listed in high-rise fire table；aggregate list is not sufficient for final inclusion; verify height/floors and event details with cited event or building source</x:v>
      </x:c>
      <x:c r="AA76" s="21" t="str">
        <x:v>Wikipedia dynamic high-rise list (candidate discovery)</x:v>
      </x:c>
      <x:c r="AB76" s="21" t="str">
        <x:v>批量来源代理</x:v>
      </x:c>
      <x:c r="AC76" s="21" t="str"/>
      <x:c r="AD76" s="21" t="n">
        <x:v>1</x:v>
      </x:c>
      <x:c r="AE76" s="21" t="str">
        <x:v>未检查</x:v>
      </x:c>
      <x:c r="AF76" s="21" t="str"/>
      <x:c r="AG76" s="24" t="n">
        <x:v>46260</x:v>
      </x:c>
      <x:c r="AH76" s="21" t="str"/>
      <x:c r="AI76" s="21" t="n">
        <x:v>1</x:v>
      </x:c>
      <x:c r="AJ76" s="21" t="str">
        <x:v>未评估（本事件表不建立热浪因果关系）</x:v>
      </x:c>
      <x:c r="AK76" s="21" t="str">
        <x:v>缺失/待核实</x:v>
      </x:c>
    </x:row>
    <x:row r="77" ht="42" customHeight="1">
      <x:c r="A77" s="33" t="n">
        <x:v>76</x:v>
      </x:c>
      <x:c r="B77" s="33" t="str">
        <x:v>RAW-0076</x:v>
      </x:c>
      <x:c r="C77" s="36" t="str">
        <x:v>欧洲</x:v>
      </x:c>
      <x:c r="D77" s="36" t="str">
        <x:v>Spain</x:v>
      </x:c>
      <x:c r="E77" s="21" t="str">
        <x:v>Madrid</x:v>
      </x:c>
      <x:c r="F77" s="21" t="str">
        <x:v>Windsor Tower (Madrid) fire</x:v>
      </x:c>
      <x:c r="G77" s="39" t="n">
        <x:v>38395</x:v>
      </x:c>
      <x:c r="H77" s="21" t="str">
        <x:v>High-rise façade fire; reported floors affected: 32.</x:v>
      </x:c>
      <x:c r="I77" s="21" t="str">
        <x:v>未检索到/待核实</x:v>
      </x:c>
      <x:c r="J77" s="21" t="str">
        <x:v>façade involved; floors affected=32</x:v>
      </x:c>
      <x:c r="K77" s="21" t="str">
        <x:v>https://en.wikipedia.org/wiki/List_of_high-rise_fa%C3%A7ade_fires</x:v>
      </x:c>
      <x:c r="L77" s="27" t="n">
        <x:v>40.4165</x:v>
      </x:c>
      <x:c r="M77" s="27" t="n">
        <x:v>-3.70256</x:v>
      </x:c>
      <x:c r="N77" s="21" t="str">
        <x:v>城市代表点（来源明确说明不是火场坐标）</x:v>
      </x:c>
      <x:c r="O77" s="21" t="str">
        <x:v>高层建筑火灾</x:v>
      </x:c>
      <x:c r="P77" s="21" t="str">
        <x:v>未检索到</x:v>
      </x:c>
      <x:c r="Q77" s="21" t="str">
        <x:v>未检索到</x:v>
      </x:c>
      <x:c r="R77" s="21" t="str">
        <x:v>floors affected=32</x:v>
      </x:c>
      <x:c r="S77" s="21" t="str">
        <x:v>未检索到</x:v>
      </x:c>
      <x:c r="T77" s="42" t="n">
        <x:v>0</x:v>
      </x:c>
      <x:c r="U77" s="42" t="n">
        <x:v>7</x:v>
      </x:c>
      <x:c r="V77" s="42"/>
      <x:c r="W77" s="33" t="str">
        <x:v>C</x:v>
      </x:c>
      <x:c r="X77" s="33" t="str">
        <x:v>candidate_list_membership_needs_individual_height_source</x:v>
      </x:c>
      <x:c r="Y77" s="33" t="str">
        <x:v>候选待核实</x:v>
      </x:c>
      <x:c r="Z77" s="21" t="str">
        <x:v>listed in high-rise façade fire table; affected floors are not total building floors；aggregate list is not sufficient for final inclusion; floors affected must not be mistaken for total building floors</x:v>
      </x:c>
      <x:c r="AA77" s="21" t="str">
        <x:v>Wikipedia high-rise façade list; derived from Bonner et al./news (candidate discovery)</x:v>
      </x:c>
      <x:c r="AB77" s="21" t="str">
        <x:v>批量来源代理</x:v>
      </x:c>
      <x:c r="AC77" s="21" t="str"/>
      <x:c r="AD77" s="21" t="n">
        <x:v>1</x:v>
      </x:c>
      <x:c r="AE77" s="21" t="str">
        <x:v>未检查</x:v>
      </x:c>
      <x:c r="AF77" s="21" t="str"/>
      <x:c r="AG77" s="24" t="n">
        <x:v>46260</x:v>
      </x:c>
      <x:c r="AH77" s="21" t="str"/>
      <x:c r="AI77" s="21" t="n">
        <x:v>1</x:v>
      </x:c>
      <x:c r="AJ77" s="21" t="str">
        <x:v>未评估（本事件表不建立热浪因果关系）</x:v>
      </x:c>
      <x:c r="AK77" s="21" t="str">
        <x:v>缺失/待核实</x:v>
      </x:c>
    </x:row>
    <x:row r="78" ht="42" customHeight="1">
      <x:c r="A78" s="33" t="n">
        <x:v>77</x:v>
      </x:c>
      <x:c r="B78" s="33" t="str">
        <x:v>RAW-0077</x:v>
      </x:c>
      <x:c r="C78" s="36" t="str">
        <x:v>欧洲</x:v>
      </x:c>
      <x:c r="D78" s="36" t="str">
        <x:v>Spain</x:v>
      </x:c>
      <x:c r="E78" s="21" t="str">
        <x:v>Madrid</x:v>
      </x:c>
      <x:c r="F78" s="21" t="str">
        <x:v>Windsor Tower fire</x:v>
      </x:c>
      <x:c r="G78" s="39" t="n">
        <x:v>38395</x:v>
      </x:c>
      <x:c r="H78" s="21" t="str">
        <x:v>Partially collapsed; subsequently demolished</x:v>
      </x:c>
      <x:c r="I78" s="21" t="str">
        <x:v>未检索到/待核实</x:v>
      </x:c>
      <x:c r="J78" s="21" t="str">
        <x:v>Partially collapsed; subsequently demolished</x:v>
      </x:c>
      <x:c r="K78" s="21" t="str">
        <x:v>https://en.wikipedia.org/wiki/List_of_fires_in_high-rise_buildings</x:v>
      </x:c>
      <x:c r="L78" s="27" t="n">
        <x:v>40.4165</x:v>
      </x:c>
      <x:c r="M78" s="27" t="n">
        <x:v>-3.70256</x:v>
      </x:c>
      <x:c r="N78" s="21" t="str">
        <x:v>城市代表点（来源明确说明不是火场坐标）</x:v>
      </x:c>
      <x:c r="O78" s="21" t="str">
        <x:v>高层建筑火灾</x:v>
      </x:c>
      <x:c r="P78" s="21" t="str">
        <x:v>未检索到</x:v>
      </x:c>
      <x:c r="Q78" s="21" t="str">
        <x:v>106 m</x:v>
      </x:c>
      <x:c r="R78" s="21" t="str">
        <x:v>未检索到</x:v>
      </x:c>
      <x:c r="S78" s="21" t="str">
        <x:v>未检索到</x:v>
      </x:c>
      <x:c r="T78" s="42" t="n">
        <x:v>0</x:v>
      </x:c>
      <x:c r="U78" s="42"/>
      <x:c r="V78" s="42"/>
      <x:c r="W78" s="33" t="str">
        <x:v>C</x:v>
      </x:c>
      <x:c r="X78" s="33" t="str">
        <x:v>candidate_height_or_list_membership_needs_individual_source</x:v>
      </x:c>
      <x:c r="Y78" s="33" t="str">
        <x:v>候选待核实</x:v>
      </x:c>
      <x:c r="Z78" s="21" t="str">
        <x:v>height=106 m; listed in high-rise fire table；aggregate list is not sufficient for final inclusion; verify height/floors and event details with cited event or building source</x:v>
      </x:c>
      <x:c r="AA78" s="21" t="str">
        <x:v>Wikipedia dynamic high-rise list (candidate discovery)</x:v>
      </x:c>
      <x:c r="AB78" s="21" t="str">
        <x:v>批量来源代理</x:v>
      </x:c>
      <x:c r="AC78" s="21" t="str"/>
      <x:c r="AD78" s="21" t="n">
        <x:v>1</x:v>
      </x:c>
      <x:c r="AE78" s="21" t="str">
        <x:v>未检查</x:v>
      </x:c>
      <x:c r="AF78" s="21" t="str"/>
      <x:c r="AG78" s="24" t="n">
        <x:v>46260</x:v>
      </x:c>
      <x:c r="AH78" s="21" t="str"/>
      <x:c r="AI78" s="21" t="n">
        <x:v>1</x:v>
      </x:c>
      <x:c r="AJ78" s="21" t="str">
        <x:v>未评估（本事件表不建立热浪因果关系）</x:v>
      </x:c>
      <x:c r="AK78" s="21" t="str">
        <x:v>缺失/待核实</x:v>
      </x:c>
    </x:row>
    <x:row r="79" ht="42" customHeight="1">
      <x:c r="A79" s="33" t="n">
        <x:v>78</x:v>
      </x:c>
      <x:c r="B79" s="33" t="str">
        <x:v>RAW-0078</x:v>
      </x:c>
      <x:c r="C79" s="36" t="str">
        <x:v>欧洲</x:v>
      </x:c>
      <x:c r="D79" s="36" t="str">
        <x:v>Germany</x:v>
      </x:c>
      <x:c r="E79" s="21" t="str">
        <x:v>Berlin</x:v>
      </x:c>
      <x:c r="F79" s="21" t="str">
        <x:v>Treskowstrasse Pankow Flats fire</x:v>
      </x:c>
      <x:c r="G79" s="39" t="n">
        <x:v>38463</x:v>
      </x:c>
      <x:c r="H79" s="21" t="str">
        <x:v>High-rise façade fire; reported floors affected: 5.</x:v>
      </x:c>
      <x:c r="I79" s="21" t="str">
        <x:v>未检索到/待核实</x:v>
      </x:c>
      <x:c r="J79" s="21" t="str">
        <x:v>façade involved; floors affected=5</x:v>
      </x:c>
      <x:c r="K79" s="21" t="str">
        <x:v>https://en.wikipedia.org/wiki/List_of_high-rise_fa%C3%A7ade_fires</x:v>
      </x:c>
      <x:c r="L79" s="27" t="n">
        <x:v>52.52437</x:v>
      </x:c>
      <x:c r="M79" s="27" t="n">
        <x:v>13.41053</x:v>
      </x:c>
      <x:c r="N79" s="21" t="str">
        <x:v>城市代表点（来源明确说明不是火场坐标）</x:v>
      </x:c>
      <x:c r="O79" s="21" t="str">
        <x:v>高层建筑火灾</x:v>
      </x:c>
      <x:c r="P79" s="21" t="str">
        <x:v>residential</x:v>
      </x:c>
      <x:c r="Q79" s="21" t="str">
        <x:v>未检索到</x:v>
      </x:c>
      <x:c r="R79" s="21" t="str">
        <x:v>floors affected=5</x:v>
      </x:c>
      <x:c r="S79" s="21" t="str">
        <x:v>未检索到</x:v>
      </x:c>
      <x:c r="T79" s="42" t="n">
        <x:v>2</x:v>
      </x:c>
      <x:c r="U79" s="42" t="n">
        <x:v>3</x:v>
      </x:c>
      <x:c r="V79" s="42"/>
      <x:c r="W79" s="33" t="str">
        <x:v>C</x:v>
      </x:c>
      <x:c r="X79" s="33" t="str">
        <x:v>candidate_list_membership_needs_individual_height_source</x:v>
      </x:c>
      <x:c r="Y79" s="33" t="str">
        <x:v>候选待核实</x:v>
      </x:c>
      <x:c r="Z79" s="21" t="str">
        <x:v>listed in high-rise façade fire table; affected floors are not total building floors；aggregate list is not sufficient for final inclusion; floors affected must not be mistaken for total building floors</x:v>
      </x:c>
      <x:c r="AA79" s="21" t="str">
        <x:v>Wikipedia high-rise façade list; derived from Bonner et al./news (candidate discovery)</x:v>
      </x:c>
      <x:c r="AB79" s="21" t="str">
        <x:v>批量来源代理</x:v>
      </x:c>
      <x:c r="AC79" s="21" t="str"/>
      <x:c r="AD79" s="21" t="n">
        <x:v>1</x:v>
      </x:c>
      <x:c r="AE79" s="21" t="str">
        <x:v>未检查</x:v>
      </x:c>
      <x:c r="AF79" s="21" t="str"/>
      <x:c r="AG79" s="24" t="n">
        <x:v>46260</x:v>
      </x:c>
      <x:c r="AH79" s="21" t="str"/>
      <x:c r="AI79" s="21" t="n">
        <x:v>1</x:v>
      </x:c>
      <x:c r="AJ79" s="21" t="str">
        <x:v>未评估（本事件表不建立热浪因果关系）</x:v>
      </x:c>
      <x:c r="AK79" s="21" t="str">
        <x:v>缺失/待核实</x:v>
      </x:c>
    </x:row>
    <x:row r="80" ht="42" customHeight="1">
      <x:c r="A80" s="33" t="n">
        <x:v>79</x:v>
      </x:c>
      <x:c r="B80" s="33" t="str">
        <x:v>RAW-0079</x:v>
      </x:c>
      <x:c r="C80" s="36" t="str">
        <x:v>亚洲</x:v>
      </x:c>
      <x:c r="D80" s="36" t="str">
        <x:v>Iran</x:v>
      </x:c>
      <x:c r="E80" s="21" t="str">
        <x:v>Tehran</x:v>
      </x:c>
      <x:c r="F80" s="21" t="str">
        <x:v>Tohid Town Residential fire</x:v>
      </x:c>
      <x:c r="G80" s="39" t="n">
        <x:v>38692</x:v>
      </x:c>
      <x:c r="H80" s="21" t="str">
        <x:v>Plane crash: 2005 Iranian Air Force C-130 crash</x:v>
      </x:c>
      <x:c r="I80" s="21" t="str">
        <x:v>aircraft impact</x:v>
      </x:c>
      <x:c r="J80" s="21" t="str">
        <x:v>Plane crash: 2005 Iranian Air Force C-130 crash</x:v>
      </x:c>
      <x:c r="K80" s="21" t="str">
        <x:v>https://en.wikipedia.org/wiki/List_of_fires_in_high-rise_buildings</x:v>
      </x:c>
      <x:c r="L80" s="27" t="n">
        <x:v>35.69439</x:v>
      </x:c>
      <x:c r="M80" s="27" t="n">
        <x:v>51.42151</x:v>
      </x:c>
      <x:c r="N80" s="21" t="str">
        <x:v>城市代表点（来源明确说明不是火场坐标）</x:v>
      </x:c>
      <x:c r="O80" s="21" t="str">
        <x:v>高层建筑火灾</x:v>
      </x:c>
      <x:c r="P80" s="21" t="str">
        <x:v>residential</x:v>
      </x:c>
      <x:c r="Q80" s="21" t="str">
        <x:v>33 m</x:v>
      </x:c>
      <x:c r="R80" s="21" t="str">
        <x:v>未检索到</x:v>
      </x:c>
      <x:c r="S80" s="21" t="str">
        <x:v>未检索到</x:v>
      </x:c>
      <x:c r="T80" s="42" t="n">
        <x:v>106</x:v>
      </x:c>
      <x:c r="U80" s="42"/>
      <x:c r="V80" s="42"/>
      <x:c r="W80" s="33" t="str">
        <x:v>C</x:v>
      </x:c>
      <x:c r="X80" s="33" t="str">
        <x:v>candidate_height_or_list_membership_needs_individual_source</x:v>
      </x:c>
      <x:c r="Y80" s="33" t="str">
        <x:v>候选待核实</x:v>
      </x:c>
      <x:c r="Z80" s="21" t="str">
        <x:v>height=33 m; listed in high-rise fire table；aggregate list is not sufficient for final inclusion; verify height/floors and event details with cited event or building source</x:v>
      </x:c>
      <x:c r="AA80" s="21" t="str">
        <x:v>Wikipedia dynamic high-rise list (candidate discovery)</x:v>
      </x:c>
      <x:c r="AB80" s="21" t="str">
        <x:v>批量来源代理</x:v>
      </x:c>
      <x:c r="AC80" s="21" t="str"/>
      <x:c r="AD80" s="21" t="n">
        <x:v>1</x:v>
      </x:c>
      <x:c r="AE80" s="21" t="str">
        <x:v>未检查</x:v>
      </x:c>
      <x:c r="AF80" s="21" t="str"/>
      <x:c r="AG80" s="24" t="n">
        <x:v>46260</x:v>
      </x:c>
      <x:c r="AH80" s="21" t="str"/>
      <x:c r="AI80" s="21" t="n">
        <x:v>1</x:v>
      </x:c>
      <x:c r="AJ80" s="21" t="str">
        <x:v>未评估（本事件表不建立热浪因果关系）</x:v>
      </x:c>
      <x:c r="AK80" s="21" t="str">
        <x:v>已有来源描述</x:v>
      </x:c>
    </x:row>
    <x:row r="81" ht="42" customHeight="1">
      <x:c r="A81" s="33" t="n">
        <x:v>80</x:v>
      </x:c>
      <x:c r="B81" s="33" t="str">
        <x:v>RAW-0080</x:v>
      </x:c>
      <x:c r="C81" s="36" t="str">
        <x:v>亚洲</x:v>
      </x:c>
      <x:c r="D81" s="36" t="str">
        <x:v>Kazakhstan</x:v>
      </x:c>
      <x:c r="E81" s="21" t="str">
        <x:v>Astana</x:v>
      </x:c>
      <x:c r="F81" s="21" t="str">
        <x:v>Transport Tower fire</x:v>
      </x:c>
      <x:c r="G81" s="39" t="n">
        <x:v>38867</x:v>
      </x:c>
      <x:c r="H81" s="21" t="str">
        <x:v>Fire destroyed upper floors of 34-story government building</x:v>
      </x:c>
      <x:c r="I81" s="21" t="str">
        <x:v>未检索到/待核实</x:v>
      </x:c>
      <x:c r="J81" s="21" t="str">
        <x:v>Fire destroyed upper floors of 34-story government building</x:v>
      </x:c>
      <x:c r="K81" s="21" t="str">
        <x:v>https://en.wikipedia.org/wiki/List_of_fires_in_high-rise_buildings</x:v>
      </x:c>
      <x:c r="L81" s="27" t="n">
        <x:v>51.1801</x:v>
      </x:c>
      <x:c r="M81" s="27" t="n">
        <x:v>71.44598</x:v>
      </x:c>
      <x:c r="N81" s="21" t="str">
        <x:v>城市代表点（来源明确说明不是火场坐标）</x:v>
      </x:c>
      <x:c r="O81" s="21" t="str">
        <x:v>高层建筑火灾</x:v>
      </x:c>
      <x:c r="P81" s="21" t="str">
        <x:v>未检索到</x:v>
      </x:c>
      <x:c r="Q81" s="21" t="str">
        <x:v>34 floors; 112.2 m</x:v>
      </x:c>
      <x:c r="R81" s="21" t="str">
        <x:v>未检索到</x:v>
      </x:c>
      <x:c r="S81" s="21" t="str">
        <x:v>未检索到</x:v>
      </x:c>
      <x:c r="T81" s="42" t="n">
        <x:v>0</x:v>
      </x:c>
      <x:c r="U81" s="42"/>
      <x:c r="V81" s="42"/>
      <x:c r="W81" s="33" t="str">
        <x:v>C</x:v>
      </x:c>
      <x:c r="X81" s="33" t="str">
        <x:v>candidate_height_or_list_membership_needs_individual_source</x:v>
      </x:c>
      <x:c r="Y81" s="33" t="str">
        <x:v>候选待核实</x:v>
      </x:c>
      <x:c r="Z81" s="21" t="str">
        <x:v>height=112.2 m; floors=34; listed in high-rise fire table；aggregate list is not sufficient for final inclusion; verify height/floors and event details with cited event or building source</x:v>
      </x:c>
      <x:c r="AA81" s="21" t="str">
        <x:v>Wikipedia dynamic high-rise list (candidate discovery)</x:v>
      </x:c>
      <x:c r="AB81" s="21" t="str">
        <x:v>批量来源代理</x:v>
      </x:c>
      <x:c r="AC81" s="21" t="str"/>
      <x:c r="AD81" s="21" t="n">
        <x:v>1</x:v>
      </x:c>
      <x:c r="AE81" s="21" t="str">
        <x:v>未检查</x:v>
      </x:c>
      <x:c r="AF81" s="21" t="str"/>
      <x:c r="AG81" s="24" t="n">
        <x:v>46260</x:v>
      </x:c>
      <x:c r="AH81" s="21" t="str"/>
      <x:c r="AI81" s="21" t="n">
        <x:v>1</x:v>
      </x:c>
      <x:c r="AJ81" s="21" t="str">
        <x:v>未评估（本事件表不建立热浪因果关系）</x:v>
      </x:c>
      <x:c r="AK81" s="21" t="str">
        <x:v>缺失/待核实</x:v>
      </x:c>
    </x:row>
    <x:row r="82" ht="42" customHeight="1">
      <x:c r="A82" s="33" t="n">
        <x:v>81</x:v>
      </x:c>
      <x:c r="B82" s="33" t="str">
        <x:v>RAW-0081</x:v>
      </x:c>
      <x:c r="C82" s="36" t="str">
        <x:v>北美洲</x:v>
      </x:c>
      <x:c r="D82" s="36" t="str">
        <x:v>United States</x:v>
      </x:c>
      <x:c r="E82" s="21" t="str">
        <x:v>New York City</x:v>
      </x:c>
      <x:c r="F82" s="21" t="str">
        <x:v>Belaire Apartments fire</x:v>
      </x:c>
      <x:c r="G82" s="39" t="n">
        <x:v>39001</x:v>
      </x:c>
      <x:c r="H82" s="21" t="str">
        <x:v>Plane crash</x:v>
      </x:c>
      <x:c r="I82" s="21" t="str">
        <x:v>aircraft impact</x:v>
      </x:c>
      <x:c r="J82" s="21" t="str">
        <x:v>Plane crash</x:v>
      </x:c>
      <x:c r="K82" s="21" t="str">
        <x:v>https://en.wikipedia.org/wiki/List_of_fires_in_high-rise_buildings</x:v>
      </x:c>
      <x:c r="L82" s="27" t="n">
        <x:v>40.71427</x:v>
      </x:c>
      <x:c r="M82" s="27" t="n">
        <x:v>-74.00597</x:v>
      </x:c>
      <x:c r="N82" s="21" t="str">
        <x:v>城市代表点（来源明确说明不是火场坐标）</x:v>
      </x:c>
      <x:c r="O82" s="21" t="str">
        <x:v>高层建筑火灾</x:v>
      </x:c>
      <x:c r="P82" s="21" t="str">
        <x:v>residential</x:v>
      </x:c>
      <x:c r="Q82" s="21" t="str">
        <x:v>156 m</x:v>
      </x:c>
      <x:c r="R82" s="21" t="str">
        <x:v>未检索到</x:v>
      </x:c>
      <x:c r="S82" s="21" t="str">
        <x:v>未检索到</x:v>
      </x:c>
      <x:c r="T82" s="42" t="n">
        <x:v>2</x:v>
      </x:c>
      <x:c r="U82" s="42"/>
      <x:c r="V82" s="42"/>
      <x:c r="W82" s="33" t="str">
        <x:v>C</x:v>
      </x:c>
      <x:c r="X82" s="33" t="str">
        <x:v>candidate_height_or_list_membership_needs_individual_source</x:v>
      </x:c>
      <x:c r="Y82" s="33" t="str">
        <x:v>候选待核实</x:v>
      </x:c>
      <x:c r="Z82" s="21" t="str">
        <x:v>height=156 m; listed in high-rise fire table；aggregate list is not sufficient for final inclusion; verify height/floors and event details with cited event or building source</x:v>
      </x:c>
      <x:c r="AA82" s="21" t="str">
        <x:v>Wikipedia dynamic high-rise list (candidate discovery)</x:v>
      </x:c>
      <x:c r="AB82" s="21" t="str">
        <x:v>批量来源代理</x:v>
      </x:c>
      <x:c r="AC82" s="21" t="str"/>
      <x:c r="AD82" s="21" t="n">
        <x:v>1</x:v>
      </x:c>
      <x:c r="AE82" s="21" t="str">
        <x:v>未检查</x:v>
      </x:c>
      <x:c r="AF82" s="21" t="str"/>
      <x:c r="AG82" s="24" t="n">
        <x:v>46260</x:v>
      </x:c>
      <x:c r="AH82" s="21" t="str"/>
      <x:c r="AI82" s="21" t="n">
        <x:v>1</x:v>
      </x:c>
      <x:c r="AJ82" s="21" t="str">
        <x:v>未评估（本事件表不建立热浪因果关系）</x:v>
      </x:c>
      <x:c r="AK82" s="21" t="str">
        <x:v>已有来源描述</x:v>
      </x:c>
    </x:row>
    <x:row r="83" ht="42" customHeight="1">
      <x:c r="A83" s="33" t="n">
        <x:v>82</x:v>
      </x:c>
      <x:c r="B83" s="33" t="str">
        <x:v>RAW-0082</x:v>
      </x:c>
      <x:c r="C83" s="36" t="str">
        <x:v>亚洲</x:v>
      </x:c>
      <x:c r="D83" s="36" t="str">
        <x:v>United Arab Emirates</x:v>
      </x:c>
      <x:c r="E83" s="21" t="str">
        <x:v>Dubai</x:v>
      </x:c>
      <x:c r="F83" s="21" t="str">
        <x:v>Fortune Tower fire</x:v>
      </x:c>
      <x:c r="G83" s="39" t="n">
        <x:v>39100</x:v>
      </x:c>
      <x:c r="H83" s="21" t="str">
        <x:v>Occurred during construction, 57 injured</x:v>
      </x:c>
      <x:c r="I83" s="21" t="str">
        <x:v>未检索到/待核实</x:v>
      </x:c>
      <x:c r="J83" s="21" t="str">
        <x:v>Occurred during construction, 57 injured</x:v>
      </x:c>
      <x:c r="K83" s="21" t="str">
        <x:v>https://en.wikipedia.org/wiki/List_of_fires_in_high-rise_buildings</x:v>
      </x:c>
      <x:c r="L83" s="27" t="n">
        <x:v>25.07725</x:v>
      </x:c>
      <x:c r="M83" s="27" t="n">
        <x:v>55.30927</x:v>
      </x:c>
      <x:c r="N83" s="21" t="str">
        <x:v>城市代表点（来源明确说明不是火场坐标）</x:v>
      </x:c>
      <x:c r="O83" s="21" t="str">
        <x:v>高层建筑火灾</x:v>
      </x:c>
      <x:c r="P83" s="21" t="str">
        <x:v>未检索到</x:v>
      </x:c>
      <x:c r="Q83" s="21" t="str">
        <x:v>未检索到</x:v>
      </x:c>
      <x:c r="R83" s="21" t="str">
        <x:v>未检索到</x:v>
      </x:c>
      <x:c r="S83" s="21" t="str">
        <x:v>未检索到</x:v>
      </x:c>
      <x:c r="T83" s="42" t="n">
        <x:v>4</x:v>
      </x:c>
      <x:c r="U83" s="42" t="n">
        <x:v>57</x:v>
      </x:c>
      <x:c r="V83" s="42"/>
      <x:c r="W83" s="33" t="str">
        <x:v>C</x:v>
      </x:c>
      <x:c r="X83" s="33" t="str">
        <x:v>candidate_height_or_list_membership_needs_individual_source</x:v>
      </x:c>
      <x:c r="Y83" s="33" t="str">
        <x:v>候选待核实</x:v>
      </x:c>
      <x:c r="Z83" s="21" t="str">
        <x:v>listed in high-rise fire table；aggregate list is not sufficient for final inclusion; verify height/floors and event details with cited event or building source</x:v>
      </x:c>
      <x:c r="AA83" s="21" t="str">
        <x:v>Wikipedia dynamic high-rise list (candidate discovery)</x:v>
      </x:c>
      <x:c r="AB83" s="21" t="str">
        <x:v>批量来源代理</x:v>
      </x:c>
      <x:c r="AC83" s="21" t="str"/>
      <x:c r="AD83" s="21" t="n">
        <x:v>1</x:v>
      </x:c>
      <x:c r="AE83" s="21" t="str">
        <x:v>未检查</x:v>
      </x:c>
      <x:c r="AF83" s="21" t="str"/>
      <x:c r="AG83" s="24" t="n">
        <x:v>46260</x:v>
      </x:c>
      <x:c r="AH83" s="21" t="str"/>
      <x:c r="AI83" s="21" t="n">
        <x:v>1</x:v>
      </x:c>
      <x:c r="AJ83" s="21" t="str">
        <x:v>未评估（本事件表不建立热浪因果关系）</x:v>
      </x:c>
      <x:c r="AK83" s="21" t="str">
        <x:v>缺失/待核实</x:v>
      </x:c>
    </x:row>
    <x:row r="84" ht="42" customHeight="1">
      <x:c r="A84" s="33" t="n">
        <x:v>83</x:v>
      </x:c>
      <x:c r="B84" s="33" t="str">
        <x:v>RAW-0083</x:v>
      </x:c>
      <x:c r="C84" s="36" t="str">
        <x:v>亚洲</x:v>
      </x:c>
      <x:c r="D84" s="36" t="str">
        <x:v>China</x:v>
      </x:c>
      <x:c r="E84" s="21" t="str">
        <x:v>Shanghai</x:v>
      </x:c>
      <x:c r="F84" s="21" t="str">
        <x:v>Shanghai World Financial Center fire</x:v>
      </x:c>
      <x:c r="G84" s="39" t="n">
        <x:v>39308</x:v>
      </x:c>
      <x:c r="H84" s="21" t="str">
        <x:v>Occurred on 40th floor during construction</x:v>
      </x:c>
      <x:c r="I84" s="21" t="str">
        <x:v>未检索到/待核实</x:v>
      </x:c>
      <x:c r="J84" s="21" t="str">
        <x:v>Occurred on 40th floor during construction</x:v>
      </x:c>
      <x:c r="K84" s="21" t="str">
        <x:v>https://en.wikipedia.org/wiki/List_of_fires_in_high-rise_buildings</x:v>
      </x:c>
      <x:c r="L84" s="27" t="n">
        <x:v>31.22222</x:v>
      </x:c>
      <x:c r="M84" s="27" t="n">
        <x:v>121.45806</x:v>
      </x:c>
      <x:c r="N84" s="21" t="str">
        <x:v>城市代表点（来源明确说明不是火场坐标）</x:v>
      </x:c>
      <x:c r="O84" s="21" t="str">
        <x:v>高层建筑火灾</x:v>
      </x:c>
      <x:c r="P84" s="21" t="str">
        <x:v>未检索到</x:v>
      </x:c>
      <x:c r="Q84" s="21" t="str">
        <x:v>494.3 m</x:v>
      </x:c>
      <x:c r="R84" s="21" t="str">
        <x:v>未检索到</x:v>
      </x:c>
      <x:c r="S84" s="21" t="str">
        <x:v>未检索到</x:v>
      </x:c>
      <x:c r="T84" s="42" t="n">
        <x:v>0</x:v>
      </x:c>
      <x:c r="U84" s="42"/>
      <x:c r="V84" s="42"/>
      <x:c r="W84" s="33" t="str">
        <x:v>C</x:v>
      </x:c>
      <x:c r="X84" s="33" t="str">
        <x:v>candidate_height_or_list_membership_needs_individual_source</x:v>
      </x:c>
      <x:c r="Y84" s="33" t="str">
        <x:v>候选待核实</x:v>
      </x:c>
      <x:c r="Z84" s="21" t="str">
        <x:v>height=494.3 m; listed in high-rise fire table；aggregate list is not sufficient for final inclusion; verify height/floors and event details with cited event or building source</x:v>
      </x:c>
      <x:c r="AA84" s="21" t="str">
        <x:v>Wikipedia dynamic high-rise list (candidate discovery)</x:v>
      </x:c>
      <x:c r="AB84" s="21" t="str">
        <x:v>批量来源代理</x:v>
      </x:c>
      <x:c r="AC84" s="21" t="str"/>
      <x:c r="AD84" s="21" t="n">
        <x:v>1</x:v>
      </x:c>
      <x:c r="AE84" s="21" t="str">
        <x:v>未检查</x:v>
      </x:c>
      <x:c r="AF84" s="21" t="str"/>
      <x:c r="AG84" s="24" t="n">
        <x:v>46260</x:v>
      </x:c>
      <x:c r="AH84" s="21" t="str"/>
      <x:c r="AI84" s="21" t="n">
        <x:v>1</x:v>
      </x:c>
      <x:c r="AJ84" s="21" t="str">
        <x:v>未评估（本事件表不建立热浪因果关系）</x:v>
      </x:c>
      <x:c r="AK84" s="21" t="str">
        <x:v>缺失/待核实</x:v>
      </x:c>
    </x:row>
    <x:row r="85" ht="42" customHeight="1">
      <x:c r="A85" s="33" t="n">
        <x:v>84</x:v>
      </x:c>
      <x:c r="B85" s="33" t="str">
        <x:v>RAW-0084</x:v>
      </x:c>
      <x:c r="C85" s="36" t="str">
        <x:v>北美洲</x:v>
      </x:c>
      <x:c r="D85" s="36" t="str">
        <x:v>United States</x:v>
      </x:c>
      <x:c r="E85" s="21" t="str">
        <x:v>New York City</x:v>
      </x:c>
      <x:c r="F85" s="21" t="str">
        <x:v>Deutsche Bank Building fire</x:v>
      </x:c>
      <x:c r="G85" s="39" t="n">
        <x:v>39312</x:v>
      </x:c>
      <x:c r="H85" s="21" t="str">
        <x:v>Occurred during dismantling, demolished due to damage from the September 11 attacks</x:v>
      </x:c>
      <x:c r="I85" s="21" t="str">
        <x:v>未检索到/待核实</x:v>
      </x:c>
      <x:c r="J85" s="21" t="str">
        <x:v>Occurred during dismantling, demolished due to damage from the September 11 attacks</x:v>
      </x:c>
      <x:c r="K85" s="21" t="str">
        <x:v>https://en.wikipedia.org/wiki/List_of_fires_in_high-rise_buildings</x:v>
      </x:c>
      <x:c r="L85" s="27" t="n">
        <x:v>40.71427</x:v>
      </x:c>
      <x:c r="M85" s="27" t="n">
        <x:v>-74.00597</x:v>
      </x:c>
      <x:c r="N85" s="21" t="str">
        <x:v>城市代表点（来源明确说明不是火场坐标）</x:v>
      </x:c>
      <x:c r="O85" s="21" t="str">
        <x:v>高层建筑火灾</x:v>
      </x:c>
      <x:c r="P85" s="21" t="str">
        <x:v>office/government</x:v>
      </x:c>
      <x:c r="Q85" s="21" t="str">
        <x:v>157.6 m</x:v>
      </x:c>
      <x:c r="R85" s="21" t="str">
        <x:v>未检索到</x:v>
      </x:c>
      <x:c r="S85" s="21" t="str">
        <x:v>未检索到</x:v>
      </x:c>
      <x:c r="T85" s="42" t="n">
        <x:v>2</x:v>
      </x:c>
      <x:c r="U85" s="42"/>
      <x:c r="V85" s="42"/>
      <x:c r="W85" s="33" t="str">
        <x:v>C</x:v>
      </x:c>
      <x:c r="X85" s="33" t="str">
        <x:v>candidate_height_or_list_membership_needs_individual_source</x:v>
      </x:c>
      <x:c r="Y85" s="33" t="str">
        <x:v>候选待核实</x:v>
      </x:c>
      <x:c r="Z85" s="21" t="str">
        <x:v>height=157.6 m; listed in high-rise fire table；aggregate list is not sufficient for final inclusion; verify height/floors and event details with cited event or building source</x:v>
      </x:c>
      <x:c r="AA85" s="21" t="str">
        <x:v>Wikipedia dynamic high-rise list (candidate discovery)</x:v>
      </x:c>
      <x:c r="AB85" s="21" t="str">
        <x:v>批量来源代理</x:v>
      </x:c>
      <x:c r="AC85" s="21" t="str"/>
      <x:c r="AD85" s="21" t="n">
        <x:v>1</x:v>
      </x:c>
      <x:c r="AE85" s="21" t="str">
        <x:v>未检查</x:v>
      </x:c>
      <x:c r="AF85" s="21" t="str"/>
      <x:c r="AG85" s="24" t="n">
        <x:v>46260</x:v>
      </x:c>
      <x:c r="AH85" s="21" t="str"/>
      <x:c r="AI85" s="21" t="n">
        <x:v>1</x:v>
      </x:c>
      <x:c r="AJ85" s="21" t="str">
        <x:v>未评估（本事件表不建立热浪因果关系）</x:v>
      </x:c>
      <x:c r="AK85" s="21" t="str">
        <x:v>缺失/待核实</x:v>
      </x:c>
    </x:row>
    <x:row r="86" ht="42" customHeight="1">
      <x:c r="A86" s="33" t="n">
        <x:v>85</x:v>
      </x:c>
      <x:c r="B86" s="33" t="str">
        <x:v>RAW-0085</x:v>
      </x:c>
      <x:c r="C86" s="36" t="str">
        <x:v>北美洲</x:v>
      </x:c>
      <x:c r="D86" s="36" t="str">
        <x:v>United States</x:v>
      </x:c>
      <x:c r="E86" s="21" t="str">
        <x:v>Atlantic City</x:v>
      </x:c>
      <x:c r="F86" s="21" t="str">
        <x:v>Water Club Tower, Borgata Casino Hotel fire</x:v>
      </x:c>
      <x:c r="G86" s="39" t="n">
        <x:v>39348</x:v>
      </x:c>
      <x:c r="H86" s="21" t="str">
        <x:v>High-rise façade fire; reported floors affected: 39.</x:v>
      </x:c>
      <x:c r="I86" s="21" t="str">
        <x:v>未检索到/待核实</x:v>
      </x:c>
      <x:c r="J86" s="21" t="str">
        <x:v>façade involved; floors affected=39</x:v>
      </x:c>
      <x:c r="K86" s="21" t="str">
        <x:v>https://en.wikipedia.org/wiki/List_of_high-rise_fa%C3%A7ade_fires</x:v>
      </x:c>
      <x:c r="L86" s="27"/>
      <x:c r="M86" s="27"/>
      <x:c r="N86" s="21" t="str">
        <x:v>未提供坐标</x:v>
      </x:c>
      <x:c r="O86" s="21" t="str">
        <x:v>高层建筑火灾</x:v>
      </x:c>
      <x:c r="P86" s="21" t="str">
        <x:v>hotel</x:v>
      </x:c>
      <x:c r="Q86" s="21" t="str">
        <x:v>未检索到</x:v>
      </x:c>
      <x:c r="R86" s="21" t="str">
        <x:v>floors affected=39</x:v>
      </x:c>
      <x:c r="S86" s="21" t="str">
        <x:v>未检索到</x:v>
      </x:c>
      <x:c r="T86" s="42" t="n">
        <x:v>0</x:v>
      </x:c>
      <x:c r="U86" s="42" t="n">
        <x:v>0</x:v>
      </x:c>
      <x:c r="V86" s="42"/>
      <x:c r="W86" s="33" t="str">
        <x:v>C</x:v>
      </x:c>
      <x:c r="X86" s="33" t="str">
        <x:v>candidate_list_membership_needs_individual_height_source</x:v>
      </x:c>
      <x:c r="Y86" s="33" t="str">
        <x:v>候选待核实</x:v>
      </x:c>
      <x:c r="Z86" s="21" t="str">
        <x:v>listed in high-rise façade fire table; affected floors are not total building floors；aggregate list is not sufficient for final inclusion; floors affected must not be mistaken for total building floors</x:v>
      </x:c>
      <x:c r="AA86" s="21" t="str">
        <x:v>Wikipedia high-rise façade list; derived from Bonner et al./news (candidate discovery)</x:v>
      </x:c>
      <x:c r="AB86" s="21" t="str">
        <x:v>批量来源代理</x:v>
      </x:c>
      <x:c r="AC86" s="21" t="str"/>
      <x:c r="AD86" s="21" t="n">
        <x:v>1</x:v>
      </x:c>
      <x:c r="AE86" s="21" t="str">
        <x:v>未检查</x:v>
      </x:c>
      <x:c r="AF86" s="21" t="str"/>
      <x:c r="AG86" s="24" t="n">
        <x:v>46260</x:v>
      </x:c>
      <x:c r="AH86" s="21" t="str"/>
      <x:c r="AI86" s="21" t="n">
        <x:v>1</x:v>
      </x:c>
      <x:c r="AJ86" s="21" t="str">
        <x:v>未评估（本事件表不建立热浪因果关系）</x:v>
      </x:c>
      <x:c r="AK86" s="21" t="str">
        <x:v>缺失/待核实</x:v>
      </x:c>
    </x:row>
    <x:row r="87" ht="42" customHeight="1">
      <x:c r="A87" s="33" t="n">
        <x:v>86</x:v>
      </x:c>
      <x:c r="B87" s="33" t="str">
        <x:v>RAW-0086</x:v>
      </x:c>
      <x:c r="C87" s="36" t="str">
        <x:v>北美洲</x:v>
      </x:c>
      <x:c r="D87" s="36" t="str">
        <x:v>United States</x:v>
      </x:c>
      <x:c r="E87" s="21" t="str">
        <x:v>Atlantic City</x:v>
      </x:c>
      <x:c r="F87" s="21" t="str">
        <x:v>The Water Club fire</x:v>
      </x:c>
      <x:c r="G87" s="39" t="n">
        <x:v>39348</x:v>
      </x:c>
      <x:c r="H87" s="21" t="str">
        <x:v>Occurred during construction.</x:v>
      </x:c>
      <x:c r="I87" s="21" t="str">
        <x:v>未检索到/待核实</x:v>
      </x:c>
      <x:c r="J87" s="21" t="str">
        <x:v>Occurred during construction.</x:v>
      </x:c>
      <x:c r="K87" s="21" t="str">
        <x:v>https://en.wikipedia.org/wiki/List_of_fires_in_high-rise_buildings</x:v>
      </x:c>
      <x:c r="L87" s="27" t="n">
        <x:v>39.36415</x:v>
      </x:c>
      <x:c r="M87" s="27" t="n">
        <x:v>-74.42306</x:v>
      </x:c>
      <x:c r="N87" s="21" t="str">
        <x:v>城市代表点（来源明确说明不是火场坐标）</x:v>
      </x:c>
      <x:c r="O87" s="21" t="str">
        <x:v>高层建筑火灾</x:v>
      </x:c>
      <x:c r="P87" s="21" t="str">
        <x:v>未检索到</x:v>
      </x:c>
      <x:c r="Q87" s="21" t="str">
        <x:v>125.4 m</x:v>
      </x:c>
      <x:c r="R87" s="21" t="str">
        <x:v>未检索到</x:v>
      </x:c>
      <x:c r="S87" s="21" t="str">
        <x:v>未检索到</x:v>
      </x:c>
      <x:c r="T87" s="42" t="n">
        <x:v>0</x:v>
      </x:c>
      <x:c r="U87" s="42"/>
      <x:c r="V87" s="42"/>
      <x:c r="W87" s="33" t="str">
        <x:v>C</x:v>
      </x:c>
      <x:c r="X87" s="33" t="str">
        <x:v>candidate_height_or_list_membership_needs_individual_source</x:v>
      </x:c>
      <x:c r="Y87" s="33" t="str">
        <x:v>候选待核实</x:v>
      </x:c>
      <x:c r="Z87" s="21" t="str">
        <x:v>height=125.4 m; listed in high-rise fire table；aggregate list is not sufficient for final inclusion; verify height/floors and event details with cited event or building source</x:v>
      </x:c>
      <x:c r="AA87" s="21" t="str">
        <x:v>Wikipedia dynamic high-rise list (candidate discovery)</x:v>
      </x:c>
      <x:c r="AB87" s="21" t="str">
        <x:v>批量来源代理</x:v>
      </x:c>
      <x:c r="AC87" s="21" t="str"/>
      <x:c r="AD87" s="21" t="n">
        <x:v>1</x:v>
      </x:c>
      <x:c r="AE87" s="21" t="str">
        <x:v>未检查</x:v>
      </x:c>
      <x:c r="AF87" s="21" t="str"/>
      <x:c r="AG87" s="24" t="n">
        <x:v>46260</x:v>
      </x:c>
      <x:c r="AH87" s="21" t="str"/>
      <x:c r="AI87" s="21" t="n">
        <x:v>1</x:v>
      </x:c>
      <x:c r="AJ87" s="21" t="str">
        <x:v>未评估（本事件表不建立热浪因果关系）</x:v>
      </x:c>
      <x:c r="AK87" s="21" t="str">
        <x:v>缺失/待核实</x:v>
      </x:c>
    </x:row>
    <x:row r="88" ht="42" customHeight="1">
      <x:c r="A88" s="33" t="n">
        <x:v>87</x:v>
      </x:c>
      <x:c r="B88" s="33" t="str">
        <x:v>RAW-0087</x:v>
      </x:c>
      <x:c r="C88" s="36" t="str">
        <x:v>北美洲</x:v>
      </x:c>
      <x:c r="D88" s="36" t="str">
        <x:v>United States</x:v>
      </x:c>
      <x:c r="E88" s="21" t="str">
        <x:v>Las Vegas</x:v>
      </x:c>
      <x:c r="F88" s="21" t="str">
        <x:v>MGM Monte Carlo Hotel fire</x:v>
      </x:c>
      <x:c r="G88" s="39" t="n">
        <x:v>39472</x:v>
      </x:c>
      <x:c r="H88" s="21" t="str">
        <x:v>High-rise façade fire; reported floors affected: 4.</x:v>
      </x:c>
      <x:c r="I88" s="21" t="str">
        <x:v>未检索到/待核实</x:v>
      </x:c>
      <x:c r="J88" s="21" t="str">
        <x:v>façade involved; floors affected=4</x:v>
      </x:c>
      <x:c r="K88" s="21" t="str">
        <x:v>https://en.wikipedia.org/wiki/List_of_high-rise_fa%C3%A7ade_fires</x:v>
      </x:c>
      <x:c r="L88" s="27"/>
      <x:c r="M88" s="27"/>
      <x:c r="N88" s="21" t="str">
        <x:v>未提供坐标</x:v>
      </x:c>
      <x:c r="O88" s="21" t="str">
        <x:v>高层建筑火灾</x:v>
      </x:c>
      <x:c r="P88" s="21" t="str">
        <x:v>hotel</x:v>
      </x:c>
      <x:c r="Q88" s="21" t="str">
        <x:v>未检索到</x:v>
      </x:c>
      <x:c r="R88" s="21" t="str">
        <x:v>floors affected=4</x:v>
      </x:c>
      <x:c r="S88" s="21" t="str">
        <x:v>未检索到</x:v>
      </x:c>
      <x:c r="T88" s="42" t="n">
        <x:v>0</x:v>
      </x:c>
      <x:c r="U88" s="42" t="n">
        <x:v>0</x:v>
      </x:c>
      <x:c r="V88" s="42"/>
      <x:c r="W88" s="33" t="str">
        <x:v>C</x:v>
      </x:c>
      <x:c r="X88" s="33" t="str">
        <x:v>candidate_list_membership_needs_individual_height_source</x:v>
      </x:c>
      <x:c r="Y88" s="33" t="str">
        <x:v>候选待核实</x:v>
      </x:c>
      <x:c r="Z88" s="21" t="str">
        <x:v>listed in high-rise façade fire table; affected floors are not total building floors；aggregate list is not sufficient for final inclusion; floors affected must not be mistaken for total building floors</x:v>
      </x:c>
      <x:c r="AA88" s="21" t="str">
        <x:v>Wikipedia high-rise façade list; derived from Bonner et al./news (candidate discovery)</x:v>
      </x:c>
      <x:c r="AB88" s="21" t="str">
        <x:v>批量来源代理</x:v>
      </x:c>
      <x:c r="AC88" s="21" t="str"/>
      <x:c r="AD88" s="21" t="n">
        <x:v>1</x:v>
      </x:c>
      <x:c r="AE88" s="21" t="str">
        <x:v>未检查</x:v>
      </x:c>
      <x:c r="AF88" s="21" t="str"/>
      <x:c r="AG88" s="24" t="n">
        <x:v>46260</x:v>
      </x:c>
      <x:c r="AH88" s="21" t="str"/>
      <x:c r="AI88" s="21" t="n">
        <x:v>1</x:v>
      </x:c>
      <x:c r="AJ88" s="21" t="str">
        <x:v>未评估（本事件表不建立热浪因果关系）</x:v>
      </x:c>
      <x:c r="AK88" s="21" t="str">
        <x:v>缺失/待核实</x:v>
      </x:c>
    </x:row>
    <x:row r="89" ht="42" customHeight="1">
      <x:c r="A89" s="33" t="n">
        <x:v>88</x:v>
      </x:c>
      <x:c r="B89" s="33" t="str">
        <x:v>RAW-0088</x:v>
      </x:c>
      <x:c r="C89" s="36" t="str">
        <x:v>北美洲</x:v>
      </x:c>
      <x:c r="D89" s="36" t="str">
        <x:v>United States</x:v>
      </x:c>
      <x:c r="E89" s="21" t="str">
        <x:v>Las Vegas</x:v>
      </x:c>
      <x:c r="F89" s="21" t="str">
        <x:v>Monte Carlo Resort and Casino fire</x:v>
      </x:c>
      <x:c r="G89" s="39" t="n">
        <x:v>39472</x:v>
      </x:c>
      <x:c r="H89" s="21" t="str">
        <x:v>Fire affecting top six floors</x:v>
      </x:c>
      <x:c r="I89" s="21" t="str">
        <x:v>未检索到/待核实</x:v>
      </x:c>
      <x:c r="J89" s="21" t="str">
        <x:v>Fire affecting top six floors</x:v>
      </x:c>
      <x:c r="K89" s="21" t="str">
        <x:v>https://en.wikipedia.org/wiki/List_of_fires_in_high-rise_buildings</x:v>
      </x:c>
      <x:c r="L89" s="27" t="n">
        <x:v>36.17497</x:v>
      </x:c>
      <x:c r="M89" s="27" t="n">
        <x:v>-115.13722</x:v>
      </x:c>
      <x:c r="N89" s="21" t="str">
        <x:v>城市代表点（来源明确说明不是火场坐标）</x:v>
      </x:c>
      <x:c r="O89" s="21" t="str">
        <x:v>高层建筑火灾</x:v>
      </x:c>
      <x:c r="P89" s="21" t="str">
        <x:v>hotel</x:v>
      </x:c>
      <x:c r="Q89" s="21" t="str">
        <x:v>110 m</x:v>
      </x:c>
      <x:c r="R89" s="21" t="str">
        <x:v>未检索到</x:v>
      </x:c>
      <x:c r="S89" s="21" t="str">
        <x:v>未检索到</x:v>
      </x:c>
      <x:c r="T89" s="42" t="n">
        <x:v>0</x:v>
      </x:c>
      <x:c r="U89" s="42"/>
      <x:c r="V89" s="42"/>
      <x:c r="W89" s="33" t="str">
        <x:v>C</x:v>
      </x:c>
      <x:c r="X89" s="33" t="str">
        <x:v>candidate_height_or_list_membership_needs_individual_source</x:v>
      </x:c>
      <x:c r="Y89" s="33" t="str">
        <x:v>候选待核实</x:v>
      </x:c>
      <x:c r="Z89" s="21" t="str">
        <x:v>height=110 m; listed in high-rise fire table；aggregate list is not sufficient for final inclusion; verify height/floors and event details with cited event or building source</x:v>
      </x:c>
      <x:c r="AA89" s="21" t="str">
        <x:v>Wikipedia dynamic high-rise list (candidate discovery)</x:v>
      </x:c>
      <x:c r="AB89" s="21" t="str">
        <x:v>批量来源代理</x:v>
      </x:c>
      <x:c r="AC89" s="21" t="str"/>
      <x:c r="AD89" s="21" t="n">
        <x:v>1</x:v>
      </x:c>
      <x:c r="AE89" s="21" t="str">
        <x:v>未检查</x:v>
      </x:c>
      <x:c r="AF89" s="21" t="str"/>
      <x:c r="AG89" s="24" t="n">
        <x:v>46260</x:v>
      </x:c>
      <x:c r="AH89" s="21" t="str"/>
      <x:c r="AI89" s="21" t="n">
        <x:v>1</x:v>
      </x:c>
      <x:c r="AJ89" s="21" t="str">
        <x:v>未评估（本事件表不建立热浪因果关系）</x:v>
      </x:c>
      <x:c r="AK89" s="21" t="str">
        <x:v>缺失/待核实</x:v>
      </x:c>
    </x:row>
    <x:row r="90" ht="42" customHeight="1">
      <x:c r="A90" s="33" t="n">
        <x:v>89</x:v>
      </x:c>
      <x:c r="B90" s="33" t="str">
        <x:v>RAW-0089</x:v>
      </x:c>
      <x:c r="C90" s="36" t="str">
        <x:v>欧洲</x:v>
      </x:c>
      <x:c r="D90" s="36" t="str">
        <x:v>The Netherlands</x:v>
      </x:c>
      <x:c r="E90" s="21" t="str">
        <x:v>Delft</x:v>
      </x:c>
      <x:c r="F90" s="21" t="str">
        <x:v>TU Delft Faculteitsgebouw Bouwkunde fire</x:v>
      </x:c>
      <x:c r="G90" s="39" t="n">
        <x:v>39551</x:v>
      </x:c>
      <x:c r="H90" s="21" t="str">
        <x:v>A broken water pipe on the 8th floor caused a short circuit in a coffee machine a floor below, resulting in a fire. The building was demolished afterwards.</x:v>
      </x:c>
      <x:c r="I90" s="21" t="str">
        <x:v>electrical fault/short circuit</x:v>
      </x:c>
      <x:c r="J90" s="21" t="str">
        <x:v>A broken water pipe on the 8th floor caused a short circuit in a coffee machine a floor below, resulting in a fire. The building was demolished afterwards.</x:v>
      </x:c>
      <x:c r="K90" s="21" t="str">
        <x:v>https://en.wikipedia.org/wiki/List_of_fires_in_high-rise_buildings</x:v>
      </x:c>
      <x:c r="L90" s="27" t="n">
        <x:v>52.00667</x:v>
      </x:c>
      <x:c r="M90" s="27" t="n">
        <x:v>4.35556</x:v>
      </x:c>
      <x:c r="N90" s="21" t="str">
        <x:v>城市代表点（来源明确说明不是火场坐标）</x:v>
      </x:c>
      <x:c r="O90" s="21" t="str">
        <x:v>高层建筑火灾</x:v>
      </x:c>
      <x:c r="P90" s="21" t="str">
        <x:v>education</x:v>
      </x:c>
      <x:c r="Q90" s="21" t="str">
        <x:v>56 m</x:v>
      </x:c>
      <x:c r="R90" s="21" t="str">
        <x:v>未检索到</x:v>
      </x:c>
      <x:c r="S90" s="21" t="str">
        <x:v>未检索到</x:v>
      </x:c>
      <x:c r="T90" s="42" t="n">
        <x:v>0</x:v>
      </x:c>
      <x:c r="U90" s="42"/>
      <x:c r="V90" s="42"/>
      <x:c r="W90" s="33" t="str">
        <x:v>C</x:v>
      </x:c>
      <x:c r="X90" s="33" t="str">
        <x:v>candidate_height_or_list_membership_needs_individual_source</x:v>
      </x:c>
      <x:c r="Y90" s="33" t="str">
        <x:v>候选待核实</x:v>
      </x:c>
      <x:c r="Z90" s="21" t="str">
        <x:v>height=56 m; listed in high-rise fire table；aggregate list is not sufficient for final inclusion; verify height/floors and event details with cited event or building source</x:v>
      </x:c>
      <x:c r="AA90" s="21" t="str">
        <x:v>Wikipedia dynamic high-rise list (candidate discovery)</x:v>
      </x:c>
      <x:c r="AB90" s="21" t="str">
        <x:v>批量来源代理</x:v>
      </x:c>
      <x:c r="AC90" s="21" t="str"/>
      <x:c r="AD90" s="21" t="n">
        <x:v>1</x:v>
      </x:c>
      <x:c r="AE90" s="21" t="str">
        <x:v>未检查</x:v>
      </x:c>
      <x:c r="AF90" s="21" t="str"/>
      <x:c r="AG90" s="24" t="n">
        <x:v>46260</x:v>
      </x:c>
      <x:c r="AH90" s="21" t="str"/>
      <x:c r="AI90" s="21" t="n">
        <x:v>1</x:v>
      </x:c>
      <x:c r="AJ90" s="21" t="str">
        <x:v>未评估（本事件表不建立热浪因果关系）</x:v>
      </x:c>
      <x:c r="AK90" s="21" t="str">
        <x:v>已有来源描述</x:v>
      </x:c>
    </x:row>
    <x:row r="91" ht="42" customHeight="1">
      <x:c r="A91" s="33" t="n">
        <x:v>90</x:v>
      </x:c>
      <x:c r="B91" s="33" t="str">
        <x:v>RAW-0090</x:v>
      </x:c>
      <x:c r="C91" s="36" t="str">
        <x:v>欧洲</x:v>
      </x:c>
      <x:c r="D91" s="36" t="str">
        <x:v>Netherlands</x:v>
      </x:c>
      <x:c r="E91" s="21" t="str">
        <x:v>De Punt</x:v>
      </x:c>
      <x:c r="F91" s="21" t="str">
        <x:v>De Punt fire</x:v>
      </x:c>
      <x:c r="G91" s="39" t="n">
        <x:v>39577</x:v>
      </x:c>
      <x:c r="H91" s="21" t="str">
        <x:v>High-rise façade fire; reported floors affected: 1.</x:v>
      </x:c>
      <x:c r="I91" s="21" t="str">
        <x:v>未检索到/待核实</x:v>
      </x:c>
      <x:c r="J91" s="21" t="str">
        <x:v>façade involved; floors affected=1</x:v>
      </x:c>
      <x:c r="K91" s="21" t="str">
        <x:v>https://en.wikipedia.org/wiki/List_of_high-rise_fa%C3%A7ade_fires</x:v>
      </x:c>
      <x:c r="L91" s="27"/>
      <x:c r="M91" s="27"/>
      <x:c r="N91" s="21" t="str">
        <x:v>未提供坐标</x:v>
      </x:c>
      <x:c r="O91" s="21" t="str">
        <x:v>高层建筑火灾</x:v>
      </x:c>
      <x:c r="P91" s="21" t="str">
        <x:v>未检索到</x:v>
      </x:c>
      <x:c r="Q91" s="21" t="str">
        <x:v>未检索到</x:v>
      </x:c>
      <x:c r="R91" s="21" t="str">
        <x:v>floors affected=1</x:v>
      </x:c>
      <x:c r="S91" s="21" t="str">
        <x:v>未检索到</x:v>
      </x:c>
      <x:c r="T91" s="42" t="n">
        <x:v>3</x:v>
      </x:c>
      <x:c r="U91" s="42" t="n">
        <x:v>0</x:v>
      </x:c>
      <x:c r="V91" s="42"/>
      <x:c r="W91" s="33" t="str">
        <x:v>C</x:v>
      </x:c>
      <x:c r="X91" s="33" t="str">
        <x:v>candidate_list_membership_needs_individual_height_source</x:v>
      </x:c>
      <x:c r="Y91" s="33" t="str">
        <x:v>候选待核实</x:v>
      </x:c>
      <x:c r="Z91" s="21" t="str">
        <x:v>listed in high-rise façade fire table; affected floors are not total building floors；aggregate list is not sufficient for final inclusion; floors affected must not be mistaken for total building floors</x:v>
      </x:c>
      <x:c r="AA91" s="21" t="str">
        <x:v>Wikipedia high-rise façade list; derived from Bonner et al./news (candidate discovery)</x:v>
      </x:c>
      <x:c r="AB91" s="21" t="str">
        <x:v>批量来源代理</x:v>
      </x:c>
      <x:c r="AC91" s="21" t="str"/>
      <x:c r="AD91" s="21" t="n">
        <x:v>1</x:v>
      </x:c>
      <x:c r="AE91" s="21" t="str">
        <x:v>未检查</x:v>
      </x:c>
      <x:c r="AF91" s="21" t="str"/>
      <x:c r="AG91" s="24" t="n">
        <x:v>46260</x:v>
      </x:c>
      <x:c r="AH91" s="21" t="str"/>
      <x:c r="AI91" s="21" t="n">
        <x:v>1</x:v>
      </x:c>
      <x:c r="AJ91" s="21" t="str">
        <x:v>未评估（本事件表不建立热浪因果关系）</x:v>
      </x:c>
      <x:c r="AK91" s="21" t="str">
        <x:v>缺失/待核实</x:v>
      </x:c>
    </x:row>
    <x:row r="92" ht="42" customHeight="1">
      <x:c r="A92" s="33" t="n">
        <x:v>91</x:v>
      </x:c>
      <x:c r="B92" s="33" t="str">
        <x:v>RAW-0091</x:v>
      </x:c>
      <x:c r="C92" s="36" t="str">
        <x:v>亚洲</x:v>
      </x:c>
      <x:c r="D92" s="36" t="str">
        <x:v>Saudi Arabia</x:v>
      </x:c>
      <x:c r="E92" s="21" t="str">
        <x:v>Mecca</x:v>
      </x:c>
      <x:c r="F92" s="21" t="str">
        <x:v>Abraj Al Bait Towers fire</x:v>
      </x:c>
      <x:c r="G92" s="39" t="n">
        <x:v>39749</x:v>
      </x:c>
      <x:c r="H92" s="21" t="str">
        <x:v>Occurred during construction; fire consumed nine floors</x:v>
      </x:c>
      <x:c r="I92" s="21" t="str">
        <x:v>未检索到/待核实</x:v>
      </x:c>
      <x:c r="J92" s="21" t="str">
        <x:v>Occurred during construction; fire consumed nine floors</x:v>
      </x:c>
      <x:c r="K92" s="21" t="str">
        <x:v>https://en.wikipedia.org/wiki/List_of_fires_in_high-rise_buildings</x:v>
      </x:c>
      <x:c r="L92" s="27" t="n">
        <x:v>21.42664</x:v>
      </x:c>
      <x:c r="M92" s="27" t="n">
        <x:v>39.82563</x:v>
      </x:c>
      <x:c r="N92" s="21" t="str">
        <x:v>城市代表点（来源明确说明不是火场坐标）</x:v>
      </x:c>
      <x:c r="O92" s="21" t="str">
        <x:v>高层建筑火灾</x:v>
      </x:c>
      <x:c r="P92" s="21" t="str">
        <x:v>未检索到</x:v>
      </x:c>
      <x:c r="Q92" s="21" t="str">
        <x:v>601 m</x:v>
      </x:c>
      <x:c r="R92" s="21" t="str">
        <x:v>未检索到</x:v>
      </x:c>
      <x:c r="S92" s="21" t="str">
        <x:v>未检索到</x:v>
      </x:c>
      <x:c r="T92" s="42" t="n">
        <x:v>0</x:v>
      </x:c>
      <x:c r="U92" s="42"/>
      <x:c r="V92" s="42"/>
      <x:c r="W92" s="33" t="str">
        <x:v>C</x:v>
      </x:c>
      <x:c r="X92" s="33" t="str">
        <x:v>candidate_height_or_list_membership_needs_individual_source</x:v>
      </x:c>
      <x:c r="Y92" s="33" t="str">
        <x:v>候选待核实</x:v>
      </x:c>
      <x:c r="Z92" s="21" t="str">
        <x:v>height=601 m; listed in high-rise fire table；aggregate list is not sufficient for final inclusion; verify height/floors and event details with cited event or building source</x:v>
      </x:c>
      <x:c r="AA92" s="21" t="str">
        <x:v>Wikipedia dynamic high-rise list (candidate discovery)</x:v>
      </x:c>
      <x:c r="AB92" s="21" t="str">
        <x:v>批量来源代理</x:v>
      </x:c>
      <x:c r="AC92" s="21" t="str"/>
      <x:c r="AD92" s="21" t="n">
        <x:v>1</x:v>
      </x:c>
      <x:c r="AE92" s="21" t="str">
        <x:v>未检查</x:v>
      </x:c>
      <x:c r="AF92" s="21" t="str"/>
      <x:c r="AG92" s="24" t="n">
        <x:v>46260</x:v>
      </x:c>
      <x:c r="AH92" s="21" t="str"/>
      <x:c r="AI92" s="21" t="n">
        <x:v>1</x:v>
      </x:c>
      <x:c r="AJ92" s="21" t="str">
        <x:v>未评估（本事件表不建立热浪因果关系）</x:v>
      </x:c>
      <x:c r="AK92" s="21" t="str">
        <x:v>缺失/待核实</x:v>
      </x:c>
    </x:row>
    <x:row r="93" ht="42" customHeight="1">
      <x:c r="A93" s="33" t="n">
        <x:v>92</x:v>
      </x:c>
      <x:c r="B93" s="33" t="str">
        <x:v>RAW-0092</x:v>
      </x:c>
      <x:c r="C93" s="36" t="str">
        <x:v>亚洲</x:v>
      </x:c>
      <x:c r="D93" s="36" t="str">
        <x:v>China</x:v>
      </x:c>
      <x:c r="E93" s="21" t="str">
        <x:v>Beijing</x:v>
      </x:c>
      <x:c r="F93" s="21" t="str">
        <x:v>Beijing Television Cultural Center fire</x:v>
      </x:c>
      <x:c r="G93" s="39" t="n">
        <x:v>39853</x:v>
      </x:c>
      <x:c r="H93" s="21" t="str">
        <x:v>Beijing Television Cultural Center fire</x:v>
      </x:c>
      <x:c r="I93" s="21" t="str">
        <x:v>未检索到/待核实</x:v>
      </x:c>
      <x:c r="J93" s="21" t="str">
        <x:v>Beijing Television Cultural Center fire</x:v>
      </x:c>
      <x:c r="K93" s="21" t="str">
        <x:v>https://en.wikipedia.org/wiki/List_of_fires_in_high-rise_buildings</x:v>
      </x:c>
      <x:c r="L93" s="27" t="n">
        <x:v>39.9075</x:v>
      </x:c>
      <x:c r="M93" s="27" t="n">
        <x:v>116.39723</x:v>
      </x:c>
      <x:c r="N93" s="21" t="str">
        <x:v>城市代表点（来源明确说明不是火场坐标）</x:v>
      </x:c>
      <x:c r="O93" s="21" t="str">
        <x:v>高层建筑火灾</x:v>
      </x:c>
      <x:c r="P93" s="21" t="str">
        <x:v>未检索到</x:v>
      </x:c>
      <x:c r="Q93" s="21" t="str">
        <x:v>159 m</x:v>
      </x:c>
      <x:c r="R93" s="21" t="str">
        <x:v>未检索到</x:v>
      </x:c>
      <x:c r="S93" s="21" t="str">
        <x:v>未检索到</x:v>
      </x:c>
      <x:c r="T93" s="42" t="n">
        <x:v>1</x:v>
      </x:c>
      <x:c r="U93" s="42"/>
      <x:c r="V93" s="42"/>
      <x:c r="W93" s="33" t="str">
        <x:v>C</x:v>
      </x:c>
      <x:c r="X93" s="33" t="str">
        <x:v>candidate_height_or_list_membership_needs_individual_source</x:v>
      </x:c>
      <x:c r="Y93" s="33" t="str">
        <x:v>候选待核实</x:v>
      </x:c>
      <x:c r="Z93" s="21" t="str">
        <x:v>height=159 m; listed in high-rise fire table；aggregate list is not sufficient for final inclusion; verify height/floors and event details with cited event or building source</x:v>
      </x:c>
      <x:c r="AA93" s="21" t="str">
        <x:v>Wikipedia dynamic high-rise list (candidate discovery)</x:v>
      </x:c>
      <x:c r="AB93" s="21" t="str">
        <x:v>批量来源代理</x:v>
      </x:c>
      <x:c r="AC93" s="21" t="str"/>
      <x:c r="AD93" s="21" t="n">
        <x:v>1</x:v>
      </x:c>
      <x:c r="AE93" s="21" t="str">
        <x:v>未检查</x:v>
      </x:c>
      <x:c r="AF93" s="21" t="str"/>
      <x:c r="AG93" s="24" t="n">
        <x:v>46260</x:v>
      </x:c>
      <x:c r="AH93" s="21" t="str"/>
      <x:c r="AI93" s="21" t="n">
        <x:v>1</x:v>
      </x:c>
      <x:c r="AJ93" s="21" t="str">
        <x:v>未评估（本事件表不建立热浪因果关系）</x:v>
      </x:c>
      <x:c r="AK93" s="21" t="str">
        <x:v>缺失/待核实</x:v>
      </x:c>
    </x:row>
    <x:row r="94" ht="42" customHeight="1">
      <x:c r="A94" s="33" t="n">
        <x:v>93</x:v>
      </x:c>
      <x:c r="B94" s="33" t="str">
        <x:v>RAW-0093</x:v>
      </x:c>
      <x:c r="C94" s="36" t="str">
        <x:v>亚洲</x:v>
      </x:c>
      <x:c r="D94" s="36" t="str">
        <x:v>Bangladesh</x:v>
      </x:c>
      <x:c r="E94" s="21" t="str">
        <x:v>Dhaka</x:v>
      </x:c>
      <x:c r="F94" s="21" t="str">
        <x:v>Bashundhara City Tower fire</x:v>
      </x:c>
      <x:c r="G94" s="39" t="n">
        <x:v>39885</x:v>
      </x:c>
      <x:c r="H94" s="21" t="str"/>
      <x:c r="I94" s="21" t="str">
        <x:v>未检索到/待核实</x:v>
      </x:c>
      <x:c r="J94" s="21" t="str"/>
      <x:c r="K94" s="21" t="str">
        <x:v>https://en.wikipedia.org/wiki/List_of_fires_in_high-rise_buildings</x:v>
      </x:c>
      <x:c r="L94" s="27" t="n">
        <x:v>23.7104</x:v>
      </x:c>
      <x:c r="M94" s="27" t="n">
        <x:v>90.40744</x:v>
      </x:c>
      <x:c r="N94" s="21" t="str">
        <x:v>城市代表点（来源明确说明不是火场坐标）</x:v>
      </x:c>
      <x:c r="O94" s="21" t="str">
        <x:v>高层建筑火灾</x:v>
      </x:c>
      <x:c r="P94" s="21" t="str">
        <x:v>未检索到</x:v>
      </x:c>
      <x:c r="Q94" s="21" t="str">
        <x:v>62.7 m</x:v>
      </x:c>
      <x:c r="R94" s="21" t="str">
        <x:v>未检索到</x:v>
      </x:c>
      <x:c r="S94" s="21" t="str">
        <x:v>未检索到</x:v>
      </x:c>
      <x:c r="T94" s="42" t="n">
        <x:v>4</x:v>
      </x:c>
      <x:c r="U94" s="42"/>
      <x:c r="V94" s="42"/>
      <x:c r="W94" s="33" t="str">
        <x:v>C</x:v>
      </x:c>
      <x:c r="X94" s="33" t="str">
        <x:v>candidate_height_or_list_membership_needs_individual_source</x:v>
      </x:c>
      <x:c r="Y94" s="33" t="str">
        <x:v>候选待核实</x:v>
      </x:c>
      <x:c r="Z94" s="21" t="str">
        <x:v>height=62.7 m; listed in high-rise fire table；aggregate list is not sufficient for final inclusion; verify height/floors and event details with cited event or building source</x:v>
      </x:c>
      <x:c r="AA94" s="21" t="str">
        <x:v>Wikipedia dynamic high-rise list (candidate discovery)</x:v>
      </x:c>
      <x:c r="AB94" s="21" t="str">
        <x:v>批量来源代理</x:v>
      </x:c>
      <x:c r="AC94" s="21" t="str"/>
      <x:c r="AD94" s="21" t="n">
        <x:v>1</x:v>
      </x:c>
      <x:c r="AE94" s="21" t="str">
        <x:v>未检查</x:v>
      </x:c>
      <x:c r="AF94" s="21" t="str"/>
      <x:c r="AG94" s="24" t="n">
        <x:v>46260</x:v>
      </x:c>
      <x:c r="AH94" s="21" t="str"/>
      <x:c r="AI94" s="21" t="n">
        <x:v>1</x:v>
      </x:c>
      <x:c r="AJ94" s="21" t="str">
        <x:v>未评估（本事件表不建立热浪因果关系）</x:v>
      </x:c>
      <x:c r="AK94" s="21" t="str">
        <x:v>缺失/待核实</x:v>
      </x:c>
    </x:row>
    <x:row r="95" ht="42" customHeight="1">
      <x:c r="A95" s="33" t="n">
        <x:v>94</x:v>
      </x:c>
      <x:c r="B95" s="33" t="str">
        <x:v>RAW-0094</x:v>
      </x:c>
      <x:c r="C95" s="36" t="str">
        <x:v>亚洲</x:v>
      </x:c>
      <x:c r="D95" s="36" t="str">
        <x:v>Saudi Arabia</x:v>
      </x:c>
      <x:c r="E95" s="21" t="str">
        <x:v>Mecca</x:v>
      </x:c>
      <x:c r="F95" s="21" t="str">
        <x:v>Abraj Al Bait Towers fire</x:v>
      </x:c>
      <x:c r="G95" s="39" t="n">
        <x:v>39934</x:v>
      </x:c>
      <x:c r="H95" s="21" t="str">
        <x:v>Occurred during construction</x:v>
      </x:c>
      <x:c r="I95" s="21" t="str">
        <x:v>未检索到/待核实</x:v>
      </x:c>
      <x:c r="J95" s="21" t="str">
        <x:v>Occurred during construction</x:v>
      </x:c>
      <x:c r="K95" s="21" t="str">
        <x:v>https://en.wikipedia.org/wiki/List_of_fires_in_high-rise_buildings</x:v>
      </x:c>
      <x:c r="L95" s="27" t="n">
        <x:v>21.42664</x:v>
      </x:c>
      <x:c r="M95" s="27" t="n">
        <x:v>39.82563</x:v>
      </x:c>
      <x:c r="N95" s="21" t="str">
        <x:v>城市代表点（来源明确说明不是火场坐标）</x:v>
      </x:c>
      <x:c r="O95" s="21" t="str">
        <x:v>高层建筑火灾</x:v>
      </x:c>
      <x:c r="P95" s="21" t="str">
        <x:v>未检索到</x:v>
      </x:c>
      <x:c r="Q95" s="21" t="str">
        <x:v>未检索到</x:v>
      </x:c>
      <x:c r="R95" s="21" t="str">
        <x:v>未检索到</x:v>
      </x:c>
      <x:c r="S95" s="21" t="str">
        <x:v>未检索到</x:v>
      </x:c>
      <x:c r="T95" s="42" t="n">
        <x:v>0</x:v>
      </x:c>
      <x:c r="U95" s="42"/>
      <x:c r="V95" s="42"/>
      <x:c r="W95" s="33" t="str">
        <x:v>C</x:v>
      </x:c>
      <x:c r="X95" s="33" t="str">
        <x:v>candidate_height_or_list_membership_needs_individual_source</x:v>
      </x:c>
      <x:c r="Y95" s="33" t="str">
        <x:v>候选待核实</x:v>
      </x:c>
      <x:c r="Z95" s="21" t="str">
        <x:v>listed in high-rise fire table；aggregate list is not sufficient for final inclusion; verify height/floors and event details with cited event or building source</x:v>
      </x:c>
      <x:c r="AA95" s="21" t="str">
        <x:v>Wikipedia dynamic high-rise list (candidate discovery)</x:v>
      </x:c>
      <x:c r="AB95" s="21" t="str">
        <x:v>批量来源代理</x:v>
      </x:c>
      <x:c r="AC95" s="21" t="str"/>
      <x:c r="AD95" s="21" t="n">
        <x:v>1</x:v>
      </x:c>
      <x:c r="AE95" s="21" t="str">
        <x:v>未检查</x:v>
      </x:c>
      <x:c r="AF95" s="21" t="str"/>
      <x:c r="AG95" s="24" t="n">
        <x:v>46260</x:v>
      </x:c>
      <x:c r="AH95" s="21" t="str"/>
      <x:c r="AI95" s="21" t="n">
        <x:v>1</x:v>
      </x:c>
      <x:c r="AJ95" s="21" t="str">
        <x:v>未评估（本事件表不建立热浪因果关系）</x:v>
      </x:c>
      <x:c r="AK95" s="21" t="str">
        <x:v>缺失/待核实</x:v>
      </x:c>
    </x:row>
    <x:row r="96" ht="42" customHeight="1">
      <x:c r="A96" s="33" t="n">
        <x:v>95</x:v>
      </x:c>
      <x:c r="B96" s="33" t="str">
        <x:v>RAW-0095</x:v>
      </x:c>
      <x:c r="C96" s="36" t="str">
        <x:v>欧洲</x:v>
      </x:c>
      <x:c r="D96" s="36" t="str">
        <x:v>United Kingdom</x:v>
      </x:c>
      <x:c r="E96" s="21" t="str">
        <x:v>London</x:v>
      </x:c>
      <x:c r="F96" s="21" t="str">
        <x:v>Lakanal House fire</x:v>
      </x:c>
      <x:c r="G96" s="39" t="n">
        <x:v>39997</x:v>
      </x:c>
      <x:c r="H96" s="21" t="str">
        <x:v>High-rise façade fire; reported floors affected: 0.</x:v>
      </x:c>
      <x:c r="I96" s="21" t="str">
        <x:v>未检索到/待核实</x:v>
      </x:c>
      <x:c r="J96" s="21" t="str">
        <x:v>façade involved; floors affected=0</x:v>
      </x:c>
      <x:c r="K96" s="21" t="str">
        <x:v>https://en.wikipedia.org/wiki/List_of_high-rise_fa%C3%A7ade_fires</x:v>
      </x:c>
      <x:c r="L96" s="27"/>
      <x:c r="M96" s="27"/>
      <x:c r="N96" s="21" t="str">
        <x:v>未提供坐标</x:v>
      </x:c>
      <x:c r="O96" s="21" t="str">
        <x:v>高层建筑火灾</x:v>
      </x:c>
      <x:c r="P96" s="21" t="str">
        <x:v>未检索到</x:v>
      </x:c>
      <x:c r="Q96" s="21" t="str">
        <x:v>未检索到</x:v>
      </x:c>
      <x:c r="R96" s="21" t="str">
        <x:v>floors affected=0</x:v>
      </x:c>
      <x:c r="S96" s="21" t="str">
        <x:v>未检索到</x:v>
      </x:c>
      <x:c r="T96" s="42" t="n">
        <x:v>6</x:v>
      </x:c>
      <x:c r="U96" s="42" t="n">
        <x:v>20</x:v>
      </x:c>
      <x:c r="V96" s="42"/>
      <x:c r="W96" s="33" t="str">
        <x:v>C</x:v>
      </x:c>
      <x:c r="X96" s="33" t="str">
        <x:v>candidate_list_membership_needs_individual_height_source</x:v>
      </x:c>
      <x:c r="Y96" s="33" t="str">
        <x:v>候选待核实</x:v>
      </x:c>
      <x:c r="Z96" s="21" t="str">
        <x:v>listed in high-rise façade fire table; affected floors are not total building floors；aggregate list is not sufficient for final inclusion; floors affected must not be mistaken for total building floors</x:v>
      </x:c>
      <x:c r="AA96" s="21" t="str">
        <x:v>Wikipedia high-rise façade list; derived from Bonner et al./news (candidate discovery)</x:v>
      </x:c>
      <x:c r="AB96" s="21" t="str">
        <x:v>批量来源代理</x:v>
      </x:c>
      <x:c r="AC96" s="21" t="str"/>
      <x:c r="AD96" s="21" t="n">
        <x:v>1</x:v>
      </x:c>
      <x:c r="AE96" s="21" t="str">
        <x:v>未检查</x:v>
      </x:c>
      <x:c r="AF96" s="21" t="str"/>
      <x:c r="AG96" s="24" t="n">
        <x:v>46260</x:v>
      </x:c>
      <x:c r="AH96" s="21" t="str"/>
      <x:c r="AI96" s="21" t="n">
        <x:v>1</x:v>
      </x:c>
      <x:c r="AJ96" s="21" t="str">
        <x:v>未评估（本事件表不建立热浪因果关系）</x:v>
      </x:c>
      <x:c r="AK96" s="21" t="str">
        <x:v>缺失/待核实</x:v>
      </x:c>
    </x:row>
    <x:row r="97" ht="42" customHeight="1">
      <x:c r="A97" s="33" t="n">
        <x:v>96</x:v>
      </x:c>
      <x:c r="B97" s="33" t="str">
        <x:v>RAW-0096</x:v>
      </x:c>
      <x:c r="C97" s="36" t="str">
        <x:v>欧洲</x:v>
      </x:c>
      <x:c r="D97" s="36" t="str">
        <x:v>Hungary</x:v>
      </x:c>
      <x:c r="E97" s="21" t="str">
        <x:v>Miskolc</x:v>
      </x:c>
      <x:c r="F97" s="21" t="str">
        <x:v>Kozepszer Street Flats fire</x:v>
      </x:c>
      <x:c r="G97" s="39" t="n">
        <x:v>40040</x:v>
      </x:c>
      <x:c r="H97" s="21" t="str">
        <x:v>High-rise façade fire; reported floors affected: 6.</x:v>
      </x:c>
      <x:c r="I97" s="21" t="str">
        <x:v>未检索到/待核实</x:v>
      </x:c>
      <x:c r="J97" s="21" t="str">
        <x:v>façade involved; floors affected=6</x:v>
      </x:c>
      <x:c r="K97" s="21" t="str">
        <x:v>https://en.wikipedia.org/wiki/List_of_high-rise_fa%C3%A7ade_fires</x:v>
      </x:c>
      <x:c r="L97" s="27" t="n">
        <x:v>48.10327</x:v>
      </x:c>
      <x:c r="M97" s="27" t="n">
        <x:v>20.77806</x:v>
      </x:c>
      <x:c r="N97" s="21" t="str">
        <x:v>城市代表点（来源明确说明不是火场坐标）</x:v>
      </x:c>
      <x:c r="O97" s="21" t="str">
        <x:v>高层建筑火灾</x:v>
      </x:c>
      <x:c r="P97" s="21" t="str">
        <x:v>residential</x:v>
      </x:c>
      <x:c r="Q97" s="21" t="str">
        <x:v>未检索到</x:v>
      </x:c>
      <x:c r="R97" s="21" t="str">
        <x:v>floors affected=6</x:v>
      </x:c>
      <x:c r="S97" s="21" t="str">
        <x:v>未检索到</x:v>
      </x:c>
      <x:c r="T97" s="42" t="n">
        <x:v>3</x:v>
      </x:c>
      <x:c r="U97" s="42" t="n">
        <x:v>0</x:v>
      </x:c>
      <x:c r="V97" s="42"/>
      <x:c r="W97" s="33" t="str">
        <x:v>C</x:v>
      </x:c>
      <x:c r="X97" s="33" t="str">
        <x:v>candidate_list_membership_needs_individual_height_source</x:v>
      </x:c>
      <x:c r="Y97" s="33" t="str">
        <x:v>候选待核实</x:v>
      </x:c>
      <x:c r="Z97" s="21" t="str">
        <x:v>listed in high-rise façade fire table; affected floors are not total building floors；aggregate list is not sufficient for final inclusion; floors affected must not be mistaken for total building floors</x:v>
      </x:c>
      <x:c r="AA97" s="21" t="str">
        <x:v>Wikipedia high-rise façade list; derived from Bonner et al./news (candidate discovery)</x:v>
      </x:c>
      <x:c r="AB97" s="21" t="str">
        <x:v>批量来源代理</x:v>
      </x:c>
      <x:c r="AC97" s="21" t="str"/>
      <x:c r="AD97" s="21" t="n">
        <x:v>1</x:v>
      </x:c>
      <x:c r="AE97" s="21" t="str">
        <x:v>未检查</x:v>
      </x:c>
      <x:c r="AF97" s="21" t="str"/>
      <x:c r="AG97" s="24" t="n">
        <x:v>46260</x:v>
      </x:c>
      <x:c r="AH97" s="21" t="str"/>
      <x:c r="AI97" s="21" t="n">
        <x:v>1</x:v>
      </x:c>
      <x:c r="AJ97" s="21" t="str">
        <x:v>未评估（本事件表不建立热浪因果关系）</x:v>
      </x:c>
      <x:c r="AK97" s="21" t="str">
        <x:v>缺失/待核实</x:v>
      </x:c>
    </x:row>
    <x:row r="98" ht="42" customHeight="1">
      <x:c r="A98" s="33" t="n">
        <x:v>97</x:v>
      </x:c>
      <x:c r="B98" s="33" t="str">
        <x:v>RAW-0097</x:v>
      </x:c>
      <x:c r="C98" s="36" t="str">
        <x:v>欧洲</x:v>
      </x:c>
      <x:c r="D98" s="36" t="str">
        <x:v>Netherlands</x:v>
      </x:c>
      <x:c r="E98" s="21" t="str">
        <x:v>Utrecht</x:v>
      </x:c>
      <x:c r="F98" s="21" t="str">
        <x:v>Rabobank Bestuurscentrum fire</x:v>
      </x:c>
      <x:c r="G98" s="39" t="n">
        <x:v>40356</x:v>
      </x:c>
      <x:c r="H98" s="21" t="str">
        <x:v>Occurred on the 25th and 26th floor during the construction. The exact cause of the fire has never been identified.</x:v>
      </x:c>
      <x:c r="I98" s="21" t="str">
        <x:v>未检索到/待核实</x:v>
      </x:c>
      <x:c r="J98" s="21" t="str">
        <x:v>Occurred on the 25th and 26th floor during the construction. The exact cause of the fire has never been identified.</x:v>
      </x:c>
      <x:c r="K98" s="21" t="str">
        <x:v>https://en.wikipedia.org/wiki/List_of_fires_in_high-rise_buildings</x:v>
      </x:c>
      <x:c r="L98" s="27"/>
      <x:c r="M98" s="27"/>
      <x:c r="N98" s="21" t="str">
        <x:v>未提供坐标</x:v>
      </x:c>
      <x:c r="O98" s="21" t="str">
        <x:v>高层建筑火灾</x:v>
      </x:c>
      <x:c r="P98" s="21" t="str">
        <x:v>office/government</x:v>
      </x:c>
      <x:c r="Q98" s="21" t="str">
        <x:v>105 m</x:v>
      </x:c>
      <x:c r="R98" s="21" t="str">
        <x:v>未检索到</x:v>
      </x:c>
      <x:c r="S98" s="21" t="str">
        <x:v>未检索到</x:v>
      </x:c>
      <x:c r="T98" s="42" t="n">
        <x:v>0</x:v>
      </x:c>
      <x:c r="U98" s="42"/>
      <x:c r="V98" s="42"/>
      <x:c r="W98" s="33" t="str">
        <x:v>C</x:v>
      </x:c>
      <x:c r="X98" s="33" t="str">
        <x:v>candidate_height_or_list_membership_needs_individual_source</x:v>
      </x:c>
      <x:c r="Y98" s="33" t="str">
        <x:v>候选待核实</x:v>
      </x:c>
      <x:c r="Z98" s="21" t="str">
        <x:v>height=105 m; listed in high-rise fire table；aggregate list is not sufficient for final inclusion; verify height/floors and event details with cited event or building source</x:v>
      </x:c>
      <x:c r="AA98" s="21" t="str">
        <x:v>Wikipedia dynamic high-rise list (candidate discovery)</x:v>
      </x:c>
      <x:c r="AB98" s="21" t="str">
        <x:v>批量来源代理</x:v>
      </x:c>
      <x:c r="AC98" s="21" t="str"/>
      <x:c r="AD98" s="21" t="n">
        <x:v>1</x:v>
      </x:c>
      <x:c r="AE98" s="21" t="str">
        <x:v>未检查</x:v>
      </x:c>
      <x:c r="AF98" s="21" t="str"/>
      <x:c r="AG98" s="24" t="n">
        <x:v>46260</x:v>
      </x:c>
      <x:c r="AH98" s="21" t="str"/>
      <x:c r="AI98" s="21" t="n">
        <x:v>1</x:v>
      </x:c>
      <x:c r="AJ98" s="21" t="str">
        <x:v>未评估（本事件表不建立热浪因果关系）</x:v>
      </x:c>
      <x:c r="AK98" s="21" t="str">
        <x:v>缺失/待核实</x:v>
      </x:c>
    </x:row>
    <x:row r="99" ht="42" customHeight="1">
      <x:c r="A99" s="33" t="n">
        <x:v>98</x:v>
      </x:c>
      <x:c r="B99" s="33" t="str">
        <x:v>RAW-0098</x:v>
      </x:c>
      <x:c r="C99" s="36" t="str">
        <x:v>亚洲</x:v>
      </x:c>
      <x:c r="D99" s="36" t="str">
        <x:v>United Arab Emirates</x:v>
      </x:c>
      <x:c r="E99" s="21" t="str">
        <x:v>Sharjah</x:v>
      </x:c>
      <x:c r="F99" s="21" t="str">
        <x:v>Al Kuwait Tower fire</x:v>
      </x:c>
      <x:c r="G99" s="39" t="n">
        <x:v>40365</x:v>
      </x:c>
      <x:c r="H99" s="21" t="str">
        <x:v>High-rise façade fire; reported floors affected: 10.</x:v>
      </x:c>
      <x:c r="I99" s="21" t="str">
        <x:v>未检索到/待核实</x:v>
      </x:c>
      <x:c r="J99" s="21" t="str">
        <x:v>façade involved; floors affected=10</x:v>
      </x:c>
      <x:c r="K99" s="21" t="str">
        <x:v>https://en.wikipedia.org/wiki/List_of_high-rise_fa%C3%A7ade_fires</x:v>
      </x:c>
      <x:c r="L99" s="27" t="n">
        <x:v>25.3342</x:v>
      </x:c>
      <x:c r="M99" s="27" t="n">
        <x:v>55.41221</x:v>
      </x:c>
      <x:c r="N99" s="21" t="str">
        <x:v>城市代表点（来源明确说明不是火场坐标）</x:v>
      </x:c>
      <x:c r="O99" s="21" t="str">
        <x:v>高层建筑火灾</x:v>
      </x:c>
      <x:c r="P99" s="21" t="str">
        <x:v>未检索到</x:v>
      </x:c>
      <x:c r="Q99" s="21" t="str">
        <x:v>未检索到</x:v>
      </x:c>
      <x:c r="R99" s="21" t="str">
        <x:v>floors affected=10</x:v>
      </x:c>
      <x:c r="S99" s="21" t="str">
        <x:v>未检索到</x:v>
      </x:c>
      <x:c r="T99" s="42" t="n">
        <x:v>0</x:v>
      </x:c>
      <x:c r="U99" s="42" t="n">
        <x:v>0</x:v>
      </x:c>
      <x:c r="V99" s="42"/>
      <x:c r="W99" s="33" t="str">
        <x:v>C</x:v>
      </x:c>
      <x:c r="X99" s="33" t="str">
        <x:v>candidate_list_membership_needs_individual_height_source</x:v>
      </x:c>
      <x:c r="Y99" s="33" t="str">
        <x:v>候选待核实</x:v>
      </x:c>
      <x:c r="Z99" s="21" t="str">
        <x:v>listed in high-rise façade fire table; affected floors are not total building floors；aggregate list is not sufficient for final inclusion; floors affected must not be mistaken for total building floors</x:v>
      </x:c>
      <x:c r="AA99" s="21" t="str">
        <x:v>Wikipedia high-rise façade list; derived from Bonner et al./news (candidate discovery)</x:v>
      </x:c>
      <x:c r="AB99" s="21" t="str">
        <x:v>批量来源代理</x:v>
      </x:c>
      <x:c r="AC99" s="21" t="str"/>
      <x:c r="AD99" s="21" t="n">
        <x:v>1</x:v>
      </x:c>
      <x:c r="AE99" s="21" t="str">
        <x:v>未检查</x:v>
      </x:c>
      <x:c r="AF99" s="21" t="str"/>
      <x:c r="AG99" s="24" t="n">
        <x:v>46260</x:v>
      </x:c>
      <x:c r="AH99" s="21" t="str"/>
      <x:c r="AI99" s="21" t="n">
        <x:v>1</x:v>
      </x:c>
      <x:c r="AJ99" s="21" t="str">
        <x:v>未评估（本事件表不建立热浪因果关系）</x:v>
      </x:c>
      <x:c r="AK99" s="21" t="str">
        <x:v>缺失/待核实</x:v>
      </x:c>
    </x:row>
    <x:row r="100" ht="42" customHeight="1">
      <x:c r="A100" s="33" t="n">
        <x:v>99</x:v>
      </x:c>
      <x:c r="B100" s="33" t="str">
        <x:v>RAW-0099</x:v>
      </x:c>
      <x:c r="C100" s="36" t="str">
        <x:v>亚洲</x:v>
      </x:c>
      <x:c r="D100" s="36" t="str">
        <x:v>South Korea</x:v>
      </x:c>
      <x:c r="E100" s="21" t="str">
        <x:v>Busan</x:v>
      </x:c>
      <x:c r="F100" s="21" t="str">
        <x:v>Wooshin Golden Suites fire</x:v>
      </x:c>
      <x:c r="G100" s="39" t="n">
        <x:v>40422</x:v>
      </x:c>
      <x:c r="H100" s="21" t="str">
        <x:v>Wooshin Golden Suites fire</x:v>
      </x:c>
      <x:c r="I100" s="21" t="str">
        <x:v>未检索到/待核实</x:v>
      </x:c>
      <x:c r="J100" s="21" t="str">
        <x:v>Wooshin Golden Suites fire</x:v>
      </x:c>
      <x:c r="K100" s="21" t="str">
        <x:v>https://en.wikipedia.org/wiki/List_of_fires_in_high-rise_buildings</x:v>
      </x:c>
      <x:c r="L100" s="27" t="n">
        <x:v>35.10168</x:v>
      </x:c>
      <x:c r="M100" s="27" t="n">
        <x:v>129.03004</x:v>
      </x:c>
      <x:c r="N100" s="21" t="str">
        <x:v>城市代表点（来源明确说明不是火场坐标）</x:v>
      </x:c>
      <x:c r="O100" s="21" t="str">
        <x:v>高层建筑火灾</x:v>
      </x:c>
      <x:c r="P100" s="21" t="str">
        <x:v>未检索到</x:v>
      </x:c>
      <x:c r="Q100" s="21" t="str">
        <x:v>未检索到</x:v>
      </x:c>
      <x:c r="R100" s="21" t="str">
        <x:v>未检索到</x:v>
      </x:c>
      <x:c r="S100" s="21" t="str">
        <x:v>未检索到</x:v>
      </x:c>
      <x:c r="T100" s="42" t="n">
        <x:v>0</x:v>
      </x:c>
      <x:c r="U100" s="42"/>
      <x:c r="V100" s="42"/>
      <x:c r="W100" s="33" t="str">
        <x:v>C</x:v>
      </x:c>
      <x:c r="X100" s="33" t="str">
        <x:v>candidate_height_or_list_membership_needs_individual_source</x:v>
      </x:c>
      <x:c r="Y100" s="33" t="str">
        <x:v>候选待核实</x:v>
      </x:c>
      <x:c r="Z100" s="21" t="str">
        <x:v>listed in high-rise fire table；aggregate list is not sufficient for final inclusion; verify height/floors and event details with cited event or building source</x:v>
      </x:c>
      <x:c r="AA100" s="21" t="str">
        <x:v>Wikipedia dynamic high-rise list (candidate discovery)</x:v>
      </x:c>
      <x:c r="AB100" s="21" t="str">
        <x:v>批量来源代理</x:v>
      </x:c>
      <x:c r="AC100" s="21" t="str"/>
      <x:c r="AD100" s="21" t="n">
        <x:v>1</x:v>
      </x:c>
      <x:c r="AE100" s="21" t="str">
        <x:v>未检查</x:v>
      </x:c>
      <x:c r="AF100" s="21" t="str"/>
      <x:c r="AG100" s="24" t="n">
        <x:v>46260</x:v>
      </x:c>
      <x:c r="AH100" s="21" t="str"/>
      <x:c r="AI100" s="21" t="n">
        <x:v>1</x:v>
      </x:c>
      <x:c r="AJ100" s="21" t="str">
        <x:v>未评估（本事件表不建立热浪因果关系）</x:v>
      </x:c>
      <x:c r="AK100" s="21" t="str">
        <x:v>缺失/待核实</x:v>
      </x:c>
    </x:row>
    <x:row r="101" ht="42" customHeight="1">
      <x:c r="A101" s="33" t="n">
        <x:v>100</x:v>
      </x:c>
      <x:c r="B101" s="33" t="str">
        <x:v>RAW-0100</x:v>
      </x:c>
      <x:c r="C101" s="36" t="str">
        <x:v>欧洲</x:v>
      </x:c>
      <x:c r="D101" s="36" t="str">
        <x:v>France</x:v>
      </x:c>
      <x:c r="E101" s="21" t="str">
        <x:v>Dijon</x:v>
      </x:c>
      <x:c r="F101" s="21" t="str">
        <x:v>Dijon residential complex fire</x:v>
      </x:c>
      <x:c r="G101" s="39" t="n">
        <x:v>40465</x:v>
      </x:c>
      <x:c r="H101" s="21" t="str"/>
      <x:c r="I101" s="21" t="str">
        <x:v>未检索到/待核实</x:v>
      </x:c>
      <x:c r="J101" s="21" t="str"/>
      <x:c r="K101" s="21" t="str">
        <x:v>https://en.wikipedia.org/wiki/List_of_fires_in_high-rise_buildings</x:v>
      </x:c>
      <x:c r="L101" s="27" t="n">
        <x:v>47.31344</x:v>
      </x:c>
      <x:c r="M101" s="27" t="n">
        <x:v>5.01391</x:v>
      </x:c>
      <x:c r="N101" s="21" t="str">
        <x:v>城市代表点（来源明确说明不是火场坐标）</x:v>
      </x:c>
      <x:c r="O101" s="21" t="str">
        <x:v>高层建筑火灾</x:v>
      </x:c>
      <x:c r="P101" s="21" t="str">
        <x:v>residential</x:v>
      </x:c>
      <x:c r="Q101" s="21" t="str">
        <x:v>79.2 m</x:v>
      </x:c>
      <x:c r="R101" s="21" t="str">
        <x:v>未检索到</x:v>
      </x:c>
      <x:c r="S101" s="21" t="str">
        <x:v>未检索到</x:v>
      </x:c>
      <x:c r="T101" s="42" t="n">
        <x:v>7</x:v>
      </x:c>
      <x:c r="U101" s="42"/>
      <x:c r="V101" s="42"/>
      <x:c r="W101" s="33" t="str">
        <x:v>C</x:v>
      </x:c>
      <x:c r="X101" s="33" t="str">
        <x:v>candidate_height_or_list_membership_needs_individual_source</x:v>
      </x:c>
      <x:c r="Y101" s="33" t="str">
        <x:v>候选待核实</x:v>
      </x:c>
      <x:c r="Z101" s="21" t="str">
        <x:v>height=79.2 m; listed in high-rise fire table；aggregate list is not sufficient for final inclusion; verify height/floors and event details with cited event or building source</x:v>
      </x:c>
      <x:c r="AA101" s="21" t="str">
        <x:v>Wikipedia dynamic high-rise list (candidate discovery)</x:v>
      </x:c>
      <x:c r="AB101" s="21" t="str">
        <x:v>批量来源代理</x:v>
      </x:c>
      <x:c r="AC101" s="21" t="str"/>
      <x:c r="AD101" s="21" t="n">
        <x:v>1</x:v>
      </x:c>
      <x:c r="AE101" s="21" t="str">
        <x:v>未检查</x:v>
      </x:c>
      <x:c r="AF101" s="21" t="str"/>
      <x:c r="AG101" s="24" t="n">
        <x:v>46260</x:v>
      </x:c>
      <x:c r="AH101" s="21" t="str"/>
      <x:c r="AI101" s="21" t="n">
        <x:v>1</x:v>
      </x:c>
      <x:c r="AJ101" s="21" t="str">
        <x:v>未评估（本事件表不建立热浪因果关系）</x:v>
      </x:c>
      <x:c r="AK101" s="21" t="str">
        <x:v>缺失/待核实</x:v>
      </x:c>
    </x:row>
    <x:row r="102" ht="42" customHeight="1">
      <x:c r="A102" s="33" t="n">
        <x:v>101</x:v>
      </x:c>
      <x:c r="B102" s="33" t="str">
        <x:v>RAW-0101</x:v>
      </x:c>
      <x:c r="C102" s="36" t="str">
        <x:v>欧洲</x:v>
      </x:c>
      <x:c r="D102" s="36" t="str">
        <x:v>France</x:v>
      </x:c>
      <x:c r="E102" s="21" t="str">
        <x:v>Dijon</x:v>
      </x:c>
      <x:c r="F102" s="21" t="str">
        <x:v>4 Rue du Lac Flats fire</x:v>
      </x:c>
      <x:c r="G102" s="39" t="n">
        <x:v>40496</x:v>
      </x:c>
      <x:c r="H102" s="21" t="str">
        <x:v>High-rise façade fire; reported floors affected: 1.</x:v>
      </x:c>
      <x:c r="I102" s="21" t="str">
        <x:v>未检索到/待核实</x:v>
      </x:c>
      <x:c r="J102" s="21" t="str">
        <x:v>façade involved; floors affected=1</x:v>
      </x:c>
      <x:c r="K102" s="21" t="str">
        <x:v>https://en.wikipedia.org/wiki/List_of_high-rise_fa%C3%A7ade_fires</x:v>
      </x:c>
      <x:c r="L102" s="27" t="n">
        <x:v>47.31344</x:v>
      </x:c>
      <x:c r="M102" s="27" t="n">
        <x:v>5.01391</x:v>
      </x:c>
      <x:c r="N102" s="21" t="str">
        <x:v>城市代表点（来源明确说明不是火场坐标）</x:v>
      </x:c>
      <x:c r="O102" s="21" t="str">
        <x:v>高层建筑火灾</x:v>
      </x:c>
      <x:c r="P102" s="21" t="str">
        <x:v>residential</x:v>
      </x:c>
      <x:c r="Q102" s="21" t="str">
        <x:v>未检索到</x:v>
      </x:c>
      <x:c r="R102" s="21" t="str">
        <x:v>floors affected=1</x:v>
      </x:c>
      <x:c r="S102" s="21" t="str">
        <x:v>未检索到</x:v>
      </x:c>
      <x:c r="T102" s="42" t="n">
        <x:v>7</x:v>
      </x:c>
      <x:c r="U102" s="42" t="n">
        <x:v>11</x:v>
      </x:c>
      <x:c r="V102" s="42"/>
      <x:c r="W102" s="33" t="str">
        <x:v>C</x:v>
      </x:c>
      <x:c r="X102" s="33" t="str">
        <x:v>candidate_list_membership_needs_individual_height_source</x:v>
      </x:c>
      <x:c r="Y102" s="33" t="str">
        <x:v>候选待核实</x:v>
      </x:c>
      <x:c r="Z102" s="21" t="str">
        <x:v>listed in high-rise façade fire table; affected floors are not total building floors；aggregate list is not sufficient for final inclusion; floors affected must not be mistaken for total building floors</x:v>
      </x:c>
      <x:c r="AA102" s="21" t="str">
        <x:v>Wikipedia high-rise façade list; derived from Bonner et al./news (candidate discovery)</x:v>
      </x:c>
      <x:c r="AB102" s="21" t="str">
        <x:v>批量来源代理</x:v>
      </x:c>
      <x:c r="AC102" s="21" t="str"/>
      <x:c r="AD102" s="21" t="n">
        <x:v>1</x:v>
      </x:c>
      <x:c r="AE102" s="21" t="str">
        <x:v>未检查</x:v>
      </x:c>
      <x:c r="AF102" s="21" t="str"/>
      <x:c r="AG102" s="24" t="n">
        <x:v>46260</x:v>
      </x:c>
      <x:c r="AH102" s="21" t="str"/>
      <x:c r="AI102" s="21" t="n">
        <x:v>1</x:v>
      </x:c>
      <x:c r="AJ102" s="21" t="str">
        <x:v>未评估（本事件表不建立热浪因果关系）</x:v>
      </x:c>
      <x:c r="AK102" s="21" t="str">
        <x:v>缺失/待核实</x:v>
      </x:c>
    </x:row>
    <x:row r="103" ht="42" customHeight="1">
      <x:c r="A103" s="33" t="n">
        <x:v>102</x:v>
      </x:c>
      <x:c r="B103" s="33" t="str">
        <x:v>RAW-0102</x:v>
      </x:c>
      <x:c r="C103" s="36" t="str">
        <x:v>亚洲</x:v>
      </x:c>
      <x:c r="D103" s="36" t="str">
        <x:v>China</x:v>
      </x:c>
      <x:c r="E103" s="21" t="str">
        <x:v>Shanghai</x:v>
      </x:c>
      <x:c r="F103" s="21" t="str">
        <x:v>Jiaozhou Road fire</x:v>
      </x:c>
      <x:c r="G103" s="39" t="n">
        <x:v>40497</x:v>
      </x:c>
      <x:c r="H103" s="21" t="str">
        <x:v>High-rise façade fire; reported floors affected: 28.</x:v>
      </x:c>
      <x:c r="I103" s="21" t="str">
        <x:v>未检索到/待核实</x:v>
      </x:c>
      <x:c r="J103" s="21" t="str">
        <x:v>façade involved; floors affected=28</x:v>
      </x:c>
      <x:c r="K103" s="21" t="str">
        <x:v>https://en.wikipedia.org/wiki/List_of_high-rise_fa%C3%A7ade_fires</x:v>
      </x:c>
      <x:c r="L103" s="27" t="n">
        <x:v>31.22222</x:v>
      </x:c>
      <x:c r="M103" s="27" t="n">
        <x:v>121.45806</x:v>
      </x:c>
      <x:c r="N103" s="21" t="str">
        <x:v>城市代表点（来源明确说明不是火场坐标）</x:v>
      </x:c>
      <x:c r="O103" s="21" t="str">
        <x:v>高层建筑火灾</x:v>
      </x:c>
      <x:c r="P103" s="21" t="str">
        <x:v>未检索到</x:v>
      </x:c>
      <x:c r="Q103" s="21" t="str">
        <x:v>未检索到</x:v>
      </x:c>
      <x:c r="R103" s="21" t="str">
        <x:v>floors affected=28</x:v>
      </x:c>
      <x:c r="S103" s="21" t="str">
        <x:v>未检索到</x:v>
      </x:c>
      <x:c r="T103" s="42" t="n">
        <x:v>58</x:v>
      </x:c>
      <x:c r="U103" s="42" t="n">
        <x:v>71</x:v>
      </x:c>
      <x:c r="V103" s="42"/>
      <x:c r="W103" s="33" t="str">
        <x:v>C</x:v>
      </x:c>
      <x:c r="X103" s="33" t="str">
        <x:v>candidate_list_membership_needs_individual_height_source</x:v>
      </x:c>
      <x:c r="Y103" s="33" t="str">
        <x:v>候选待核实</x:v>
      </x:c>
      <x:c r="Z103" s="21" t="str">
        <x:v>listed in high-rise façade fire table; affected floors are not total building floors；aggregate list is not sufficient for final inclusion; floors affected must not be mistaken for total building floors</x:v>
      </x:c>
      <x:c r="AA103" s="21" t="str">
        <x:v>Wikipedia high-rise façade list; derived from Bonner et al./news (candidate discovery)</x:v>
      </x:c>
      <x:c r="AB103" s="21" t="str">
        <x:v>批量来源代理</x:v>
      </x:c>
      <x:c r="AC103" s="21" t="str"/>
      <x:c r="AD103" s="21" t="n">
        <x:v>1</x:v>
      </x:c>
      <x:c r="AE103" s="21" t="str">
        <x:v>未检查</x:v>
      </x:c>
      <x:c r="AF103" s="21" t="str"/>
      <x:c r="AG103" s="24" t="n">
        <x:v>46260</x:v>
      </x:c>
      <x:c r="AH103" s="21" t="str"/>
      <x:c r="AI103" s="21" t="n">
        <x:v>1</x:v>
      </x:c>
      <x:c r="AJ103" s="21" t="str">
        <x:v>未评估（本事件表不建立热浪因果关系）</x:v>
      </x:c>
      <x:c r="AK103" s="21" t="str">
        <x:v>缺失/待核实</x:v>
      </x:c>
    </x:row>
    <x:row r="104" ht="42" customHeight="1">
      <x:c r="A104" s="33" t="n">
        <x:v>103</x:v>
      </x:c>
      <x:c r="B104" s="33" t="str">
        <x:v>RAW-0103</x:v>
      </x:c>
      <x:c r="C104" s="36" t="str">
        <x:v>亚洲</x:v>
      </x:c>
      <x:c r="D104" s="36" t="str">
        <x:v>China</x:v>
      </x:c>
      <x:c r="E104" s="21" t="str">
        <x:v>Shanghai</x:v>
      </x:c>
      <x:c r="F104" s="21" t="str">
        <x:v>Unnamed high-rise apartment block fire</x:v>
      </x:c>
      <x:c r="G104" s="39" t="n">
        <x:v>40497</x:v>
      </x:c>
      <x:c r="H104" s="21" t="str">
        <x:v>Occurred during renovation; 2010 Shanghai fire</x:v>
      </x:c>
      <x:c r="I104" s="21" t="str">
        <x:v>未检索到/待核实</x:v>
      </x:c>
      <x:c r="J104" s="21" t="str">
        <x:v>Occurred during renovation; 2010 Shanghai fire</x:v>
      </x:c>
      <x:c r="K104" s="21" t="str">
        <x:v>https://en.wikipedia.org/wiki/List_of_fires_in_high-rise_buildings</x:v>
      </x:c>
      <x:c r="L104" s="27" t="n">
        <x:v>31.22222</x:v>
      </x:c>
      <x:c r="M104" s="27" t="n">
        <x:v>121.45806</x:v>
      </x:c>
      <x:c r="N104" s="21" t="str">
        <x:v>城市代表点（来源明确说明不是火场坐标）</x:v>
      </x:c>
      <x:c r="O104" s="21" t="str">
        <x:v>高层建筑火灾</x:v>
      </x:c>
      <x:c r="P104" s="21" t="str">
        <x:v>residential</x:v>
      </x:c>
      <x:c r="Q104" s="21" t="str">
        <x:v>85 m</x:v>
      </x:c>
      <x:c r="R104" s="21" t="str">
        <x:v>未检索到</x:v>
      </x:c>
      <x:c r="S104" s="21" t="str">
        <x:v>未检索到</x:v>
      </x:c>
      <x:c r="T104" s="42" t="n">
        <x:v>58</x:v>
      </x:c>
      <x:c r="U104" s="42"/>
      <x:c r="V104" s="42"/>
      <x:c r="W104" s="33" t="str">
        <x:v>C</x:v>
      </x:c>
      <x:c r="X104" s="33" t="str">
        <x:v>candidate_height_or_list_membership_needs_individual_source</x:v>
      </x:c>
      <x:c r="Y104" s="33" t="str">
        <x:v>候选待核实</x:v>
      </x:c>
      <x:c r="Z104" s="21" t="str">
        <x:v>height=85 m; listed in high-rise fire table；aggregate list is not sufficient for final inclusion; verify height/floors and event details with cited event or building source</x:v>
      </x:c>
      <x:c r="AA104" s="21" t="str">
        <x:v>Wikipedia dynamic high-rise list (candidate discovery)</x:v>
      </x:c>
      <x:c r="AB104" s="21" t="str">
        <x:v>批量来源代理</x:v>
      </x:c>
      <x:c r="AC104" s="21" t="str"/>
      <x:c r="AD104" s="21" t="n">
        <x:v>1</x:v>
      </x:c>
      <x:c r="AE104" s="21" t="str">
        <x:v>未检查</x:v>
      </x:c>
      <x:c r="AF104" s="21" t="str"/>
      <x:c r="AG104" s="24" t="n">
        <x:v>46260</x:v>
      </x:c>
      <x:c r="AH104" s="21" t="str"/>
      <x:c r="AI104" s="21" t="n">
        <x:v>1</x:v>
      </x:c>
      <x:c r="AJ104" s="21" t="str">
        <x:v>未评估（本事件表不建立热浪因果关系）</x:v>
      </x:c>
      <x:c r="AK104" s="21" t="str">
        <x:v>缺失/待核实</x:v>
      </x:c>
    </x:row>
    <x:row r="105" ht="42" customHeight="1">
      <x:c r="A105" s="33" t="n">
        <x:v>104</x:v>
      </x:c>
      <x:c r="B105" s="33" t="str">
        <x:v>RAW-0104</x:v>
      </x:c>
      <x:c r="C105" s="36" t="str">
        <x:v>亚洲</x:v>
      </x:c>
      <x:c r="D105" s="36" t="str">
        <x:v>China</x:v>
      </x:c>
      <x:c r="E105" s="21" t="str">
        <x:v>Shenyang</x:v>
      </x:c>
      <x:c r="F105" s="21" t="str">
        <x:v>Dynasty Wanxin building complex Towers A and B (Tower C was unaffected) fire</x:v>
      </x:c>
      <x:c r="G105" s="39" t="n">
        <x:v>40577</x:v>
      </x:c>
      <x:c r="H105" s="21" t="str">
        <x:v>Started from fireworks during Chinese New Year Celebrations.</x:v>
      </x:c>
      <x:c r="I105" s="21" t="str">
        <x:v>fireworks</x:v>
      </x:c>
      <x:c r="J105" s="21" t="str">
        <x:v>Started from fireworks during Chinese New Year Celebrations.</x:v>
      </x:c>
      <x:c r="K105" s="21" t="str">
        <x:v>https://en.wikipedia.org/wiki/List_of_fires_in_high-rise_buildings</x:v>
      </x:c>
      <x:c r="L105" s="27" t="n">
        <x:v>41.79222</x:v>
      </x:c>
      <x:c r="M105" s="27" t="n">
        <x:v>123.43278</x:v>
      </x:c>
      <x:c r="N105" s="21" t="str">
        <x:v>城市代表点（来源明确说明不是火场坐标）</x:v>
      </x:c>
      <x:c r="O105" s="21" t="str">
        <x:v>高层建筑火灾</x:v>
      </x:c>
      <x:c r="P105" s="21" t="str">
        <x:v>未检索到</x:v>
      </x:c>
      <x:c r="Q105" s="21" t="str">
        <x:v>未检索到</x:v>
      </x:c>
      <x:c r="R105" s="21" t="str">
        <x:v>未检索到</x:v>
      </x:c>
      <x:c r="S105" s="21" t="str">
        <x:v>未检索到</x:v>
      </x:c>
      <x:c r="T105" s="42" t="n">
        <x:v>0</x:v>
      </x:c>
      <x:c r="U105" s="42"/>
      <x:c r="V105" s="42"/>
      <x:c r="W105" s="33" t="str">
        <x:v>C</x:v>
      </x:c>
      <x:c r="X105" s="33" t="str">
        <x:v>candidate_height_or_list_membership_needs_individual_source</x:v>
      </x:c>
      <x:c r="Y105" s="33" t="str">
        <x:v>候选待核实</x:v>
      </x:c>
      <x:c r="Z105" s="21" t="str">
        <x:v>listed in high-rise fire table；aggregate list is not sufficient for final inclusion; verify height/floors and event details with cited event or building source</x:v>
      </x:c>
      <x:c r="AA105" s="21" t="str">
        <x:v>Wikipedia dynamic high-rise list (candidate discovery)</x:v>
      </x:c>
      <x:c r="AB105" s="21" t="str">
        <x:v>批量来源代理</x:v>
      </x:c>
      <x:c r="AC105" s="21" t="str"/>
      <x:c r="AD105" s="21" t="n">
        <x:v>1</x:v>
      </x:c>
      <x:c r="AE105" s="21" t="str">
        <x:v>未检查</x:v>
      </x:c>
      <x:c r="AF105" s="21" t="str"/>
      <x:c r="AG105" s="24" t="n">
        <x:v>46260</x:v>
      </x:c>
      <x:c r="AH105" s="21" t="str"/>
      <x:c r="AI105" s="21" t="n">
        <x:v>1</x:v>
      </x:c>
      <x:c r="AJ105" s="21" t="str">
        <x:v>未评估（本事件表不建立热浪因果关系）</x:v>
      </x:c>
      <x:c r="AK105" s="21" t="str">
        <x:v>已有来源描述</x:v>
      </x:c>
    </x:row>
    <x:row r="106" ht="42" customHeight="1">
      <x:c r="A106" s="33" t="n">
        <x:v>105</x:v>
      </x:c>
      <x:c r="B106" s="33" t="str">
        <x:v>RAW-0105</x:v>
      </x:c>
      <x:c r="C106" s="36" t="str">
        <x:v>亚洲</x:v>
      </x:c>
      <x:c r="D106" s="36" t="str">
        <x:v>China</x:v>
      </x:c>
      <x:c r="E106" s="21" t="str">
        <x:v>Shenyang</x:v>
      </x:c>
      <x:c r="F106" s="21" t="str">
        <x:v>Royal Wanxin Hotel fire</x:v>
      </x:c>
      <x:c r="G106" s="39" t="n">
        <x:v>40577</x:v>
      </x:c>
      <x:c r="H106" s="21" t="str">
        <x:v>High-rise façade fire; reported floors affected: 1.</x:v>
      </x:c>
      <x:c r="I106" s="21" t="str">
        <x:v>未检索到/待核实</x:v>
      </x:c>
      <x:c r="J106" s="21" t="str">
        <x:v>façade involved; floors affected=1</x:v>
      </x:c>
      <x:c r="K106" s="21" t="str">
        <x:v>https://en.wikipedia.org/wiki/List_of_high-rise_fa%C3%A7ade_fires</x:v>
      </x:c>
      <x:c r="L106" s="27" t="n">
        <x:v>41.79222</x:v>
      </x:c>
      <x:c r="M106" s="27" t="n">
        <x:v>123.43278</x:v>
      </x:c>
      <x:c r="N106" s="21" t="str">
        <x:v>城市代表点（来源明确说明不是火场坐标）</x:v>
      </x:c>
      <x:c r="O106" s="21" t="str">
        <x:v>高层建筑火灾</x:v>
      </x:c>
      <x:c r="P106" s="21" t="str">
        <x:v>hotel</x:v>
      </x:c>
      <x:c r="Q106" s="21" t="str">
        <x:v>未检索到</x:v>
      </x:c>
      <x:c r="R106" s="21" t="str">
        <x:v>floors affected=1</x:v>
      </x:c>
      <x:c r="S106" s="21" t="str">
        <x:v>未检索到</x:v>
      </x:c>
      <x:c r="T106" s="42" t="n">
        <x:v>0</x:v>
      </x:c>
      <x:c r="U106" s="42" t="n">
        <x:v>0</x:v>
      </x:c>
      <x:c r="V106" s="42"/>
      <x:c r="W106" s="33" t="str">
        <x:v>C</x:v>
      </x:c>
      <x:c r="X106" s="33" t="str">
        <x:v>candidate_list_membership_needs_individual_height_source</x:v>
      </x:c>
      <x:c r="Y106" s="33" t="str">
        <x:v>候选待核实</x:v>
      </x:c>
      <x:c r="Z106" s="21" t="str">
        <x:v>listed in high-rise façade fire table; affected floors are not total building floors；aggregate list is not sufficient for final inclusion; floors affected must not be mistaken for total building floors</x:v>
      </x:c>
      <x:c r="AA106" s="21" t="str">
        <x:v>Wikipedia high-rise façade list; derived from Bonner et al./news (candidate discovery)</x:v>
      </x:c>
      <x:c r="AB106" s="21" t="str">
        <x:v>批量来源代理</x:v>
      </x:c>
      <x:c r="AC106" s="21" t="str"/>
      <x:c r="AD106" s="21" t="n">
        <x:v>1</x:v>
      </x:c>
      <x:c r="AE106" s="21" t="str">
        <x:v>未检查</x:v>
      </x:c>
      <x:c r="AF106" s="21" t="str"/>
      <x:c r="AG106" s="24" t="n">
        <x:v>46260</x:v>
      </x:c>
      <x:c r="AH106" s="21" t="str"/>
      <x:c r="AI106" s="21" t="n">
        <x:v>1</x:v>
      </x:c>
      <x:c r="AJ106" s="21" t="str">
        <x:v>未评估（本事件表不建立热浪因果关系）</x:v>
      </x:c>
      <x:c r="AK106" s="21" t="str">
        <x:v>缺失/待核实</x:v>
      </x:c>
    </x:row>
    <x:row r="107" ht="42" customHeight="1">
      <x:c r="A107" s="33" t="n">
        <x:v>106</x:v>
      </x:c>
      <x:c r="B107" s="33" t="str">
        <x:v>RAW-0106</x:v>
      </x:c>
      <x:c r="C107" s="36" t="str">
        <x:v>亚洲</x:v>
      </x:c>
      <x:c r="D107" s="36" t="str">
        <x:v>Vietnam</x:v>
      </x:c>
      <x:c r="E107" s="21" t="str">
        <x:v>Hanoi</x:v>
      </x:c>
      <x:c r="F107" s="21" t="str">
        <x:v>EVN Headquarters Tower 1 fire</x:v>
      </x:c>
      <x:c r="G107" s="39" t="n">
        <x:v>40893</x:v>
      </x:c>
      <x:c r="H107" s="21" t="str">
        <x:v>Fire occurred during construction, 11 workers injured.</x:v>
      </x:c>
      <x:c r="I107" s="21" t="str">
        <x:v>未检索到/待核实</x:v>
      </x:c>
      <x:c r="J107" s="21" t="str">
        <x:v>Fire occurred during construction, 11 workers injured.</x:v>
      </x:c>
      <x:c r="K107" s="21" t="str">
        <x:v>https://en.wikipedia.org/wiki/List_of_fires_in_high-rise_buildings</x:v>
      </x:c>
      <x:c r="L107" s="27" t="n">
        <x:v>21.0245</x:v>
      </x:c>
      <x:c r="M107" s="27" t="n">
        <x:v>105.84117</x:v>
      </x:c>
      <x:c r="N107" s="21" t="str">
        <x:v>城市代表点（来源明确说明不是火场坐标）</x:v>
      </x:c>
      <x:c r="O107" s="21" t="str">
        <x:v>高层建筑火灾</x:v>
      </x:c>
      <x:c r="P107" s="21" t="str">
        <x:v>office/government</x:v>
      </x:c>
      <x:c r="Q107" s="21" t="str">
        <x:v>147 m</x:v>
      </x:c>
      <x:c r="R107" s="21" t="str">
        <x:v>未检索到</x:v>
      </x:c>
      <x:c r="S107" s="21" t="str">
        <x:v>未检索到</x:v>
      </x:c>
      <x:c r="T107" s="42" t="n">
        <x:v>0</x:v>
      </x:c>
      <x:c r="U107" s="42"/>
      <x:c r="V107" s="42"/>
      <x:c r="W107" s="33" t="str">
        <x:v>C</x:v>
      </x:c>
      <x:c r="X107" s="33" t="str">
        <x:v>candidate_height_or_list_membership_needs_individual_source</x:v>
      </x:c>
      <x:c r="Y107" s="33" t="str">
        <x:v>候选待核实</x:v>
      </x:c>
      <x:c r="Z107" s="21" t="str">
        <x:v>height=147 m; listed in high-rise fire table；aggregate list is not sufficient for final inclusion; verify height/floors and event details with cited event or building source</x:v>
      </x:c>
      <x:c r="AA107" s="21" t="str">
        <x:v>Wikipedia dynamic high-rise list (candidate discovery)</x:v>
      </x:c>
      <x:c r="AB107" s="21" t="str">
        <x:v>批量来源代理</x:v>
      </x:c>
      <x:c r="AC107" s="21" t="str"/>
      <x:c r="AD107" s="21" t="n">
        <x:v>1</x:v>
      </x:c>
      <x:c r="AE107" s="21" t="str">
        <x:v>未检查</x:v>
      </x:c>
      <x:c r="AF107" s="21" t="str"/>
      <x:c r="AG107" s="24" t="n">
        <x:v>46260</x:v>
      </x:c>
      <x:c r="AH107" s="21" t="str"/>
      <x:c r="AI107" s="21" t="n">
        <x:v>1</x:v>
      </x:c>
      <x:c r="AJ107" s="21" t="str">
        <x:v>未评估（本事件表不建立热浪因果关系）</x:v>
      </x:c>
      <x:c r="AK107" s="21" t="str">
        <x:v>缺失/待核实</x:v>
      </x:c>
    </x:row>
    <x:row r="108" ht="42" customHeight="1">
      <x:c r="A108" s="33" t="n">
        <x:v>107</x:v>
      </x:c>
      <x:c r="B108" s="33" t="str">
        <x:v>RAW-0107</x:v>
      </x:c>
      <x:c r="C108" s="36" t="str">
        <x:v>亚洲</x:v>
      </x:c>
      <x:c r="D108" s="36" t="str">
        <x:v>Malaysia</x:v>
      </x:c>
      <x:c r="E108" s="21" t="str">
        <x:v>Kuala Lumpur</x:v>
      </x:c>
      <x:c r="F108" s="21" t="str">
        <x:v>Uncompleted high rise block fire</x:v>
      </x:c>
      <x:c r="G108" s="39" t="n">
        <x:v>40926</x:v>
      </x:c>
      <x:c r="H108" s="21" t="str"/>
      <x:c r="I108" s="21" t="str">
        <x:v>未检索到/待核实</x:v>
      </x:c>
      <x:c r="J108" s="21" t="str"/>
      <x:c r="K108" s="21" t="str">
        <x:v>https://en.wikipedia.org/wiki/List_of_fires_in_high-rise_buildings</x:v>
      </x:c>
      <x:c r="L108" s="27" t="n">
        <x:v>3.1412</x:v>
      </x:c>
      <x:c r="M108" s="27" t="n">
        <x:v>101.68653</x:v>
      </x:c>
      <x:c r="N108" s="21" t="str">
        <x:v>城市代表点（来源明确说明不是火场坐标）</x:v>
      </x:c>
      <x:c r="O108" s="21" t="str">
        <x:v>高层建筑火灾</x:v>
      </x:c>
      <x:c r="P108" s="21" t="str">
        <x:v>under construction</x:v>
      </x:c>
      <x:c r="Q108" s="21" t="str">
        <x:v>未检索到</x:v>
      </x:c>
      <x:c r="R108" s="21" t="str">
        <x:v>未检索到</x:v>
      </x:c>
      <x:c r="S108" s="21" t="str">
        <x:v>未检索到</x:v>
      </x:c>
      <x:c r="T108" s="42" t="n">
        <x:v>0</x:v>
      </x:c>
      <x:c r="U108" s="42"/>
      <x:c r="V108" s="42"/>
      <x:c r="W108" s="33" t="str">
        <x:v>C</x:v>
      </x:c>
      <x:c r="X108" s="33" t="str">
        <x:v>candidate_height_or_list_membership_needs_individual_source</x:v>
      </x:c>
      <x:c r="Y108" s="33" t="str">
        <x:v>候选待核实</x:v>
      </x:c>
      <x:c r="Z108" s="21" t="str">
        <x:v>listed in high-rise fire table；aggregate list is not sufficient for final inclusion; verify height/floors and event details with cited event or building source</x:v>
      </x:c>
      <x:c r="AA108" s="21" t="str">
        <x:v>Wikipedia dynamic high-rise list (candidate discovery)</x:v>
      </x:c>
      <x:c r="AB108" s="21" t="str">
        <x:v>批量来源代理</x:v>
      </x:c>
      <x:c r="AC108" s="21" t="str"/>
      <x:c r="AD108" s="21" t="n">
        <x:v>1</x:v>
      </x:c>
      <x:c r="AE108" s="21" t="str">
        <x:v>未检查</x:v>
      </x:c>
      <x:c r="AF108" s="21" t="str"/>
      <x:c r="AG108" s="24" t="n">
        <x:v>46260</x:v>
      </x:c>
      <x:c r="AH108" s="21" t="str"/>
      <x:c r="AI108" s="21" t="n">
        <x:v>1</x:v>
      </x:c>
      <x:c r="AJ108" s="21" t="str">
        <x:v>未评估（本事件表不建立热浪因果关系）</x:v>
      </x:c>
      <x:c r="AK108" s="21" t="str">
        <x:v>缺失/待核实</x:v>
      </x:c>
    </x:row>
    <x:row r="109" ht="42" customHeight="1">
      <x:c r="A109" s="33" t="n">
        <x:v>108</x:v>
      </x:c>
      <x:c r="B109" s="33" t="str">
        <x:v>RAW-0108</x:v>
      </x:c>
      <x:c r="C109" s="36" t="str">
        <x:v>亚洲</x:v>
      </x:c>
      <x:c r="D109" s="36" t="str">
        <x:v>United Arab Emirates</x:v>
      </x:c>
      <x:c r="E109" s="21" t="str">
        <x:v>Sharjah</x:v>
      </x:c>
      <x:c r="F109" s="21" t="str">
        <x:v>Al Baker Tower fire</x:v>
      </x:c>
      <x:c r="G109" s="39" t="n">
        <x:v>40926</x:v>
      </x:c>
      <x:c r="H109" s="21" t="str">
        <x:v>High-rise façade fire; reported floors affected: 1.</x:v>
      </x:c>
      <x:c r="I109" s="21" t="str">
        <x:v>未检索到/待核实</x:v>
      </x:c>
      <x:c r="J109" s="21" t="str">
        <x:v>façade involved; floors affected=1</x:v>
      </x:c>
      <x:c r="K109" s="21" t="str">
        <x:v>https://en.wikipedia.org/wiki/List_of_high-rise_fa%C3%A7ade_fires</x:v>
      </x:c>
      <x:c r="L109" s="27" t="n">
        <x:v>25.3342</x:v>
      </x:c>
      <x:c r="M109" s="27" t="n">
        <x:v>55.41221</x:v>
      </x:c>
      <x:c r="N109" s="21" t="str">
        <x:v>城市代表点（来源明确说明不是火场坐标）</x:v>
      </x:c>
      <x:c r="O109" s="21" t="str">
        <x:v>高层建筑火灾</x:v>
      </x:c>
      <x:c r="P109" s="21" t="str">
        <x:v>未检索到</x:v>
      </x:c>
      <x:c r="Q109" s="21" t="str">
        <x:v>未检索到</x:v>
      </x:c>
      <x:c r="R109" s="21" t="str">
        <x:v>floors affected=1</x:v>
      </x:c>
      <x:c r="S109" s="21" t="str">
        <x:v>未检索到</x:v>
      </x:c>
      <x:c r="T109" s="42" t="n">
        <x:v>0</x:v>
      </x:c>
      <x:c r="U109" s="42" t="n">
        <x:v>0</x:v>
      </x:c>
      <x:c r="V109" s="42"/>
      <x:c r="W109" s="33" t="str">
        <x:v>C</x:v>
      </x:c>
      <x:c r="X109" s="33" t="str">
        <x:v>candidate_list_membership_needs_individual_height_source</x:v>
      </x:c>
      <x:c r="Y109" s="33" t="str">
        <x:v>候选待核实</x:v>
      </x:c>
      <x:c r="Z109" s="21" t="str">
        <x:v>listed in high-rise façade fire table; affected floors are not total building floors；aggregate list is not sufficient for final inclusion; floors affected must not be mistaken for total building floors</x:v>
      </x:c>
      <x:c r="AA109" s="21" t="str">
        <x:v>Wikipedia high-rise façade list; derived from Bonner et al./news (candidate discovery)</x:v>
      </x:c>
      <x:c r="AB109" s="21" t="str">
        <x:v>批量来源代理</x:v>
      </x:c>
      <x:c r="AC109" s="21" t="str"/>
      <x:c r="AD109" s="21" t="n">
        <x:v>1</x:v>
      </x:c>
      <x:c r="AE109" s="21" t="str">
        <x:v>未检查</x:v>
      </x:c>
      <x:c r="AF109" s="21" t="str"/>
      <x:c r="AG109" s="24" t="n">
        <x:v>46260</x:v>
      </x:c>
      <x:c r="AH109" s="21" t="str"/>
      <x:c r="AI109" s="21" t="n">
        <x:v>1</x:v>
      </x:c>
      <x:c r="AJ109" s="21" t="str">
        <x:v>未评估（本事件表不建立热浪因果关系）</x:v>
      </x:c>
      <x:c r="AK109" s="21" t="str">
        <x:v>缺失/待核实</x:v>
      </x:c>
    </x:row>
    <x:row r="110" ht="42" customHeight="1">
      <x:c r="A110" s="33" t="n">
        <x:v>109</x:v>
      </x:c>
      <x:c r="B110" s="33" t="str">
        <x:v>RAW-0109</x:v>
      </x:c>
      <x:c r="C110" s="36" t="str">
        <x:v>亚洲</x:v>
      </x:c>
      <x:c r="D110" s="36" t="str">
        <x:v>Thailand</x:v>
      </x:c>
      <x:c r="E110" s="21" t="str">
        <x:v>Bangkok</x:v>
      </x:c>
      <x:c r="F110" s="21" t="str">
        <x:v>Fico Place fire</x:v>
      </x:c>
      <x:c r="G110" s="39" t="n">
        <x:v>40971</x:v>
      </x:c>
      <x:c r="H110" s="21" t="str">
        <x:v>Two firemen injured</x:v>
      </x:c>
      <x:c r="I110" s="21" t="str">
        <x:v>未检索到/待核实</x:v>
      </x:c>
      <x:c r="J110" s="21" t="str">
        <x:v>Two firemen injured</x:v>
      </x:c>
      <x:c r="K110" s="21" t="str">
        <x:v>https://en.wikipedia.org/wiki/List_of_fires_in_high-rise_buildings</x:v>
      </x:c>
      <x:c r="L110" s="27" t="n">
        <x:v>13.75398</x:v>
      </x:c>
      <x:c r="M110" s="27" t="n">
        <x:v>100.50144</x:v>
      </x:c>
      <x:c r="N110" s="21" t="str">
        <x:v>城市代表点（来源明确说明不是火场坐标）</x:v>
      </x:c>
      <x:c r="O110" s="21" t="str">
        <x:v>高层建筑火灾</x:v>
      </x:c>
      <x:c r="P110" s="21" t="str">
        <x:v>未检索到</x:v>
      </x:c>
      <x:c r="Q110" s="21" t="str">
        <x:v>未检索到</x:v>
      </x:c>
      <x:c r="R110" s="21" t="str">
        <x:v>未检索到</x:v>
      </x:c>
      <x:c r="S110" s="21" t="str">
        <x:v>未检索到</x:v>
      </x:c>
      <x:c r="T110" s="42" t="n">
        <x:v>0</x:v>
      </x:c>
      <x:c r="U110" s="42"/>
      <x:c r="V110" s="42"/>
      <x:c r="W110" s="33" t="str">
        <x:v>C</x:v>
      </x:c>
      <x:c r="X110" s="33" t="str">
        <x:v>candidate_height_or_list_membership_needs_individual_source</x:v>
      </x:c>
      <x:c r="Y110" s="33" t="str">
        <x:v>候选待核实</x:v>
      </x:c>
      <x:c r="Z110" s="21" t="str">
        <x:v>listed in high-rise fire table；aggregate list is not sufficient for final inclusion; verify height/floors and event details with cited event or building source</x:v>
      </x:c>
      <x:c r="AA110" s="21" t="str">
        <x:v>Wikipedia dynamic high-rise list (candidate discovery)</x:v>
      </x:c>
      <x:c r="AB110" s="21" t="str">
        <x:v>批量来源代理</x:v>
      </x:c>
      <x:c r="AC110" s="21" t="str"/>
      <x:c r="AD110" s="21" t="n">
        <x:v>1</x:v>
      </x:c>
      <x:c r="AE110" s="21" t="str">
        <x:v>未检查</x:v>
      </x:c>
      <x:c r="AF110" s="21" t="str"/>
      <x:c r="AG110" s="24" t="n">
        <x:v>46260</x:v>
      </x:c>
      <x:c r="AH110" s="21" t="str"/>
      <x:c r="AI110" s="21" t="n">
        <x:v>1</x:v>
      </x:c>
      <x:c r="AJ110" s="21" t="str">
        <x:v>未评估（本事件表不建立热浪因果关系）</x:v>
      </x:c>
      <x:c r="AK110" s="21" t="str">
        <x:v>缺失/待核实</x:v>
      </x:c>
    </x:row>
    <x:row r="111" ht="42" customHeight="1">
      <x:c r="A111" s="33" t="n">
        <x:v>110</x:v>
      </x:c>
      <x:c r="B111" s="33" t="str">
        <x:v>RAW-0110</x:v>
      </x:c>
      <x:c r="C111" s="36" t="str">
        <x:v>欧洲</x:v>
      </x:c>
      <x:c r="D111" s="36" t="str">
        <x:v>Russia</x:v>
      </x:c>
      <x:c r="E111" s="21" t="str">
        <x:v>Moscow</x:v>
      </x:c>
      <x:c r="F111" s="21" t="str">
        <x:v>Federation Tower (East Tower) fire</x:v>
      </x:c>
      <x:c r="G111" s="39" t="n">
        <x:v>41001</x:v>
      </x:c>
      <x:c r="H111" s="21" t="str">
        <x:v>Occurred while the building was under construction</x:v>
      </x:c>
      <x:c r="I111" s="21" t="str">
        <x:v>未检索到/待核实</x:v>
      </x:c>
      <x:c r="J111" s="21" t="str">
        <x:v>Occurred while the building was under construction</x:v>
      </x:c>
      <x:c r="K111" s="21" t="str">
        <x:v>https://en.wikipedia.org/wiki/List_of_fires_in_high-rise_buildings</x:v>
      </x:c>
      <x:c r="L111" s="27" t="n">
        <x:v>55.75204</x:v>
      </x:c>
      <x:c r="M111" s="27" t="n">
        <x:v>37.61781</x:v>
      </x:c>
      <x:c r="N111" s="21" t="str">
        <x:v>城市代表点（来源明确说明不是火场坐标）</x:v>
      </x:c>
      <x:c r="O111" s="21" t="str">
        <x:v>高层建筑火灾</x:v>
      </x:c>
      <x:c r="P111" s="21" t="str">
        <x:v>under construction</x:v>
      </x:c>
      <x:c r="Q111" s="21" t="str">
        <x:v>450 m</x:v>
      </x:c>
      <x:c r="R111" s="21" t="str">
        <x:v>未检索到</x:v>
      </x:c>
      <x:c r="S111" s="21" t="str">
        <x:v>未检索到</x:v>
      </x:c>
      <x:c r="T111" s="42" t="n">
        <x:v>0</x:v>
      </x:c>
      <x:c r="U111" s="42"/>
      <x:c r="V111" s="42"/>
      <x:c r="W111" s="33" t="str">
        <x:v>C</x:v>
      </x:c>
      <x:c r="X111" s="33" t="str">
        <x:v>candidate_height_or_list_membership_needs_individual_source</x:v>
      </x:c>
      <x:c r="Y111" s="33" t="str">
        <x:v>候选待核实</x:v>
      </x:c>
      <x:c r="Z111" s="21" t="str">
        <x:v>height=450 m; listed in high-rise fire table；aggregate list is not sufficient for final inclusion; verify height/floors and event details with cited event or building source</x:v>
      </x:c>
      <x:c r="AA111" s="21" t="str">
        <x:v>Wikipedia dynamic high-rise list (candidate discovery)</x:v>
      </x:c>
      <x:c r="AB111" s="21" t="str">
        <x:v>批量来源代理</x:v>
      </x:c>
      <x:c r="AC111" s="21" t="str"/>
      <x:c r="AD111" s="21" t="n">
        <x:v>1</x:v>
      </x:c>
      <x:c r="AE111" s="21" t="str">
        <x:v>未检查</x:v>
      </x:c>
      <x:c r="AF111" s="21" t="str"/>
      <x:c r="AG111" s="24" t="n">
        <x:v>46260</x:v>
      </x:c>
      <x:c r="AH111" s="21" t="str"/>
      <x:c r="AI111" s="21" t="n">
        <x:v>1</x:v>
      </x:c>
      <x:c r="AJ111" s="21" t="str">
        <x:v>未评估（本事件表不建立热浪因果关系）</x:v>
      </x:c>
      <x:c r="AK111" s="21" t="str">
        <x:v>缺失/待核实</x:v>
      </x:c>
    </x:row>
    <x:row r="112" ht="42" customHeight="1">
      <x:c r="A112" s="33" t="n">
        <x:v>111</x:v>
      </x:c>
      <x:c r="B112" s="33" t="str">
        <x:v>RAW-0111</x:v>
      </x:c>
      <x:c r="C112" s="36" t="str">
        <x:v>亚洲</x:v>
      </x:c>
      <x:c r="D112" s="36" t="str">
        <x:v>United Arab Emirates</x:v>
      </x:c>
      <x:c r="E112" s="21" t="str">
        <x:v>Sharjah</x:v>
      </x:c>
      <x:c r="F112" s="21" t="str">
        <x:v>Al Tayer Tower fire</x:v>
      </x:c>
      <x:c r="G112" s="39" t="n">
        <x:v>41027</x:v>
      </x:c>
      <x:c r="H112" s="21" t="str">
        <x:v>High-rise façade fire; reported floors affected: 1.</x:v>
      </x:c>
      <x:c r="I112" s="21" t="str">
        <x:v>未检索到/待核实</x:v>
      </x:c>
      <x:c r="J112" s="21" t="str">
        <x:v>façade involved; floors affected=1</x:v>
      </x:c>
      <x:c r="K112" s="21" t="str">
        <x:v>https://en.wikipedia.org/wiki/List_of_high-rise_fa%C3%A7ade_fires</x:v>
      </x:c>
      <x:c r="L112" s="27" t="n">
        <x:v>25.3342</x:v>
      </x:c>
      <x:c r="M112" s="27" t="n">
        <x:v>55.41221</x:v>
      </x:c>
      <x:c r="N112" s="21" t="str">
        <x:v>城市代表点（来源明确说明不是火场坐标）</x:v>
      </x:c>
      <x:c r="O112" s="21" t="str">
        <x:v>高层建筑火灾</x:v>
      </x:c>
      <x:c r="P112" s="21" t="str">
        <x:v>未检索到</x:v>
      </x:c>
      <x:c r="Q112" s="21" t="str">
        <x:v>未检索到</x:v>
      </x:c>
      <x:c r="R112" s="21" t="str">
        <x:v>floors affected=1</x:v>
      </x:c>
      <x:c r="S112" s="21" t="str">
        <x:v>未检索到</x:v>
      </x:c>
      <x:c r="T112" s="42" t="n">
        <x:v>0</x:v>
      </x:c>
      <x:c r="U112" s="42" t="n">
        <x:v>0</x:v>
      </x:c>
      <x:c r="V112" s="42"/>
      <x:c r="W112" s="33" t="str">
        <x:v>C</x:v>
      </x:c>
      <x:c r="X112" s="33" t="str">
        <x:v>candidate_list_membership_needs_individual_height_source</x:v>
      </x:c>
      <x:c r="Y112" s="33" t="str">
        <x:v>候选待核实</x:v>
      </x:c>
      <x:c r="Z112" s="21" t="str">
        <x:v>listed in high-rise façade fire table; affected floors are not total building floors；aggregate list is not sufficient for final inclusion; floors affected must not be mistaken for total building floors</x:v>
      </x:c>
      <x:c r="AA112" s="21" t="str">
        <x:v>Wikipedia high-rise façade list; derived from Bonner et al./news (candidate discovery)</x:v>
      </x:c>
      <x:c r="AB112" s="21" t="str">
        <x:v>批量来源代理</x:v>
      </x:c>
      <x:c r="AC112" s="21" t="str"/>
      <x:c r="AD112" s="21" t="n">
        <x:v>1</x:v>
      </x:c>
      <x:c r="AE112" s="21" t="str">
        <x:v>未检查</x:v>
      </x:c>
      <x:c r="AF112" s="21" t="str"/>
      <x:c r="AG112" s="24" t="n">
        <x:v>46260</x:v>
      </x:c>
      <x:c r="AH112" s="21" t="str"/>
      <x:c r="AI112" s="21" t="n">
        <x:v>1</x:v>
      </x:c>
      <x:c r="AJ112" s="21" t="str">
        <x:v>未评估（本事件表不建立热浪因果关系）</x:v>
      </x:c>
      <x:c r="AK112" s="21" t="str">
        <x:v>缺失/待核实</x:v>
      </x:c>
    </x:row>
    <x:row r="113" ht="42" customHeight="1">
      <x:c r="A113" s="33" t="n">
        <x:v>112</x:v>
      </x:c>
      <x:c r="B113" s="33" t="str">
        <x:v>RAW-0112</x:v>
      </x:c>
      <x:c r="C113" s="36" t="str">
        <x:v>欧洲</x:v>
      </x:c>
      <x:c r="D113" s="36" t="str">
        <x:v>France</x:v>
      </x:c>
      <x:c r="E113" s="21" t="str">
        <x:v>Roubaix</x:v>
      </x:c>
      <x:c r="F113" s="21" t="str">
        <x:v>Mermoz Tower fire</x:v>
      </x:c>
      <x:c r="G113" s="39" t="n">
        <x:v>41043</x:v>
      </x:c>
      <x:c r="H113" s="21" t="str"/>
      <x:c r="I113" s="21" t="str">
        <x:v>未检索到/待核实</x:v>
      </x:c>
      <x:c r="J113" s="21" t="str"/>
      <x:c r="K113" s="21" t="str">
        <x:v>https://en.wikipedia.org/wiki/List_of_fires_in_high-rise_buildings</x:v>
      </x:c>
      <x:c r="L113" s="27" t="n">
        <x:v>50.69421</x:v>
      </x:c>
      <x:c r="M113" s="27" t="n">
        <x:v>3.17456</x:v>
      </x:c>
      <x:c r="N113" s="21" t="str">
        <x:v>城市代表点（来源明确说明不是火场坐标）</x:v>
      </x:c>
      <x:c r="O113" s="21" t="str">
        <x:v>高层建筑火灾</x:v>
      </x:c>
      <x:c r="P113" s="21" t="str">
        <x:v>未检索到</x:v>
      </x:c>
      <x:c r="Q113" s="21" t="str">
        <x:v>52.8 m</x:v>
      </x:c>
      <x:c r="R113" s="21" t="str">
        <x:v>未检索到</x:v>
      </x:c>
      <x:c r="S113" s="21" t="str">
        <x:v>未检索到</x:v>
      </x:c>
      <x:c r="T113" s="42" t="n">
        <x:v>0</x:v>
      </x:c>
      <x:c r="U113" s="42"/>
      <x:c r="V113" s="42"/>
      <x:c r="W113" s="33" t="str">
        <x:v>C</x:v>
      </x:c>
      <x:c r="X113" s="33" t="str">
        <x:v>candidate_height_or_list_membership_needs_individual_source</x:v>
      </x:c>
      <x:c r="Y113" s="33" t="str">
        <x:v>候选待核实</x:v>
      </x:c>
      <x:c r="Z113" s="21" t="str">
        <x:v>height=52.8 m; listed in high-rise fire table；aggregate list is not sufficient for final inclusion; verify height/floors and event details with cited event or building source</x:v>
      </x:c>
      <x:c r="AA113" s="21" t="str">
        <x:v>Wikipedia dynamic high-rise list (candidate discovery)</x:v>
      </x:c>
      <x:c r="AB113" s="21" t="str">
        <x:v>批量来源代理</x:v>
      </x:c>
      <x:c r="AC113" s="21" t="str"/>
      <x:c r="AD113" s="21" t="n">
        <x:v>1</x:v>
      </x:c>
      <x:c r="AE113" s="21" t="str">
        <x:v>未检查</x:v>
      </x:c>
      <x:c r="AF113" s="21" t="str"/>
      <x:c r="AG113" s="24" t="n">
        <x:v>46260</x:v>
      </x:c>
      <x:c r="AH113" s="21" t="str"/>
      <x:c r="AI113" s="21" t="n">
        <x:v>1</x:v>
      </x:c>
      <x:c r="AJ113" s="21" t="str">
        <x:v>未评估（本事件表不建立热浪因果关系）</x:v>
      </x:c>
      <x:c r="AK113" s="21" t="str">
        <x:v>缺失/待核实</x:v>
      </x:c>
    </x:row>
    <x:row r="114" ht="42" customHeight="1">
      <x:c r="A114" s="33" t="n">
        <x:v>113</x:v>
      </x:c>
      <x:c r="B114" s="33" t="str">
        <x:v>RAW-0113</x:v>
      </x:c>
      <x:c r="C114" s="36" t="str">
        <x:v>欧洲</x:v>
      </x:c>
      <x:c r="D114" s="36" t="str">
        <x:v>Turkey</x:v>
      </x:c>
      <x:c r="E114" s="21" t="str">
        <x:v>Istanbul</x:v>
      </x:c>
      <x:c r="F114" s="21" t="str">
        <x:v>Polat Tower Residence fire</x:v>
      </x:c>
      <x:c r="G114" s="39" t="n">
        <x:v>41107</x:v>
      </x:c>
      <x:c r="H114" s="21" t="str"/>
      <x:c r="I114" s="21" t="str">
        <x:v>未检索到/待核实</x:v>
      </x:c>
      <x:c r="J114" s="21" t="str"/>
      <x:c r="K114" s="21" t="str">
        <x:v>https://en.wikipedia.org/wiki/List_of_fires_in_high-rise_buildings</x:v>
      </x:c>
      <x:c r="L114" s="27"/>
      <x:c r="M114" s="27"/>
      <x:c r="N114" s="21" t="str">
        <x:v>未提供坐标</x:v>
      </x:c>
      <x:c r="O114" s="21" t="str">
        <x:v>高层建筑火灾</x:v>
      </x:c>
      <x:c r="P114" s="21" t="str">
        <x:v>未检索到</x:v>
      </x:c>
      <x:c r="Q114" s="21" t="str">
        <x:v>140 m</x:v>
      </x:c>
      <x:c r="R114" s="21" t="str">
        <x:v>未检索到</x:v>
      </x:c>
      <x:c r="S114" s="21" t="str">
        <x:v>未检索到</x:v>
      </x:c>
      <x:c r="T114" s="42" t="n">
        <x:v>0</x:v>
      </x:c>
      <x:c r="U114" s="42"/>
      <x:c r="V114" s="42"/>
      <x:c r="W114" s="33" t="str">
        <x:v>C</x:v>
      </x:c>
      <x:c r="X114" s="33" t="str">
        <x:v>candidate_height_or_list_membership_needs_individual_source</x:v>
      </x:c>
      <x:c r="Y114" s="33" t="str">
        <x:v>候选待核实</x:v>
      </x:c>
      <x:c r="Z114" s="21" t="str">
        <x:v>height=140 m; listed in high-rise fire table；aggregate list is not sufficient for final inclusion; verify height/floors and event details with cited event or building source</x:v>
      </x:c>
      <x:c r="AA114" s="21" t="str">
        <x:v>Wikipedia dynamic high-rise list (candidate discovery)</x:v>
      </x:c>
      <x:c r="AB114" s="21" t="str">
        <x:v>批量来源代理</x:v>
      </x:c>
      <x:c r="AC114" s="21" t="str"/>
      <x:c r="AD114" s="21" t="n">
        <x:v>1</x:v>
      </x:c>
      <x:c r="AE114" s="21" t="str">
        <x:v>未检查</x:v>
      </x:c>
      <x:c r="AF114" s="21" t="str"/>
      <x:c r="AG114" s="24" t="n">
        <x:v>46260</x:v>
      </x:c>
      <x:c r="AH114" s="21" t="str"/>
      <x:c r="AI114" s="21" t="n">
        <x:v>1</x:v>
      </x:c>
      <x:c r="AJ114" s="21" t="str">
        <x:v>未评估（本事件表不建立热浪因果关系）</x:v>
      </x:c>
      <x:c r="AK114" s="21" t="str">
        <x:v>缺失/待核实</x:v>
      </x:c>
    </x:row>
    <x:row r="115" ht="42" customHeight="1">
      <x:c r="A115" s="33" t="n">
        <x:v>114</x:v>
      </x:c>
      <x:c r="B115" s="33" t="str">
        <x:v>RAW-0114</x:v>
      </x:c>
      <x:c r="C115" s="36" t="str">
        <x:v>欧洲</x:v>
      </x:c>
      <x:c r="D115" s="36" t="str">
        <x:v>Turkey</x:v>
      </x:c>
      <x:c r="E115" s="21" t="str">
        <x:v>Istanbul</x:v>
      </x:c>
      <x:c r="F115" s="21" t="str">
        <x:v>Polat Tower fire</x:v>
      </x:c>
      <x:c r="G115" s="39" t="n">
        <x:v>41107</x:v>
      </x:c>
      <x:c r="H115" s="21" t="str">
        <x:v>High-rise façade fire; reported floors affected: 1.</x:v>
      </x:c>
      <x:c r="I115" s="21" t="str">
        <x:v>未检索到/待核实</x:v>
      </x:c>
      <x:c r="J115" s="21" t="str">
        <x:v>façade involved; floors affected=1</x:v>
      </x:c>
      <x:c r="K115" s="21" t="str">
        <x:v>https://en.wikipedia.org/wiki/List_of_high-rise_fa%C3%A7ade_fires</x:v>
      </x:c>
      <x:c r="L115" s="27"/>
      <x:c r="M115" s="27"/>
      <x:c r="N115" s="21" t="str">
        <x:v>未提供坐标</x:v>
      </x:c>
      <x:c r="O115" s="21" t="str">
        <x:v>高层建筑火灾</x:v>
      </x:c>
      <x:c r="P115" s="21" t="str">
        <x:v>未检索到</x:v>
      </x:c>
      <x:c r="Q115" s="21" t="str">
        <x:v>未检索到</x:v>
      </x:c>
      <x:c r="R115" s="21" t="str">
        <x:v>floors affected=1</x:v>
      </x:c>
      <x:c r="S115" s="21" t="str">
        <x:v>未检索到</x:v>
      </x:c>
      <x:c r="T115" s="42" t="n">
        <x:v>0</x:v>
      </x:c>
      <x:c r="U115" s="42" t="n">
        <x:v>0</x:v>
      </x:c>
      <x:c r="V115" s="42"/>
      <x:c r="W115" s="33" t="str">
        <x:v>C</x:v>
      </x:c>
      <x:c r="X115" s="33" t="str">
        <x:v>candidate_list_membership_needs_individual_height_source</x:v>
      </x:c>
      <x:c r="Y115" s="33" t="str">
        <x:v>候选待核实</x:v>
      </x:c>
      <x:c r="Z115" s="21" t="str">
        <x:v>listed in high-rise façade fire table; affected floors are not total building floors；aggregate list is not sufficient for final inclusion; floors affected must not be mistaken for total building floors</x:v>
      </x:c>
      <x:c r="AA115" s="21" t="str">
        <x:v>Wikipedia high-rise façade list; derived from Bonner et al./news (candidate discovery)</x:v>
      </x:c>
      <x:c r="AB115" s="21" t="str">
        <x:v>批量来源代理</x:v>
      </x:c>
      <x:c r="AC115" s="21" t="str"/>
      <x:c r="AD115" s="21" t="n">
        <x:v>1</x:v>
      </x:c>
      <x:c r="AE115" s="21" t="str">
        <x:v>未检查</x:v>
      </x:c>
      <x:c r="AF115" s="21" t="str"/>
      <x:c r="AG115" s="24" t="n">
        <x:v>46260</x:v>
      </x:c>
      <x:c r="AH115" s="21" t="str"/>
      <x:c r="AI115" s="21" t="n">
        <x:v>1</x:v>
      </x:c>
      <x:c r="AJ115" s="21" t="str">
        <x:v>未评估（本事件表不建立热浪因果关系）</x:v>
      </x:c>
      <x:c r="AK115" s="21" t="str">
        <x:v>缺失/待核实</x:v>
      </x:c>
    </x:row>
    <x:row r="116" ht="42" customHeight="1">
      <x:c r="A116" s="33" t="n">
        <x:v>115</x:v>
      </x:c>
      <x:c r="B116" s="33" t="str">
        <x:v>RAW-0115</x:v>
      </x:c>
      <x:c r="C116" s="36" t="str">
        <x:v>亚洲</x:v>
      </x:c>
      <x:c r="D116" s="36" t="str">
        <x:v>United Arab Emirates</x:v>
      </x:c>
      <x:c r="E116" s="21" t="str">
        <x:v>Dubai</x:v>
      </x:c>
      <x:c r="F116" s="21" t="str">
        <x:v>Saif Belhasa Building fire</x:v>
      </x:c>
      <x:c r="G116" s="39" t="n">
        <x:v>41188</x:v>
      </x:c>
      <x:c r="H116" s="21" t="str">
        <x:v>High-rise façade fire; reported floors affected: 9.</x:v>
      </x:c>
      <x:c r="I116" s="21" t="str">
        <x:v>未检索到/待核实</x:v>
      </x:c>
      <x:c r="J116" s="21" t="str">
        <x:v>façade involved; floors affected=9</x:v>
      </x:c>
      <x:c r="K116" s="21" t="str">
        <x:v>https://en.wikipedia.org/wiki/List_of_high-rise_fa%C3%A7ade_fires</x:v>
      </x:c>
      <x:c r="L116" s="27" t="n">
        <x:v>25.07725</x:v>
      </x:c>
      <x:c r="M116" s="27" t="n">
        <x:v>55.30927</x:v>
      </x:c>
      <x:c r="N116" s="21" t="str">
        <x:v>城市代表点（来源明确说明不是火场坐标）</x:v>
      </x:c>
      <x:c r="O116" s="21" t="str">
        <x:v>高层建筑火灾</x:v>
      </x:c>
      <x:c r="P116" s="21" t="str">
        <x:v>未检索到</x:v>
      </x:c>
      <x:c r="Q116" s="21" t="str">
        <x:v>未检索到</x:v>
      </x:c>
      <x:c r="R116" s="21" t="str">
        <x:v>floors affected=9</x:v>
      </x:c>
      <x:c r="S116" s="21" t="str">
        <x:v>未检索到</x:v>
      </x:c>
      <x:c r="T116" s="42" t="n">
        <x:v>0</x:v>
      </x:c>
      <x:c r="U116" s="42" t="n">
        <x:v>2</x:v>
      </x:c>
      <x:c r="V116" s="42"/>
      <x:c r="W116" s="33" t="str">
        <x:v>C</x:v>
      </x:c>
      <x:c r="X116" s="33" t="str">
        <x:v>candidate_list_membership_needs_individual_height_source</x:v>
      </x:c>
      <x:c r="Y116" s="33" t="str">
        <x:v>候选待核实</x:v>
      </x:c>
      <x:c r="Z116" s="21" t="str">
        <x:v>listed in high-rise façade fire table; affected floors are not total building floors；aggregate list is not sufficient for final inclusion; floors affected must not be mistaken for total building floors</x:v>
      </x:c>
      <x:c r="AA116" s="21" t="str">
        <x:v>Wikipedia high-rise façade list; derived from Bonner et al./news (candidate discovery)</x:v>
      </x:c>
      <x:c r="AB116" s="21" t="str">
        <x:v>批量来源代理</x:v>
      </x:c>
      <x:c r="AC116" s="21" t="str"/>
      <x:c r="AD116" s="21" t="n">
        <x:v>1</x:v>
      </x:c>
      <x:c r="AE116" s="21" t="str">
        <x:v>未检查</x:v>
      </x:c>
      <x:c r="AF116" s="21" t="str"/>
      <x:c r="AG116" s="24" t="n">
        <x:v>46260</x:v>
      </x:c>
      <x:c r="AH116" s="21" t="str"/>
      <x:c r="AI116" s="21" t="n">
        <x:v>1</x:v>
      </x:c>
      <x:c r="AJ116" s="21" t="str">
        <x:v>未评估（本事件表不建立热浪因果关系）</x:v>
      </x:c>
      <x:c r="AK116" s="21" t="str">
        <x:v>缺失/待核实</x:v>
      </x:c>
    </x:row>
    <x:row r="117" ht="42" customHeight="1">
      <x:c r="A117" s="33" t="n">
        <x:v>116</x:v>
      </x:c>
      <x:c r="B117" s="33" t="str">
        <x:v>RAW-0116</x:v>
      </x:c>
      <x:c r="C117" s="36" t="str">
        <x:v>亚洲</x:v>
      </x:c>
      <x:c r="D117" s="36" t="str">
        <x:v>United Arab Emirates</x:v>
      </x:c>
      <x:c r="E117" s="21" t="str">
        <x:v>Dubai</x:v>
      </x:c>
      <x:c r="F117" s="21" t="str">
        <x:v>Tamweel Tower fire</x:v>
      </x:c>
      <x:c r="G117" s="39" t="n">
        <x:v>41231</x:v>
      </x:c>
      <x:c r="H117" s="21" t="str">
        <x:v>High-rise façade fire; reported floors affected: 1.</x:v>
      </x:c>
      <x:c r="I117" s="21" t="str">
        <x:v>未检索到/待核实</x:v>
      </x:c>
      <x:c r="J117" s="21" t="str">
        <x:v>façade involved; floors affected=1</x:v>
      </x:c>
      <x:c r="K117" s="21" t="str">
        <x:v>https://en.wikipedia.org/wiki/List_of_high-rise_fa%C3%A7ade_fires</x:v>
      </x:c>
      <x:c r="L117" s="27" t="n">
        <x:v>25.07725</x:v>
      </x:c>
      <x:c r="M117" s="27" t="n">
        <x:v>55.30927</x:v>
      </x:c>
      <x:c r="N117" s="21" t="str">
        <x:v>城市代表点（来源明确说明不是火场坐标）</x:v>
      </x:c>
      <x:c r="O117" s="21" t="str">
        <x:v>高层建筑火灾</x:v>
      </x:c>
      <x:c r="P117" s="21" t="str">
        <x:v>未检索到</x:v>
      </x:c>
      <x:c r="Q117" s="21" t="str">
        <x:v>未检索到</x:v>
      </x:c>
      <x:c r="R117" s="21" t="str">
        <x:v>floors affected=1</x:v>
      </x:c>
      <x:c r="S117" s="21" t="str">
        <x:v>未检索到</x:v>
      </x:c>
      <x:c r="T117" s="42" t="n">
        <x:v>0</x:v>
      </x:c>
      <x:c r="U117" s="42" t="n">
        <x:v>0</x:v>
      </x:c>
      <x:c r="V117" s="42"/>
      <x:c r="W117" s="33" t="str">
        <x:v>C</x:v>
      </x:c>
      <x:c r="X117" s="33" t="str">
        <x:v>candidate_list_membership_needs_individual_height_source</x:v>
      </x:c>
      <x:c r="Y117" s="33" t="str">
        <x:v>候选待核实</x:v>
      </x:c>
      <x:c r="Z117" s="21" t="str">
        <x:v>listed in high-rise façade fire table; affected floors are not total building floors；aggregate list is not sufficient for final inclusion; floors affected must not be mistaken for total building floors</x:v>
      </x:c>
      <x:c r="AA117" s="21" t="str">
        <x:v>Wikipedia high-rise façade list; derived from Bonner et al./news (candidate discovery)</x:v>
      </x:c>
      <x:c r="AB117" s="21" t="str">
        <x:v>批量来源代理</x:v>
      </x:c>
      <x:c r="AC117" s="21" t="str"/>
      <x:c r="AD117" s="21" t="n">
        <x:v>1</x:v>
      </x:c>
      <x:c r="AE117" s="21" t="str">
        <x:v>未检查</x:v>
      </x:c>
      <x:c r="AF117" s="21" t="str"/>
      <x:c r="AG117" s="24" t="n">
        <x:v>46260</x:v>
      </x:c>
      <x:c r="AH117" s="21" t="str"/>
      <x:c r="AI117" s="21" t="n">
        <x:v>1</x:v>
      </x:c>
      <x:c r="AJ117" s="21" t="str">
        <x:v>未评估（本事件表不建立热浪因果关系）</x:v>
      </x:c>
      <x:c r="AK117" s="21" t="str">
        <x:v>缺失/待核实</x:v>
      </x:c>
    </x:row>
    <x:row r="118" ht="42" customHeight="1">
      <x:c r="A118" s="33" t="n">
        <x:v>117</x:v>
      </x:c>
      <x:c r="B118" s="33" t="str">
        <x:v>RAW-0117</x:v>
      </x:c>
      <x:c r="C118" s="36" t="str">
        <x:v>欧洲</x:v>
      </x:c>
      <x:c r="D118" s="36" t="str">
        <x:v>Russia</x:v>
      </x:c>
      <x:c r="E118" s="21" t="str">
        <x:v>Moscow</x:v>
      </x:c>
      <x:c r="F118" s="21" t="str">
        <x:v>Oko Tower 1 fire</x:v>
      </x:c>
      <x:c r="G118" s="39" t="n">
        <x:v>41299</x:v>
      </x:c>
      <x:c r="H118" s="21" t="str">
        <x:v>Fire occurred on 24th floor during construction, one worker was injured.</x:v>
      </x:c>
      <x:c r="I118" s="21" t="str">
        <x:v>未检索到/待核实</x:v>
      </x:c>
      <x:c r="J118" s="21" t="str">
        <x:v>Fire occurred on 24th floor during construction, one worker was injured.</x:v>
      </x:c>
      <x:c r="K118" s="21" t="str">
        <x:v>https://en.wikipedia.org/wiki/List_of_fires_in_high-rise_buildings</x:v>
      </x:c>
      <x:c r="L118" s="27" t="n">
        <x:v>55.75204</x:v>
      </x:c>
      <x:c r="M118" s="27" t="n">
        <x:v>37.61781</x:v>
      </x:c>
      <x:c r="N118" s="21" t="str">
        <x:v>城市代表点（来源明确说明不是火场坐标）</x:v>
      </x:c>
      <x:c r="O118" s="21" t="str">
        <x:v>高层建筑火灾</x:v>
      </x:c>
      <x:c r="P118" s="21" t="str">
        <x:v>未检索到</x:v>
      </x:c>
      <x:c r="Q118" s="21" t="str">
        <x:v>354.1 m</x:v>
      </x:c>
      <x:c r="R118" s="21" t="str">
        <x:v>未检索到</x:v>
      </x:c>
      <x:c r="S118" s="21" t="str">
        <x:v>未检索到</x:v>
      </x:c>
      <x:c r="T118" s="42" t="n">
        <x:v>0</x:v>
      </x:c>
      <x:c r="U118" s="42"/>
      <x:c r="V118" s="42"/>
      <x:c r="W118" s="33" t="str">
        <x:v>C</x:v>
      </x:c>
      <x:c r="X118" s="33" t="str">
        <x:v>candidate_height_or_list_membership_needs_individual_source</x:v>
      </x:c>
      <x:c r="Y118" s="33" t="str">
        <x:v>候选待核实</x:v>
      </x:c>
      <x:c r="Z118" s="21" t="str">
        <x:v>height=354.1 m; listed in high-rise fire table；aggregate list is not sufficient for final inclusion; verify height/floors and event details with cited event or building source</x:v>
      </x:c>
      <x:c r="AA118" s="21" t="str">
        <x:v>Wikipedia dynamic high-rise list (candidate discovery)</x:v>
      </x:c>
      <x:c r="AB118" s="21" t="str">
        <x:v>批量来源代理</x:v>
      </x:c>
      <x:c r="AC118" s="21" t="str"/>
      <x:c r="AD118" s="21" t="n">
        <x:v>1</x:v>
      </x:c>
      <x:c r="AE118" s="21" t="str">
        <x:v>未检查</x:v>
      </x:c>
      <x:c r="AF118" s="21" t="str"/>
      <x:c r="AG118" s="24" t="n">
        <x:v>46260</x:v>
      </x:c>
      <x:c r="AH118" s="21" t="str"/>
      <x:c r="AI118" s="21" t="n">
        <x:v>1</x:v>
      </x:c>
      <x:c r="AJ118" s="21" t="str">
        <x:v>未评估（本事件表不建立热浪因果关系）</x:v>
      </x:c>
      <x:c r="AK118" s="21" t="str">
        <x:v>缺失/待核实</x:v>
      </x:c>
    </x:row>
    <x:row r="119" ht="42" customHeight="1">
      <x:c r="A119" s="33" t="n">
        <x:v>118</x:v>
      </x:c>
      <x:c r="B119" s="33" t="str">
        <x:v>RAW-0118</x:v>
      </x:c>
      <x:c r="C119" s="36" t="str">
        <x:v>北美洲</x:v>
      </x:c>
      <x:c r="D119" s="36" t="str">
        <x:v>Mexico</x:v>
      </x:c>
      <x:c r="E119" s="21" t="str">
        <x:v>Mexico City</x:v>
      </x:c>
      <x:c r="F119" s="21" t="str">
        <x:v>Torre Ejecutiva Pemex Tower fire</x:v>
      </x:c>
      <x:c r="G119" s="39" t="n">
        <x:v>41305</x:v>
      </x:c>
      <x:c r="H119" s="21" t="str">
        <x:v>Gas explosion affecting the main building's 14-story annex Torre Ejecutiva Pemex explosion</x:v>
      </x:c>
      <x:c r="I119" s="21" t="str">
        <x:v>gas explosion</x:v>
      </x:c>
      <x:c r="J119" s="21" t="str">
        <x:v>Gas explosion affecting the main building's 14-story annex Torre Ejecutiva Pemex explosion</x:v>
      </x:c>
      <x:c r="K119" s="21" t="str">
        <x:v>https://en.wikipedia.org/wiki/List_of_fires_in_high-rise_buildings</x:v>
      </x:c>
      <x:c r="L119" s="27" t="n">
        <x:v>19.42847</x:v>
      </x:c>
      <x:c r="M119" s="27" t="n">
        <x:v>-99.12766</x:v>
      </x:c>
      <x:c r="N119" s="21" t="str">
        <x:v>城市代表点（来源明确说明不是火场坐标）</x:v>
      </x:c>
      <x:c r="O119" s="21" t="str">
        <x:v>高层建筑火灾</x:v>
      </x:c>
      <x:c r="P119" s="21" t="str">
        <x:v>未检索到</x:v>
      </x:c>
      <x:c r="Q119" s="21" t="str">
        <x:v>14 floors; 214 m</x:v>
      </x:c>
      <x:c r="R119" s="21" t="str">
        <x:v>未检索到</x:v>
      </x:c>
      <x:c r="S119" s="21" t="str">
        <x:v>未检索到</x:v>
      </x:c>
      <x:c r="T119" s="42" t="n">
        <x:v>33</x:v>
      </x:c>
      <x:c r="U119" s="42"/>
      <x:c r="V119" s="42"/>
      <x:c r="W119" s="33" t="str">
        <x:v>C</x:v>
      </x:c>
      <x:c r="X119" s="33" t="str">
        <x:v>candidate_height_or_list_membership_needs_individual_source</x:v>
      </x:c>
      <x:c r="Y119" s="33" t="str">
        <x:v>候选待核实</x:v>
      </x:c>
      <x:c r="Z119" s="21" t="str">
        <x:v>height=214 m; floors=14; listed in high-rise fire table；aggregate list is not sufficient for final inclusion; verify height/floors and event details with cited event or building source</x:v>
      </x:c>
      <x:c r="AA119" s="21" t="str">
        <x:v>Wikipedia dynamic high-rise list (candidate discovery)</x:v>
      </x:c>
      <x:c r="AB119" s="21" t="str">
        <x:v>批量来源代理</x:v>
      </x:c>
      <x:c r="AC119" s="21" t="str"/>
      <x:c r="AD119" s="21" t="n">
        <x:v>1</x:v>
      </x:c>
      <x:c r="AE119" s="21" t="str">
        <x:v>未检查</x:v>
      </x:c>
      <x:c r="AF119" s="21" t="str"/>
      <x:c r="AG119" s="24" t="n">
        <x:v>46260</x:v>
      </x:c>
      <x:c r="AH119" s="21" t="str"/>
      <x:c r="AI119" s="21" t="n">
        <x:v>1</x:v>
      </x:c>
      <x:c r="AJ119" s="21" t="str">
        <x:v>未评估（本事件表不建立热浪因果关系）</x:v>
      </x:c>
      <x:c r="AK119" s="21" t="str">
        <x:v>已有来源描述</x:v>
      </x:c>
    </x:row>
    <x:row r="120" ht="42" customHeight="1">
      <x:c r="A120" s="33" t="n">
        <x:v>119</x:v>
      </x:c>
      <x:c r="B120" s="33" t="str">
        <x:v>RAW-0119</x:v>
      </x:c>
      <x:c r="C120" s="36" t="str">
        <x:v>亚洲</x:v>
      </x:c>
      <x:c r="D120" s="36" t="str">
        <x:v>China</x:v>
      </x:c>
      <x:c r="E120" s="21" t="str">
        <x:v>Guangzhou</x:v>
      </x:c>
      <x:c r="F120" s="21" t="str">
        <x:v>Guangzhou Jianye Building Fire</x:v>
      </x:c>
      <x:c r="G120" s="39" t="n">
        <x:v>41367</x:v>
      </x:c>
      <x:c r="H120" s="21" t="str"/>
      <x:c r="I120" s="21" t="str">
        <x:v>未检索到/待核实</x:v>
      </x:c>
      <x:c r="J120" s="21" t="str"/>
      <x:c r="K120" s="21" t="str">
        <x:v>https://en.wikipedia.org/wiki/List_of_fires_in_high-rise_buildings</x:v>
      </x:c>
      <x:c r="L120" s="27" t="n">
        <x:v>23.11667</x:v>
      </x:c>
      <x:c r="M120" s="27" t="n">
        <x:v>113.25</x:v>
      </x:c>
      <x:c r="N120" s="21" t="str">
        <x:v>城市代表点（来源明确说明不是火场坐标）</x:v>
      </x:c>
      <x:c r="O120" s="21" t="str">
        <x:v>高层建筑火灾</x:v>
      </x:c>
      <x:c r="P120" s="21" t="str">
        <x:v>未检索到</x:v>
      </x:c>
      <x:c r="Q120" s="21" t="str">
        <x:v>未检索到</x:v>
      </x:c>
      <x:c r="R120" s="21" t="str">
        <x:v>未检索到</x:v>
      </x:c>
      <x:c r="S120" s="21" t="str">
        <x:v>未检索到</x:v>
      </x:c>
      <x:c r="T120" s="42" t="n">
        <x:v>0</x:v>
      </x:c>
      <x:c r="U120" s="42"/>
      <x:c r="V120" s="42"/>
      <x:c r="W120" s="33" t="str">
        <x:v>C</x:v>
      </x:c>
      <x:c r="X120" s="33" t="str">
        <x:v>candidate_height_or_list_membership_needs_individual_source</x:v>
      </x:c>
      <x:c r="Y120" s="33" t="str">
        <x:v>候选待核实</x:v>
      </x:c>
      <x:c r="Z120" s="21" t="str">
        <x:v>listed in high-rise fire table；aggregate list is not sufficient for final inclusion; verify height/floors and event details with cited event or building source</x:v>
      </x:c>
      <x:c r="AA120" s="21" t="str">
        <x:v>Wikipedia dynamic high-rise list (candidate discovery)</x:v>
      </x:c>
      <x:c r="AB120" s="21" t="str">
        <x:v>批量来源代理</x:v>
      </x:c>
      <x:c r="AC120" s="21" t="str"/>
      <x:c r="AD120" s="21" t="n">
        <x:v>1</x:v>
      </x:c>
      <x:c r="AE120" s="21" t="str">
        <x:v>未检查</x:v>
      </x:c>
      <x:c r="AF120" s="21" t="str"/>
      <x:c r="AG120" s="24" t="n">
        <x:v>46260</x:v>
      </x:c>
      <x:c r="AH120" s="21" t="str"/>
      <x:c r="AI120" s="21" t="n">
        <x:v>1</x:v>
      </x:c>
      <x:c r="AJ120" s="21" t="str">
        <x:v>未评估（本事件表不建立热浪因果关系）</x:v>
      </x:c>
      <x:c r="AK120" s="21" t="str">
        <x:v>缺失/待核实</x:v>
      </x:c>
    </x:row>
    <x:row r="121" ht="42" customHeight="1">
      <x:c r="A121" s="33" t="n">
        <x:v>120</x:v>
      </x:c>
      <x:c r="B121" s="33" t="str">
        <x:v>RAW-0120</x:v>
      </x:c>
      <x:c r="C121" s="36" t="str">
        <x:v>欧洲</x:v>
      </x:c>
      <x:c r="D121" s="36" t="str">
        <x:v>Russia</x:v>
      </x:c>
      <x:c r="E121" s="21" t="str">
        <x:v>Grozny</x:v>
      </x:c>
      <x:c r="F121" s="21" t="str">
        <x:v>Grozny-City Towers fire</x:v>
      </x:c>
      <x:c r="G121" s="39" t="n">
        <x:v>41367</x:v>
      </x:c>
      <x:c r="H121" s="21" t="str">
        <x:v>[citation needed]</x:v>
      </x:c>
      <x:c r="I121" s="21" t="str">
        <x:v>未检索到/待核实</x:v>
      </x:c>
      <x:c r="J121" s="21" t="str">
        <x:v>[citation needed]</x:v>
      </x:c>
      <x:c r="K121" s="21" t="str">
        <x:v>https://en.wikipedia.org/wiki/List_of_fires_in_high-rise_buildings</x:v>
      </x:c>
      <x:c r="L121" s="27" t="n">
        <x:v>43.31195</x:v>
      </x:c>
      <x:c r="M121" s="27" t="n">
        <x:v>45.68895</x:v>
      </x:c>
      <x:c r="N121" s="21" t="str">
        <x:v>城市代表点（来源明确说明不是火场坐标）</x:v>
      </x:c>
      <x:c r="O121" s="21" t="str">
        <x:v>高层建筑火灾</x:v>
      </x:c>
      <x:c r="P121" s="21" t="str">
        <x:v>未检索到</x:v>
      </x:c>
      <x:c r="Q121" s="21" t="str">
        <x:v>150 m</x:v>
      </x:c>
      <x:c r="R121" s="21" t="str">
        <x:v>未检索到</x:v>
      </x:c>
      <x:c r="S121" s="21" t="str">
        <x:v>未检索到</x:v>
      </x:c>
      <x:c r="T121" s="42" t="n">
        <x:v>0</x:v>
      </x:c>
      <x:c r="U121" s="42"/>
      <x:c r="V121" s="42"/>
      <x:c r="W121" s="33" t="str">
        <x:v>C</x:v>
      </x:c>
      <x:c r="X121" s="33" t="str">
        <x:v>candidate_height_or_list_membership_needs_individual_source</x:v>
      </x:c>
      <x:c r="Y121" s="33" t="str">
        <x:v>候选待核实</x:v>
      </x:c>
      <x:c r="Z121" s="21" t="str">
        <x:v>height=150 m; listed in high-rise fire table；aggregate list is not sufficient for final inclusion; verify height/floors and event details with cited event or building source</x:v>
      </x:c>
      <x:c r="AA121" s="21" t="str">
        <x:v>Wikipedia dynamic high-rise list (candidate discovery)</x:v>
      </x:c>
      <x:c r="AB121" s="21" t="str">
        <x:v>批量来源代理</x:v>
      </x:c>
      <x:c r="AC121" s="21" t="str"/>
      <x:c r="AD121" s="21" t="n">
        <x:v>1</x:v>
      </x:c>
      <x:c r="AE121" s="21" t="str">
        <x:v>未检查</x:v>
      </x:c>
      <x:c r="AF121" s="21" t="str"/>
      <x:c r="AG121" s="24" t="n">
        <x:v>46260</x:v>
      </x:c>
      <x:c r="AH121" s="21" t="str"/>
      <x:c r="AI121" s="21" t="n">
        <x:v>1</x:v>
      </x:c>
      <x:c r="AJ121" s="21" t="str">
        <x:v>未评估（本事件表不建立热浪因果关系）</x:v>
      </x:c>
      <x:c r="AK121" s="21" t="str">
        <x:v>缺失/待核实</x:v>
      </x:c>
    </x:row>
    <x:row r="122" ht="42" customHeight="1">
      <x:c r="A122" s="33" t="n">
        <x:v>121</x:v>
      </x:c>
      <x:c r="B122" s="33" t="str">
        <x:v>RAW-0121</x:v>
      </x:c>
      <x:c r="C122" s="36" t="str">
        <x:v>亚洲</x:v>
      </x:c>
      <x:c r="D122" s="36" t="str">
        <x:v>United Arab Emirates</x:v>
      </x:c>
      <x:c r="E122" s="21" t="str">
        <x:v>Sharjah</x:v>
      </x:c>
      <x:c r="F122" s="21" t="str">
        <x:v>Al Hafeet Tower 2 fire</x:v>
      </x:c>
      <x:c r="G122" s="39" t="n">
        <x:v>41386</x:v>
      </x:c>
      <x:c r="H122" s="21" t="str">
        <x:v>High-rise façade fire; reported floors affected: 10.</x:v>
      </x:c>
      <x:c r="I122" s="21" t="str">
        <x:v>未检索到/待核实</x:v>
      </x:c>
      <x:c r="J122" s="21" t="str">
        <x:v>façade involved; floors affected=10</x:v>
      </x:c>
      <x:c r="K122" s="21" t="str">
        <x:v>https://en.wikipedia.org/wiki/List_of_high-rise_fa%C3%A7ade_fires</x:v>
      </x:c>
      <x:c r="L122" s="27" t="n">
        <x:v>25.3342</x:v>
      </x:c>
      <x:c r="M122" s="27" t="n">
        <x:v>55.41221</x:v>
      </x:c>
      <x:c r="N122" s="21" t="str">
        <x:v>城市代表点（来源明确说明不是火场坐标）</x:v>
      </x:c>
      <x:c r="O122" s="21" t="str">
        <x:v>高层建筑火灾</x:v>
      </x:c>
      <x:c r="P122" s="21" t="str">
        <x:v>未检索到</x:v>
      </x:c>
      <x:c r="Q122" s="21" t="str">
        <x:v>未检索到</x:v>
      </x:c>
      <x:c r="R122" s="21" t="str">
        <x:v>floors affected=10</x:v>
      </x:c>
      <x:c r="S122" s="21" t="str">
        <x:v>未检索到</x:v>
      </x:c>
      <x:c r="T122" s="42" t="n">
        <x:v>0</x:v>
      </x:c>
      <x:c r="U122" s="42" t="n">
        <x:v>0</x:v>
      </x:c>
      <x:c r="V122" s="42"/>
      <x:c r="W122" s="33" t="str">
        <x:v>C</x:v>
      </x:c>
      <x:c r="X122" s="33" t="str">
        <x:v>candidate_list_membership_needs_individual_height_source</x:v>
      </x:c>
      <x:c r="Y122" s="33" t="str">
        <x:v>候选待核实</x:v>
      </x:c>
      <x:c r="Z122" s="21" t="str">
        <x:v>listed in high-rise façade fire table; affected floors are not total building floors；aggregate list is not sufficient for final inclusion; floors affected must not be mistaken for total building floors</x:v>
      </x:c>
      <x:c r="AA122" s="21" t="str">
        <x:v>Wikipedia high-rise façade list; derived from Bonner et al./news (candidate discovery)</x:v>
      </x:c>
      <x:c r="AB122" s="21" t="str">
        <x:v>批量来源代理</x:v>
      </x:c>
      <x:c r="AC122" s="21" t="str"/>
      <x:c r="AD122" s="21" t="n">
        <x:v>1</x:v>
      </x:c>
      <x:c r="AE122" s="21" t="str">
        <x:v>未检查</x:v>
      </x:c>
      <x:c r="AF122" s="21" t="str"/>
      <x:c r="AG122" s="24" t="n">
        <x:v>46260</x:v>
      </x:c>
      <x:c r="AH122" s="21" t="str"/>
      <x:c r="AI122" s="21" t="n">
        <x:v>1</x:v>
      </x:c>
      <x:c r="AJ122" s="21" t="str">
        <x:v>未评估（本事件表不建立热浪因果关系）</x:v>
      </x:c>
      <x:c r="AK122" s="21" t="str">
        <x:v>缺失/待核实</x:v>
      </x:c>
    </x:row>
    <x:row r="123" ht="42" customHeight="1">
      <x:c r="A123" s="33" t="n">
        <x:v>122</x:v>
      </x:c>
      <x:c r="B123" s="33" t="str">
        <x:v>RAW-0122</x:v>
      </x:c>
      <x:c r="C123" s="36" t="str">
        <x:v>北美洲</x:v>
      </x:c>
      <x:c r="D123" s="36" t="str">
        <x:v>United States</x:v>
      </x:c>
      <x:c r="E123" s="21" t="str">
        <x:v>New York City</x:v>
      </x:c>
      <x:c r="F123" s="21" t="str">
        <x:v>The Strand fire</x:v>
      </x:c>
      <x:c r="G123" s="39" t="n">
        <x:v>41644</x:v>
      </x:c>
      <x:c r="H123" s="21" t="str"/>
      <x:c r="I123" s="21" t="str">
        <x:v>未检索到/待核实</x:v>
      </x:c>
      <x:c r="J123" s="21" t="str"/>
      <x:c r="K123" s="21" t="str">
        <x:v>https://en.wikipedia.org/wiki/List_of_fires_in_high-rise_buildings</x:v>
      </x:c>
      <x:c r="L123" s="27" t="n">
        <x:v>40.71427</x:v>
      </x:c>
      <x:c r="M123" s="27" t="n">
        <x:v>-74.00597</x:v>
      </x:c>
      <x:c r="N123" s="21" t="str">
        <x:v>城市代表点（来源明确说明不是火场坐标）</x:v>
      </x:c>
      <x:c r="O123" s="21" t="str">
        <x:v>高层建筑火灾</x:v>
      </x:c>
      <x:c r="P123" s="21" t="str">
        <x:v>未检索到</x:v>
      </x:c>
      <x:c r="Q123" s="21" t="str">
        <x:v>未检索到</x:v>
      </x:c>
      <x:c r="R123" s="21" t="str">
        <x:v>未检索到</x:v>
      </x:c>
      <x:c r="S123" s="21" t="str">
        <x:v>未检索到</x:v>
      </x:c>
      <x:c r="T123" s="42" t="n">
        <x:v>1</x:v>
      </x:c>
      <x:c r="U123" s="42"/>
      <x:c r="V123" s="42"/>
      <x:c r="W123" s="33" t="str">
        <x:v>C</x:v>
      </x:c>
      <x:c r="X123" s="33" t="str">
        <x:v>candidate_height_or_list_membership_needs_individual_source</x:v>
      </x:c>
      <x:c r="Y123" s="33" t="str">
        <x:v>候选待核实</x:v>
      </x:c>
      <x:c r="Z123" s="21" t="str">
        <x:v>listed in high-rise fire table；aggregate list is not sufficient for final inclusion; verify height/floors and event details with cited event or building source</x:v>
      </x:c>
      <x:c r="AA123" s="21" t="str">
        <x:v>Wikipedia dynamic high-rise list (candidate discovery)</x:v>
      </x:c>
      <x:c r="AB123" s="21" t="str">
        <x:v>批量来源代理</x:v>
      </x:c>
      <x:c r="AC123" s="21" t="str"/>
      <x:c r="AD123" s="21" t="n">
        <x:v>1</x:v>
      </x:c>
      <x:c r="AE123" s="21" t="str">
        <x:v>未检查</x:v>
      </x:c>
      <x:c r="AF123" s="21" t="str"/>
      <x:c r="AG123" s="24" t="n">
        <x:v>46260</x:v>
      </x:c>
      <x:c r="AH123" s="21" t="str"/>
      <x:c r="AI123" s="21" t="n">
        <x:v>1</x:v>
      </x:c>
      <x:c r="AJ123" s="21" t="str">
        <x:v>未评估（本事件表不建立热浪因果关系）</x:v>
      </x:c>
      <x:c r="AK123" s="21" t="str">
        <x:v>缺失/待核实</x:v>
      </x:c>
    </x:row>
    <x:row r="124" ht="42" customHeight="1">
      <x:c r="A124" s="33" t="n">
        <x:v>123</x:v>
      </x:c>
      <x:c r="B124" s="33" t="str">
        <x:v>RAW-0123</x:v>
      </x:c>
      <x:c r="C124" s="36" t="str">
        <x:v>北美洲</x:v>
      </x:c>
      <x:c r="D124" s="36" t="str">
        <x:v>United States</x:v>
      </x:c>
      <x:c r="E124" s="21" t="str">
        <x:v>New York City</x:v>
      </x:c>
      <x:c r="F124" s="21" t="str">
        <x:v>One57 fire</x:v>
      </x:c>
      <x:c r="G124" s="39" t="n">
        <x:v>41712</x:v>
      </x:c>
      <x:c r="H124" s="21" t="str">
        <x:v>Fire broke out in the loading dock, then spread to the courtyard and a neighboring property.</x:v>
      </x:c>
      <x:c r="I124" s="21" t="str">
        <x:v>未检索到/待核实</x:v>
      </x:c>
      <x:c r="J124" s="21" t="str">
        <x:v>Fire broke out in the loading dock, then spread to the courtyard and a neighboring property.</x:v>
      </x:c>
      <x:c r="K124" s="21" t="str">
        <x:v>https://en.wikipedia.org/wiki/List_of_fires_in_high-rise_buildings</x:v>
      </x:c>
      <x:c r="L124" s="27" t="n">
        <x:v>40.71427</x:v>
      </x:c>
      <x:c r="M124" s="27" t="n">
        <x:v>-74.00597</x:v>
      </x:c>
      <x:c r="N124" s="21" t="str">
        <x:v>城市代表点（来源明确说明不是火场坐标）</x:v>
      </x:c>
      <x:c r="O124" s="21" t="str">
        <x:v>高层建筑火灾</x:v>
      </x:c>
      <x:c r="P124" s="21" t="str">
        <x:v>未检索到</x:v>
      </x:c>
      <x:c r="Q124" s="21" t="str">
        <x:v>306 m</x:v>
      </x:c>
      <x:c r="R124" s="21" t="str">
        <x:v>未检索到</x:v>
      </x:c>
      <x:c r="S124" s="21" t="str">
        <x:v>未检索到</x:v>
      </x:c>
      <x:c r="T124" s="42" t="n">
        <x:v>0</x:v>
      </x:c>
      <x:c r="U124" s="42"/>
      <x:c r="V124" s="42"/>
      <x:c r="W124" s="33" t="str">
        <x:v>C</x:v>
      </x:c>
      <x:c r="X124" s="33" t="str">
        <x:v>candidate_height_or_list_membership_needs_individual_source</x:v>
      </x:c>
      <x:c r="Y124" s="33" t="str">
        <x:v>候选待核实</x:v>
      </x:c>
      <x:c r="Z124" s="21" t="str">
        <x:v>height=306 m; listed in high-rise fire table；aggregate list is not sufficient for final inclusion; verify height/floors and event details with cited event or building source</x:v>
      </x:c>
      <x:c r="AA124" s="21" t="str">
        <x:v>Wikipedia dynamic high-rise list (candidate discovery)</x:v>
      </x:c>
      <x:c r="AB124" s="21" t="str">
        <x:v>批量来源代理</x:v>
      </x:c>
      <x:c r="AC124" s="21" t="str"/>
      <x:c r="AD124" s="21" t="n">
        <x:v>1</x:v>
      </x:c>
      <x:c r="AE124" s="21" t="str">
        <x:v>未检查</x:v>
      </x:c>
      <x:c r="AF124" s="21" t="str"/>
      <x:c r="AG124" s="24" t="n">
        <x:v>46260</x:v>
      </x:c>
      <x:c r="AH124" s="21" t="str"/>
      <x:c r="AI124" s="21" t="n">
        <x:v>1</x:v>
      </x:c>
      <x:c r="AJ124" s="21" t="str">
        <x:v>未评估（本事件表不建立热浪因果关系）</x:v>
      </x:c>
      <x:c r="AK124" s="21" t="str">
        <x:v>缺失/待核实</x:v>
      </x:c>
    </x:row>
    <x:row r="125" ht="42" customHeight="1">
      <x:c r="A125" s="33" t="n">
        <x:v>124</x:v>
      </x:c>
      <x:c r="B125" s="33" t="str">
        <x:v>RAW-0124</x:v>
      </x:c>
      <x:c r="C125" s="36" t="str">
        <x:v>亚洲</x:v>
      </x:c>
      <x:c r="D125" s="36" t="str">
        <x:v>India</x:v>
      </x:c>
      <x:c r="E125" s="21" t="str">
        <x:v>Mumbai</x:v>
      </x:c>
      <x:c r="F125" s="21" t="str">
        <x:v>Lotus Park building fire</x:v>
      </x:c>
      <x:c r="G125" s="39" t="n">
        <x:v>41838</x:v>
      </x:c>
      <x:c r="H125" s="21" t="str"/>
      <x:c r="I125" s="21" t="str">
        <x:v>未检索到/待核实</x:v>
      </x:c>
      <x:c r="J125" s="21" t="str"/>
      <x:c r="K125" s="21" t="str">
        <x:v>https://en.wikipedia.org/wiki/List_of_fires_in_high-rise_buildings</x:v>
      </x:c>
      <x:c r="L125" s="27" t="n">
        <x:v>19.07283</x:v>
      </x:c>
      <x:c r="M125" s="27" t="n">
        <x:v>72.88261</x:v>
      </x:c>
      <x:c r="N125" s="21" t="str">
        <x:v>城市代表点（来源明确说明不是火场坐标）</x:v>
      </x:c>
      <x:c r="O125" s="21" t="str">
        <x:v>高层建筑火灾</x:v>
      </x:c>
      <x:c r="P125" s="21" t="str">
        <x:v>未检索到</x:v>
      </x:c>
      <x:c r="Q125" s="21" t="str">
        <x:v>未检索到</x:v>
      </x:c>
      <x:c r="R125" s="21" t="str">
        <x:v>未检索到</x:v>
      </x:c>
      <x:c r="S125" s="21" t="str">
        <x:v>未检索到</x:v>
      </x:c>
      <x:c r="T125" s="42" t="n">
        <x:v>1</x:v>
      </x:c>
      <x:c r="U125" s="42"/>
      <x:c r="V125" s="42"/>
      <x:c r="W125" s="33" t="str">
        <x:v>C</x:v>
      </x:c>
      <x:c r="X125" s="33" t="str">
        <x:v>candidate_height_or_list_membership_needs_individual_source</x:v>
      </x:c>
      <x:c r="Y125" s="33" t="str">
        <x:v>候选待核实</x:v>
      </x:c>
      <x:c r="Z125" s="21" t="str">
        <x:v>listed in high-rise fire table；aggregate list is not sufficient for final inclusion; verify height/floors and event details with cited event or building source</x:v>
      </x:c>
      <x:c r="AA125" s="21" t="str">
        <x:v>Wikipedia dynamic high-rise list (candidate discovery)</x:v>
      </x:c>
      <x:c r="AB125" s="21" t="str">
        <x:v>批量来源代理</x:v>
      </x:c>
      <x:c r="AC125" s="21" t="str"/>
      <x:c r="AD125" s="21" t="n">
        <x:v>1</x:v>
      </x:c>
      <x:c r="AE125" s="21" t="str">
        <x:v>未检查</x:v>
      </x:c>
      <x:c r="AF125" s="21" t="str"/>
      <x:c r="AG125" s="24" t="n">
        <x:v>46260</x:v>
      </x:c>
      <x:c r="AH125" s="21" t="str"/>
      <x:c r="AI125" s="21" t="n">
        <x:v>1</x:v>
      </x:c>
      <x:c r="AJ125" s="21" t="str">
        <x:v>未评估（本事件表不建立热浪因果关系）</x:v>
      </x:c>
      <x:c r="AK125" s="21" t="str">
        <x:v>缺失/待核实</x:v>
      </x:c>
    </x:row>
    <x:row r="126" ht="42" customHeight="1">
      <x:c r="A126" s="33" t="n">
        <x:v>125</x:v>
      </x:c>
      <x:c r="B126" s="33" t="str">
        <x:v>RAW-0125</x:v>
      </x:c>
      <x:c r="C126" s="36" t="str">
        <x:v>欧洲</x:v>
      </x:c>
      <x:c r="D126" s="36" t="str">
        <x:v>Russia</x:v>
      </x:c>
      <x:c r="E126" s="21" t="str">
        <x:v>Krasnoyarsk</x:v>
      </x:c>
      <x:c r="F126" s="21" t="str">
        <x:v>Krasnoyarsk Apartments fire</x:v>
      </x:c>
      <x:c r="G126" s="39" t="n">
        <x:v>41903</x:v>
      </x:c>
      <x:c r="H126" s="21" t="str">
        <x:v>High-rise façade fire; reported floors affected: 25.</x:v>
      </x:c>
      <x:c r="I126" s="21" t="str">
        <x:v>未检索到/待核实</x:v>
      </x:c>
      <x:c r="J126" s="21" t="str">
        <x:v>façade involved; floors affected=25</x:v>
      </x:c>
      <x:c r="K126" s="21" t="str">
        <x:v>https://en.wikipedia.org/wiki/List_of_high-rise_fa%C3%A7ade_fires</x:v>
      </x:c>
      <x:c r="L126" s="27" t="n">
        <x:v>56.03742</x:v>
      </x:c>
      <x:c r="M126" s="27" t="n">
        <x:v>92.93136</x:v>
      </x:c>
      <x:c r="N126" s="21" t="str">
        <x:v>城市代表点（来源明确说明不是火场坐标）</x:v>
      </x:c>
      <x:c r="O126" s="21" t="str">
        <x:v>高层建筑火灾</x:v>
      </x:c>
      <x:c r="P126" s="21" t="str">
        <x:v>residential</x:v>
      </x:c>
      <x:c r="Q126" s="21" t="str">
        <x:v>未检索到</x:v>
      </x:c>
      <x:c r="R126" s="21" t="str">
        <x:v>floors affected=25</x:v>
      </x:c>
      <x:c r="S126" s="21" t="str">
        <x:v>未检索到</x:v>
      </x:c>
      <x:c r="T126" s="42" t="n">
        <x:v>0</x:v>
      </x:c>
      <x:c r="U126" s="42" t="n">
        <x:v>0</x:v>
      </x:c>
      <x:c r="V126" s="42"/>
      <x:c r="W126" s="33" t="str">
        <x:v>C</x:v>
      </x:c>
      <x:c r="X126" s="33" t="str">
        <x:v>candidate_list_membership_needs_individual_height_source</x:v>
      </x:c>
      <x:c r="Y126" s="33" t="str">
        <x:v>候选待核实</x:v>
      </x:c>
      <x:c r="Z126" s="21" t="str">
        <x:v>listed in high-rise façade fire table; affected floors are not total building floors；aggregate list is not sufficient for final inclusion; floors affected must not be mistaken for total building floors</x:v>
      </x:c>
      <x:c r="AA126" s="21" t="str">
        <x:v>Wikipedia high-rise façade list; derived from Bonner et al./news (candidate discovery)</x:v>
      </x:c>
      <x:c r="AB126" s="21" t="str">
        <x:v>批量来源代理</x:v>
      </x:c>
      <x:c r="AC126" s="21" t="str"/>
      <x:c r="AD126" s="21" t="n">
        <x:v>1</x:v>
      </x:c>
      <x:c r="AE126" s="21" t="str">
        <x:v>未检查</x:v>
      </x:c>
      <x:c r="AF126" s="21" t="str"/>
      <x:c r="AG126" s="24" t="n">
        <x:v>46260</x:v>
      </x:c>
      <x:c r="AH126" s="21" t="str"/>
      <x:c r="AI126" s="21" t="n">
        <x:v>1</x:v>
      </x:c>
      <x:c r="AJ126" s="21" t="str">
        <x:v>未评估（本事件表不建立热浪因果关系）</x:v>
      </x:c>
      <x:c r="AK126" s="21" t="str">
        <x:v>缺失/待核实</x:v>
      </x:c>
    </x:row>
    <x:row r="127" ht="42" customHeight="1">
      <x:c r="A127" s="33" t="n">
        <x:v>126</x:v>
      </x:c>
      <x:c r="B127" s="33" t="str">
        <x:v>RAW-0126</x:v>
      </x:c>
      <x:c r="C127" s="36" t="str">
        <x:v>大洋洲</x:v>
      </x:c>
      <x:c r="D127" s="36" t="str">
        <x:v>Australia</x:v>
      </x:c>
      <x:c r="E127" s="21" t="str">
        <x:v>Melbourne</x:v>
      </x:c>
      <x:c r="F127" s="21" t="str">
        <x:v>Lacrosse Apartments fire</x:v>
      </x:c>
      <x:c r="G127" s="39" t="n">
        <x:v>41968</x:v>
      </x:c>
      <x:c r="H127" s="21" t="str">
        <x:v>Fire started on an 8th floor balcony and rapidly spread up the facade cladding.</x:v>
      </x:c>
      <x:c r="I127" s="21" t="str">
        <x:v>external cladding involvement</x:v>
      </x:c>
      <x:c r="J127" s="21" t="str">
        <x:v>Fire started on an 8th floor balcony and rapidly spread up the facade cladding.</x:v>
      </x:c>
      <x:c r="K127" s="21" t="str">
        <x:v>https://en.wikipedia.org/wiki/List_of_fires_in_high-rise_buildings</x:v>
      </x:c>
      <x:c r="L127" s="27" t="n">
        <x:v>-37.814</x:v>
      </x:c>
      <x:c r="M127" s="27" t="n">
        <x:v>144.96332</x:v>
      </x:c>
      <x:c r="N127" s="21" t="str">
        <x:v>城市代表点（来源明确说明不是火场坐标）</x:v>
      </x:c>
      <x:c r="O127" s="21" t="str">
        <x:v>高层建筑火灾</x:v>
      </x:c>
      <x:c r="P127" s="21" t="str">
        <x:v>residential</x:v>
      </x:c>
      <x:c r="Q127" s="21" t="str">
        <x:v>未检索到</x:v>
      </x:c>
      <x:c r="R127" s="21" t="str">
        <x:v>未检索到</x:v>
      </x:c>
      <x:c r="S127" s="21" t="str">
        <x:v>未检索到</x:v>
      </x:c>
      <x:c r="T127" s="42" t="n">
        <x:v>0</x:v>
      </x:c>
      <x:c r="U127" s="42"/>
      <x:c r="V127" s="42"/>
      <x:c r="W127" s="33" t="str">
        <x:v>C</x:v>
      </x:c>
      <x:c r="X127" s="33" t="str">
        <x:v>candidate_height_or_list_membership_needs_individual_source</x:v>
      </x:c>
      <x:c r="Y127" s="33" t="str">
        <x:v>候选待核实</x:v>
      </x:c>
      <x:c r="Z127" s="21" t="str">
        <x:v>listed in high-rise fire table；aggregate list is not sufficient for final inclusion; verify height/floors and event details with cited event or building source</x:v>
      </x:c>
      <x:c r="AA127" s="21" t="str">
        <x:v>Wikipedia dynamic high-rise list (candidate discovery)</x:v>
      </x:c>
      <x:c r="AB127" s="21" t="str">
        <x:v>批量来源代理</x:v>
      </x:c>
      <x:c r="AC127" s="21" t="str"/>
      <x:c r="AD127" s="21" t="n">
        <x:v>1</x:v>
      </x:c>
      <x:c r="AE127" s="21" t="str">
        <x:v>未检查</x:v>
      </x:c>
      <x:c r="AF127" s="21" t="str"/>
      <x:c r="AG127" s="24" t="n">
        <x:v>46260</x:v>
      </x:c>
      <x:c r="AH127" s="21" t="str"/>
      <x:c r="AI127" s="21" t="n">
        <x:v>1</x:v>
      </x:c>
      <x:c r="AJ127" s="21" t="str">
        <x:v>未评估（本事件表不建立热浪因果关系）</x:v>
      </x:c>
      <x:c r="AK127" s="21" t="str">
        <x:v>已有来源描述</x:v>
      </x:c>
    </x:row>
    <x:row r="128" ht="42" customHeight="1">
      <x:c r="A128" s="33" t="n">
        <x:v>127</x:v>
      </x:c>
      <x:c r="B128" s="33" t="str">
        <x:v>RAW-0127</x:v>
      </x:c>
      <x:c r="C128" s="36" t="str">
        <x:v>大洋洲</x:v>
      </x:c>
      <x:c r="D128" s="36" t="str">
        <x:v>Australia</x:v>
      </x:c>
      <x:c r="E128" s="21" t="str">
        <x:v>Melbourne</x:v>
      </x:c>
      <x:c r="F128" s="21" t="str">
        <x:v>Lacrosse Building fire</x:v>
      </x:c>
      <x:c r="G128" s="39" t="n">
        <x:v>41968</x:v>
      </x:c>
      <x:c r="H128" s="21" t="str">
        <x:v>High-rise façade fire; reported floors affected: 16.</x:v>
      </x:c>
      <x:c r="I128" s="21" t="str">
        <x:v>未检索到/待核实</x:v>
      </x:c>
      <x:c r="J128" s="21" t="str">
        <x:v>façade involved; floors affected=16</x:v>
      </x:c>
      <x:c r="K128" s="21" t="str">
        <x:v>https://en.wikipedia.org/wiki/List_of_high-rise_fa%C3%A7ade_fires</x:v>
      </x:c>
      <x:c r="L128" s="27" t="n">
        <x:v>-37.814</x:v>
      </x:c>
      <x:c r="M128" s="27" t="n">
        <x:v>144.96332</x:v>
      </x:c>
      <x:c r="N128" s="21" t="str">
        <x:v>城市代表点（来源明确说明不是火场坐标）</x:v>
      </x:c>
      <x:c r="O128" s="21" t="str">
        <x:v>高层建筑火灾</x:v>
      </x:c>
      <x:c r="P128" s="21" t="str">
        <x:v>未检索到</x:v>
      </x:c>
      <x:c r="Q128" s="21" t="str">
        <x:v>未检索到</x:v>
      </x:c>
      <x:c r="R128" s="21" t="str">
        <x:v>floors affected=16</x:v>
      </x:c>
      <x:c r="S128" s="21" t="str">
        <x:v>未检索到</x:v>
      </x:c>
      <x:c r="T128" s="42" t="n">
        <x:v>0</x:v>
      </x:c>
      <x:c r="U128" s="42" t="n">
        <x:v>0</x:v>
      </x:c>
      <x:c r="V128" s="42"/>
      <x:c r="W128" s="33" t="str">
        <x:v>C</x:v>
      </x:c>
      <x:c r="X128" s="33" t="str">
        <x:v>candidate_list_membership_needs_individual_height_source</x:v>
      </x:c>
      <x:c r="Y128" s="33" t="str">
        <x:v>候选待核实</x:v>
      </x:c>
      <x:c r="Z128" s="21" t="str">
        <x:v>listed in high-rise façade fire table; affected floors are not total building floors；aggregate list is not sufficient for final inclusion; floors affected must not be mistaken for total building floors</x:v>
      </x:c>
      <x:c r="AA128" s="21" t="str">
        <x:v>Wikipedia high-rise façade list; derived from Bonner et al./news (candidate discovery)</x:v>
      </x:c>
      <x:c r="AB128" s="21" t="str">
        <x:v>批量来源代理</x:v>
      </x:c>
      <x:c r="AC128" s="21" t="str"/>
      <x:c r="AD128" s="21" t="n">
        <x:v>1</x:v>
      </x:c>
      <x:c r="AE128" s="21" t="str">
        <x:v>未检查</x:v>
      </x:c>
      <x:c r="AF128" s="21" t="str"/>
      <x:c r="AG128" s="24" t="n">
        <x:v>46260</x:v>
      </x:c>
      <x:c r="AH128" s="21" t="str"/>
      <x:c r="AI128" s="21" t="n">
        <x:v>1</x:v>
      </x:c>
      <x:c r="AJ128" s="21" t="str">
        <x:v>未评估（本事件表不建立热浪因果关系）</x:v>
      </x:c>
      <x:c r="AK128" s="21" t="str">
        <x:v>缺失/待核实</x:v>
      </x:c>
    </x:row>
    <x:row r="129" ht="42" customHeight="1">
      <x:c r="A129" s="33" t="n">
        <x:v>128</x:v>
      </x:c>
      <x:c r="B129" s="33" t="str">
        <x:v>RAW-0128</x:v>
      </x:c>
      <x:c r="C129" s="36" t="str">
        <x:v>北美洲</x:v>
      </x:c>
      <x:c r="D129" s="36" t="str">
        <x:v>United States</x:v>
      </x:c>
      <x:c r="E129" s="21" t="str">
        <x:v>Castle Hills</x:v>
      </x:c>
      <x:c r="F129" s="21" t="str">
        <x:v>The Wedgwood fire</x:v>
      </x:c>
      <x:c r="G129" s="39" t="n">
        <x:v>42001</x:v>
      </x:c>
      <x:c r="H129" s="21" t="str">
        <x:v>The fire occurred on one wing of the third floor causing extensive smoke damage.</x:v>
      </x:c>
      <x:c r="I129" s="21" t="str">
        <x:v>未检索到/待核实</x:v>
      </x:c>
      <x:c r="J129" s="21" t="str">
        <x:v>The fire occurred on one wing of the third floor causing extensive smoke damage.</x:v>
      </x:c>
      <x:c r="K129" s="21" t="str">
        <x:v>https://en.wikipedia.org/wiki/List_of_fires_in_high-rise_buildings</x:v>
      </x:c>
      <x:c r="L129" s="27" t="n">
        <x:v>39.6865</x:v>
      </x:c>
      <x:c r="M129" s="27" t="n">
        <x:v>-75.56465</x:v>
      </x:c>
      <x:c r="N129" s="21" t="str">
        <x:v>城市代表点（来源明确说明不是火场坐标）</x:v>
      </x:c>
      <x:c r="O129" s="21" t="str">
        <x:v>高层建筑火灾</x:v>
      </x:c>
      <x:c r="P129" s="21" t="str">
        <x:v>未检索到</x:v>
      </x:c>
      <x:c r="Q129" s="21" t="str">
        <x:v>30 m</x:v>
      </x:c>
      <x:c r="R129" s="21" t="str">
        <x:v>未检索到</x:v>
      </x:c>
      <x:c r="S129" s="21" t="str">
        <x:v>未检索到</x:v>
      </x:c>
      <x:c r="T129" s="42" t="n">
        <x:v>5</x:v>
      </x:c>
      <x:c r="U129" s="42"/>
      <x:c r="V129" s="42"/>
      <x:c r="W129" s="33" t="str">
        <x:v>C</x:v>
      </x:c>
      <x:c r="X129" s="33" t="str">
        <x:v>candidate_height_or_list_membership_needs_individual_source</x:v>
      </x:c>
      <x:c r="Y129" s="33" t="str">
        <x:v>候选待核实</x:v>
      </x:c>
      <x:c r="Z129" s="21" t="str">
        <x:v>height=30 m; listed in high-rise fire table；aggregate list is not sufficient for final inclusion; verify height/floors and event details with cited event or building source</x:v>
      </x:c>
      <x:c r="AA129" s="21" t="str">
        <x:v>Wikipedia dynamic high-rise list (candidate discovery)</x:v>
      </x:c>
      <x:c r="AB129" s="21" t="str">
        <x:v>批量来源代理</x:v>
      </x:c>
      <x:c r="AC129" s="21" t="str"/>
      <x:c r="AD129" s="21" t="n">
        <x:v>1</x:v>
      </x:c>
      <x:c r="AE129" s="21" t="str">
        <x:v>未检查</x:v>
      </x:c>
      <x:c r="AF129" s="21" t="str"/>
      <x:c r="AG129" s="24" t="n">
        <x:v>46260</x:v>
      </x:c>
      <x:c r="AH129" s="21" t="str"/>
      <x:c r="AI129" s="21" t="n">
        <x:v>1</x:v>
      </x:c>
      <x:c r="AJ129" s="21" t="str">
        <x:v>未评估（本事件表不建立热浪因果关系）</x:v>
      </x:c>
      <x:c r="AK129" s="21" t="str">
        <x:v>缺失/待核实</x:v>
      </x:c>
    </x:row>
    <x:row r="130" ht="42" customHeight="1">
      <x:c r="A130" s="33" t="n">
        <x:v>129</x:v>
      </x:c>
      <x:c r="B130" s="33" t="str">
        <x:v>RAW-0129</x:v>
      </x:c>
      <x:c r="C130" s="36" t="str">
        <x:v>亚洲</x:v>
      </x:c>
      <x:c r="D130" s="36" t="str">
        <x:v>United Arab Emirates</x:v>
      </x:c>
      <x:c r="E130" s="21" t="str">
        <x:v>Dubai</x:v>
      </x:c>
      <x:c r="F130" s="21" t="str">
        <x:v>The Marina Torch fire</x:v>
      </x:c>
      <x:c r="G130" s="39" t="n">
        <x:v>42056</x:v>
      </x:c>
      <x:c r="H130" s="21" t="str">
        <x:v>High-rise façade fire; reported floors affected: 60.</x:v>
      </x:c>
      <x:c r="I130" s="21" t="str">
        <x:v>未检索到/待核实</x:v>
      </x:c>
      <x:c r="J130" s="21" t="str">
        <x:v>façade involved; floors affected=60</x:v>
      </x:c>
      <x:c r="K130" s="21" t="str">
        <x:v>https://en.wikipedia.org/wiki/List_of_high-rise_fa%C3%A7ade_fires</x:v>
      </x:c>
      <x:c r="L130" s="27" t="n">
        <x:v>25.07725</x:v>
      </x:c>
      <x:c r="M130" s="27" t="n">
        <x:v>55.30927</x:v>
      </x:c>
      <x:c r="N130" s="21" t="str">
        <x:v>城市代表点（来源明确说明不是火场坐标）</x:v>
      </x:c>
      <x:c r="O130" s="21" t="str">
        <x:v>高层建筑火灾</x:v>
      </x:c>
      <x:c r="P130" s="21" t="str">
        <x:v>未检索到</x:v>
      </x:c>
      <x:c r="Q130" s="21" t="str">
        <x:v>未检索到</x:v>
      </x:c>
      <x:c r="R130" s="21" t="str">
        <x:v>floors affected=60</x:v>
      </x:c>
      <x:c r="S130" s="21" t="str">
        <x:v>未检索到</x:v>
      </x:c>
      <x:c r="T130" s="42" t="n">
        <x:v>0</x:v>
      </x:c>
      <x:c r="U130" s="42" t="n">
        <x:v>7</x:v>
      </x:c>
      <x:c r="V130" s="42"/>
      <x:c r="W130" s="33" t="str">
        <x:v>C</x:v>
      </x:c>
      <x:c r="X130" s="33" t="str">
        <x:v>candidate_list_membership_needs_individual_height_source</x:v>
      </x:c>
      <x:c r="Y130" s="33" t="str">
        <x:v>候选待核实</x:v>
      </x:c>
      <x:c r="Z130" s="21" t="str">
        <x:v>listed in high-rise façade fire table; affected floors are not total building floors；aggregate list is not sufficient for final inclusion; floors affected must not be mistaken for total building floors</x:v>
      </x:c>
      <x:c r="AA130" s="21" t="str">
        <x:v>Wikipedia high-rise façade list; derived from Bonner et al./news (candidate discovery)</x:v>
      </x:c>
      <x:c r="AB130" s="21" t="str">
        <x:v>批量来源代理</x:v>
      </x:c>
      <x:c r="AC130" s="21" t="str"/>
      <x:c r="AD130" s="21" t="n">
        <x:v>1</x:v>
      </x:c>
      <x:c r="AE130" s="21" t="str">
        <x:v>未检查</x:v>
      </x:c>
      <x:c r="AF130" s="21" t="str"/>
      <x:c r="AG130" s="24" t="n">
        <x:v>46260</x:v>
      </x:c>
      <x:c r="AH130" s="21" t="str"/>
      <x:c r="AI130" s="21" t="n">
        <x:v>1</x:v>
      </x:c>
      <x:c r="AJ130" s="21" t="str">
        <x:v>未评估（本事件表不建立热浪因果关系）</x:v>
      </x:c>
      <x:c r="AK130" s="21" t="str">
        <x:v>缺失/待核实</x:v>
      </x:c>
    </x:row>
    <x:row r="131" ht="42" customHeight="1">
      <x:c r="A131" s="33" t="n">
        <x:v>130</x:v>
      </x:c>
      <x:c r="B131" s="33" t="str">
        <x:v>RAW-0130</x:v>
      </x:c>
      <x:c r="C131" s="36" t="str">
        <x:v>未判定</x:v>
      </x:c>
      <x:c r="D131" s="36" t="str">
        <x:v>Indonesia</x:v>
      </x:c>
      <x:c r="E131" s="21" t="str">
        <x:v>Jakarta</x:v>
      </x:c>
      <x:c r="F131" s="21" t="str">
        <x:v>Wisma Kosgoro fire</x:v>
      </x:c>
      <x:c r="G131" s="39" t="n">
        <x:v>42073</x:v>
      </x:c>
      <x:c r="H131" s="21" t="str">
        <x:v>Fire destroyed floors 16–20.</x:v>
      </x:c>
      <x:c r="I131" s="21" t="str">
        <x:v>未检索到/待核实</x:v>
      </x:c>
      <x:c r="J131" s="21" t="str">
        <x:v>Fire destroyed floors 16–20.</x:v>
      </x:c>
      <x:c r="K131" s="21" t="str">
        <x:v>https://en.wikipedia.org/wiki/List_of_fires_in_high-rise_buildings</x:v>
      </x:c>
      <x:c r="L131" s="27" t="n">
        <x:v>-6.21462</x:v>
      </x:c>
      <x:c r="M131" s="27" t="n">
        <x:v>106.84513</x:v>
      </x:c>
      <x:c r="N131" s="21" t="str">
        <x:v>城市代表点（来源明确说明不是火场坐标）</x:v>
      </x:c>
      <x:c r="O131" s="21" t="str">
        <x:v>高层建筑火灾</x:v>
      </x:c>
      <x:c r="P131" s="21" t="str">
        <x:v>未检索到</x:v>
      </x:c>
      <x:c r="Q131" s="21" t="str">
        <x:v>未检索到</x:v>
      </x:c>
      <x:c r="R131" s="21" t="str">
        <x:v>未检索到</x:v>
      </x:c>
      <x:c r="S131" s="21" t="str">
        <x:v>未检索到</x:v>
      </x:c>
      <x:c r="T131" s="42" t="n">
        <x:v>0</x:v>
      </x:c>
      <x:c r="U131" s="42"/>
      <x:c r="V131" s="42"/>
      <x:c r="W131" s="33" t="str">
        <x:v>C</x:v>
      </x:c>
      <x:c r="X131" s="33" t="str">
        <x:v>candidate_height_or_list_membership_needs_individual_source</x:v>
      </x:c>
      <x:c r="Y131" s="33" t="str">
        <x:v>候选待核实</x:v>
      </x:c>
      <x:c r="Z131" s="21" t="str">
        <x:v>listed in high-rise fire table；aggregate list is not sufficient for final inclusion; verify height/floors and event details with cited event or building source</x:v>
      </x:c>
      <x:c r="AA131" s="21" t="str">
        <x:v>Wikipedia dynamic high-rise list (candidate discovery)</x:v>
      </x:c>
      <x:c r="AB131" s="21" t="str">
        <x:v>批量来源代理</x:v>
      </x:c>
      <x:c r="AC131" s="21" t="str"/>
      <x:c r="AD131" s="21" t="n">
        <x:v>1</x:v>
      </x:c>
      <x:c r="AE131" s="21" t="str">
        <x:v>未检查</x:v>
      </x:c>
      <x:c r="AF131" s="21" t="str"/>
      <x:c r="AG131" s="24" t="n">
        <x:v>46260</x:v>
      </x:c>
      <x:c r="AH131" s="21" t="str"/>
      <x:c r="AI131" s="21" t="n">
        <x:v>1</x:v>
      </x:c>
      <x:c r="AJ131" s="21" t="str">
        <x:v>未评估（本事件表不建立热浪因果关系）</x:v>
      </x:c>
      <x:c r="AK131" s="21" t="str">
        <x:v>缺失/待核实</x:v>
      </x:c>
    </x:row>
    <x:row r="132" ht="42" customHeight="1">
      <x:c r="A132" s="33" t="n">
        <x:v>131</x:v>
      </x:c>
      <x:c r="B132" s="33" t="str">
        <x:v>RAW-0131</x:v>
      </x:c>
      <x:c r="C132" s="36" t="str">
        <x:v>欧洲</x:v>
      </x:c>
      <x:c r="D132" s="36" t="str">
        <x:v>France</x:v>
      </x:c>
      <x:c r="E132" s="21" t="str">
        <x:v>Puteaux, Paris</x:v>
      </x:c>
      <x:c r="F132" s="21" t="str">
        <x:v>Franklin Tower, 100-101 Terr. Boieldieu, Tower A fire</x:v>
      </x:c>
      <x:c r="G132" s="39" t="n">
        <x:v>42080</x:v>
      </x:c>
      <x:c r="H132" s="21" t="str">
        <x:v>Unstated cause, ignition on 40th flr in technical room, contained by 30 firefighters via internal wet column (a pressurized vertical pipe).</x:v>
      </x:c>
      <x:c r="I132" s="21" t="str">
        <x:v>unknown/under investigation</x:v>
      </x:c>
      <x:c r="J132" s="21" t="str">
        <x:v>Unstated cause, ignition on 40th flr in technical room, contained by 30 firefighters via internal wet column (a pressurized vertical pipe).</x:v>
      </x:c>
      <x:c r="K132" s="21" t="str">
        <x:v>https://en.wikipedia.org/wiki/List_of_fires_in_high-rise_buildings</x:v>
      </x:c>
      <x:c r="L132" s="27"/>
      <x:c r="M132" s="27"/>
      <x:c r="N132" s="21" t="str">
        <x:v>未提供坐标</x:v>
      </x:c>
      <x:c r="O132" s="21" t="str">
        <x:v>高层建筑火灾</x:v>
      </x:c>
      <x:c r="P132" s="21" t="str">
        <x:v>未检索到</x:v>
      </x:c>
      <x:c r="Q132" s="21" t="str">
        <x:v>120 m</x:v>
      </x:c>
      <x:c r="R132" s="21" t="str">
        <x:v>未检索到</x:v>
      </x:c>
      <x:c r="S132" s="21" t="str">
        <x:v>未检索到</x:v>
      </x:c>
      <x:c r="T132" s="42" t="n">
        <x:v>0</x:v>
      </x:c>
      <x:c r="U132" s="42"/>
      <x:c r="V132" s="42"/>
      <x:c r="W132" s="33" t="str">
        <x:v>C</x:v>
      </x:c>
      <x:c r="X132" s="33" t="str">
        <x:v>candidate_height_or_list_membership_needs_individual_source</x:v>
      </x:c>
      <x:c r="Y132" s="33" t="str">
        <x:v>候选待核实</x:v>
      </x:c>
      <x:c r="Z132" s="21" t="str">
        <x:v>height=120 m; listed in high-rise fire table；aggregate list is not sufficient for final inclusion; verify height/floors and event details with cited event or building source</x:v>
      </x:c>
      <x:c r="AA132" s="21" t="str">
        <x:v>Wikipedia dynamic high-rise list (candidate discovery)</x:v>
      </x:c>
      <x:c r="AB132" s="21" t="str">
        <x:v>批量来源代理</x:v>
      </x:c>
      <x:c r="AC132" s="21" t="str"/>
      <x:c r="AD132" s="21" t="n">
        <x:v>1</x:v>
      </x:c>
      <x:c r="AE132" s="21" t="str">
        <x:v>未检查</x:v>
      </x:c>
      <x:c r="AF132" s="21" t="str"/>
      <x:c r="AG132" s="24" t="n">
        <x:v>46260</x:v>
      </x:c>
      <x:c r="AH132" s="21" t="str"/>
      <x:c r="AI132" s="21" t="n">
        <x:v>1</x:v>
      </x:c>
      <x:c r="AJ132" s="21" t="str">
        <x:v>未评估（本事件表不建立热浪因果关系）</x:v>
      </x:c>
      <x:c r="AK132" s="21" t="str">
        <x:v>缺失/待核实</x:v>
      </x:c>
    </x:row>
    <x:row r="133" ht="42" customHeight="1">
      <x:c r="A133" s="33" t="n">
        <x:v>132</x:v>
      </x:c>
      <x:c r="B133" s="33" t="str">
        <x:v>RAW-0132</x:v>
      </x:c>
      <x:c r="C133" s="36" t="str">
        <x:v>欧洲</x:v>
      </x:c>
      <x:c r="D133" s="36" t="str">
        <x:v>France</x:v>
      </x:c>
      <x:c r="E133" s="21" t="str">
        <x:v>Paris</x:v>
      </x:c>
      <x:c r="F133" s="21" t="str">
        <x:v>The Franklin Tower fire</x:v>
      </x:c>
      <x:c r="G133" s="39" t="n">
        <x:v>42080</x:v>
      </x:c>
      <x:c r="H133" s="21" t="str">
        <x:v>High-rise façade fire; reported floors affected: 2.</x:v>
      </x:c>
      <x:c r="I133" s="21" t="str">
        <x:v>未检索到/待核实</x:v>
      </x:c>
      <x:c r="J133" s="21" t="str">
        <x:v>façade involved; floors affected=2</x:v>
      </x:c>
      <x:c r="K133" s="21" t="str">
        <x:v>https://en.wikipedia.org/wiki/List_of_high-rise_fa%C3%A7ade_fires</x:v>
      </x:c>
      <x:c r="L133" s="27" t="n">
        <x:v>48.85341</x:v>
      </x:c>
      <x:c r="M133" s="27" t="n">
        <x:v>2.3488</x:v>
      </x:c>
      <x:c r="N133" s="21" t="str">
        <x:v>城市代表点（来源明确说明不是火场坐标）</x:v>
      </x:c>
      <x:c r="O133" s="21" t="str">
        <x:v>高层建筑火灾</x:v>
      </x:c>
      <x:c r="P133" s="21" t="str">
        <x:v>未检索到</x:v>
      </x:c>
      <x:c r="Q133" s="21" t="str">
        <x:v>未检索到</x:v>
      </x:c>
      <x:c r="R133" s="21" t="str">
        <x:v>floors affected=2</x:v>
      </x:c>
      <x:c r="S133" s="21" t="str">
        <x:v>未检索到</x:v>
      </x:c>
      <x:c r="T133" s="42" t="n">
        <x:v>0</x:v>
      </x:c>
      <x:c r="U133" s="42" t="n">
        <x:v>0</x:v>
      </x:c>
      <x:c r="V133" s="42"/>
      <x:c r="W133" s="33" t="str">
        <x:v>C</x:v>
      </x:c>
      <x:c r="X133" s="33" t="str">
        <x:v>candidate_list_membership_needs_individual_height_source</x:v>
      </x:c>
      <x:c r="Y133" s="33" t="str">
        <x:v>候选待核实</x:v>
      </x:c>
      <x:c r="Z133" s="21" t="str">
        <x:v>listed in high-rise façade fire table; affected floors are not total building floors；aggregate list is not sufficient for final inclusion; floors affected must not be mistaken for total building floors</x:v>
      </x:c>
      <x:c r="AA133" s="21" t="str">
        <x:v>Wikipedia high-rise façade list; derived from Bonner et al./news (candidate discovery)</x:v>
      </x:c>
      <x:c r="AB133" s="21" t="str">
        <x:v>批量来源代理</x:v>
      </x:c>
      <x:c r="AC133" s="21" t="str"/>
      <x:c r="AD133" s="21" t="n">
        <x:v>1</x:v>
      </x:c>
      <x:c r="AE133" s="21" t="str">
        <x:v>未检查</x:v>
      </x:c>
      <x:c r="AF133" s="21" t="str"/>
      <x:c r="AG133" s="24" t="n">
        <x:v>46260</x:v>
      </x:c>
      <x:c r="AH133" s="21" t="str"/>
      <x:c r="AI133" s="21" t="n">
        <x:v>1</x:v>
      </x:c>
      <x:c r="AJ133" s="21" t="str">
        <x:v>未评估（本事件表不建立热浪因果关系）</x:v>
      </x:c>
      <x:c r="AK133" s="21" t="str">
        <x:v>缺失/待核实</x:v>
      </x:c>
    </x:row>
    <x:row r="134" ht="42" customHeight="1">
      <x:c r="A134" s="33" t="n">
        <x:v>133</x:v>
      </x:c>
      <x:c r="B134" s="33" t="str">
        <x:v>RAW-0133</x:v>
      </x:c>
      <x:c r="C134" s="36" t="str">
        <x:v>亚洲</x:v>
      </x:c>
      <x:c r="D134" s="36" t="str">
        <x:v>Azerbaijan</x:v>
      </x:c>
      <x:c r="E134" s="21" t="str">
        <x:v>Baku</x:v>
      </x:c>
      <x:c r="F134" s="21" t="str">
        <x:v>Baku Residential Flats fire</x:v>
      </x:c>
      <x:c r="G134" s="39" t="n">
        <x:v>42143</x:v>
      </x:c>
      <x:c r="H134" s="21" t="str">
        <x:v>High-rise façade fire; reported floors affected: 1.</x:v>
      </x:c>
      <x:c r="I134" s="21" t="str">
        <x:v>未检索到/待核实</x:v>
      </x:c>
      <x:c r="J134" s="21" t="str">
        <x:v>façade involved; floors affected=1</x:v>
      </x:c>
      <x:c r="K134" s="21" t="str">
        <x:v>https://en.wikipedia.org/wiki/List_of_high-rise_fa%C3%A7ade_fires</x:v>
      </x:c>
      <x:c r="L134" s="27" t="n">
        <x:v>40.37767</x:v>
      </x:c>
      <x:c r="M134" s="27" t="n">
        <x:v>49.89201</x:v>
      </x:c>
      <x:c r="N134" s="21" t="str">
        <x:v>城市代表点（来源明确说明不是火场坐标）</x:v>
      </x:c>
      <x:c r="O134" s="21" t="str">
        <x:v>高层建筑火灾</x:v>
      </x:c>
      <x:c r="P134" s="21" t="str">
        <x:v>residential</x:v>
      </x:c>
      <x:c r="Q134" s="21" t="str">
        <x:v>未检索到</x:v>
      </x:c>
      <x:c r="R134" s="21" t="str">
        <x:v>floors affected=1</x:v>
      </x:c>
      <x:c r="S134" s="21" t="str">
        <x:v>未检索到</x:v>
      </x:c>
      <x:c r="T134" s="42" t="n">
        <x:v>16</x:v>
      </x:c>
      <x:c r="U134" s="42" t="n">
        <x:v>63</x:v>
      </x:c>
      <x:c r="V134" s="42"/>
      <x:c r="W134" s="33" t="str">
        <x:v>C</x:v>
      </x:c>
      <x:c r="X134" s="33" t="str">
        <x:v>candidate_list_membership_needs_individual_height_source</x:v>
      </x:c>
      <x:c r="Y134" s="33" t="str">
        <x:v>候选待核实</x:v>
      </x:c>
      <x:c r="Z134" s="21" t="str">
        <x:v>listed in high-rise façade fire table; affected floors are not total building floors；aggregate list is not sufficient for final inclusion; floors affected must not be mistaken for total building floors</x:v>
      </x:c>
      <x:c r="AA134" s="21" t="str">
        <x:v>Wikipedia high-rise façade list; derived from Bonner et al./news (candidate discovery)</x:v>
      </x:c>
      <x:c r="AB134" s="21" t="str">
        <x:v>批量来源代理</x:v>
      </x:c>
      <x:c r="AC134" s="21" t="str"/>
      <x:c r="AD134" s="21" t="n">
        <x:v>1</x:v>
      </x:c>
      <x:c r="AE134" s="21" t="str">
        <x:v>未检查</x:v>
      </x:c>
      <x:c r="AF134" s="21" t="str"/>
      <x:c r="AG134" s="24" t="n">
        <x:v>46260</x:v>
      </x:c>
      <x:c r="AH134" s="21" t="str"/>
      <x:c r="AI134" s="21" t="n">
        <x:v>1</x:v>
      </x:c>
      <x:c r="AJ134" s="21" t="str">
        <x:v>未评估（本事件表不建立热浪因果关系）</x:v>
      </x:c>
      <x:c r="AK134" s="21" t="str">
        <x:v>缺失/待核实</x:v>
      </x:c>
    </x:row>
    <x:row r="135" ht="42" customHeight="1">
      <x:c r="A135" s="33" t="n">
        <x:v>134</x:v>
      </x:c>
      <x:c r="B135" s="33" t="str">
        <x:v>RAW-0134</x:v>
      </x:c>
      <x:c r="C135" s="36" t="str">
        <x:v>亚洲</x:v>
      </x:c>
      <x:c r="D135" s="36" t="str">
        <x:v>Azerbaijan</x:v>
      </x:c>
      <x:c r="E135" s="21" t="str">
        <x:v>Baku</x:v>
      </x:c>
      <x:c r="F135" s="21" t="str">
        <x:v>Unnamed Highrise fire</x:v>
      </x:c>
      <x:c r="G135" s="39" t="n">
        <x:v>42143</x:v>
      </x:c>
      <x:c r="H135" s="21" t="str">
        <x:v>See 2015 Baku residence building fire</x:v>
      </x:c>
      <x:c r="I135" s="21" t="str">
        <x:v>未检索到/待核实</x:v>
      </x:c>
      <x:c r="J135" s="21" t="str">
        <x:v>See 2015 Baku residence building fire</x:v>
      </x:c>
      <x:c r="K135" s="21" t="str">
        <x:v>https://en.wikipedia.org/wiki/List_of_fires_in_high-rise_buildings</x:v>
      </x:c>
      <x:c r="L135" s="27" t="n">
        <x:v>40.37767</x:v>
      </x:c>
      <x:c r="M135" s="27" t="n">
        <x:v>49.89201</x:v>
      </x:c>
      <x:c r="N135" s="21" t="str">
        <x:v>城市代表点（来源明确说明不是火场坐标）</x:v>
      </x:c>
      <x:c r="O135" s="21" t="str">
        <x:v>高层建筑火灾</x:v>
      </x:c>
      <x:c r="P135" s="21" t="str">
        <x:v>未检索到</x:v>
      </x:c>
      <x:c r="Q135" s="21" t="str">
        <x:v>未检索到</x:v>
      </x:c>
      <x:c r="R135" s="21" t="str">
        <x:v>未检索到</x:v>
      </x:c>
      <x:c r="S135" s="21" t="str">
        <x:v>未检索到</x:v>
      </x:c>
      <x:c r="T135" s="42" t="n">
        <x:v>16</x:v>
      </x:c>
      <x:c r="U135" s="42"/>
      <x:c r="V135" s="42"/>
      <x:c r="W135" s="33" t="str">
        <x:v>C</x:v>
      </x:c>
      <x:c r="X135" s="33" t="str">
        <x:v>candidate_height_or_list_membership_needs_individual_source</x:v>
      </x:c>
      <x:c r="Y135" s="33" t="str">
        <x:v>候选待核实</x:v>
      </x:c>
      <x:c r="Z135" s="21" t="str">
        <x:v>listed in high-rise fire table；aggregate list is not sufficient for final inclusion; verify height/floors and event details with cited event or building source</x:v>
      </x:c>
      <x:c r="AA135" s="21" t="str">
        <x:v>Wikipedia dynamic high-rise list (candidate discovery)</x:v>
      </x:c>
      <x:c r="AB135" s="21" t="str">
        <x:v>批量来源代理</x:v>
      </x:c>
      <x:c r="AC135" s="21" t="str"/>
      <x:c r="AD135" s="21" t="n">
        <x:v>1</x:v>
      </x:c>
      <x:c r="AE135" s="21" t="str">
        <x:v>未检查</x:v>
      </x:c>
      <x:c r="AF135" s="21" t="str"/>
      <x:c r="AG135" s="24" t="n">
        <x:v>46260</x:v>
      </x:c>
      <x:c r="AH135" s="21" t="str"/>
      <x:c r="AI135" s="21" t="n">
        <x:v>1</x:v>
      </x:c>
      <x:c r="AJ135" s="21" t="str">
        <x:v>未评估（本事件表不建立热浪因果关系）</x:v>
      </x:c>
      <x:c r="AK135" s="21" t="str">
        <x:v>缺失/待核实</x:v>
      </x:c>
    </x:row>
    <x:row r="136" ht="42" customHeight="1">
      <x:c r="A136" s="33" t="n">
        <x:v>135</x:v>
      </x:c>
      <x:c r="B136" s="33" t="str">
        <x:v>RAW-0135</x:v>
      </x:c>
      <x:c r="C136" s="36" t="str">
        <x:v>北美洲</x:v>
      </x:c>
      <x:c r="D136" s="36" t="str">
        <x:v>United States</x:v>
      </x:c>
      <x:c r="E136" s="21" t="str">
        <x:v>Las Vegas</x:v>
      </x:c>
      <x:c r="F136" s="21" t="str">
        <x:v>Cosmopolitan of Las Vegas fire</x:v>
      </x:c>
      <x:c r="G136" s="39" t="n">
        <x:v>42210</x:v>
      </x:c>
      <x:c r="H136" s="21" t="str">
        <x:v>Fire occurred on the pool deck fueled by cabanas and artificial trees; two people were treated for smoke inhalation.</x:v>
      </x:c>
      <x:c r="I136" s="21" t="str">
        <x:v>未检索到/待核实</x:v>
      </x:c>
      <x:c r="J136" s="21" t="str">
        <x:v>Fire occurred on the pool deck fueled by cabanas and artificial trees; two people were treated for smoke inhalation.</x:v>
      </x:c>
      <x:c r="K136" s="21" t="str">
        <x:v>https://en.wikipedia.org/wiki/List_of_fires_in_high-rise_buildings</x:v>
      </x:c>
      <x:c r="L136" s="27" t="n">
        <x:v>36.17497</x:v>
      </x:c>
      <x:c r="M136" s="27" t="n">
        <x:v>-115.13722</x:v>
      </x:c>
      <x:c r="N136" s="21" t="str">
        <x:v>城市代表点（来源明确说明不是火场坐标）</x:v>
      </x:c>
      <x:c r="O136" s="21" t="str">
        <x:v>高层建筑火灾</x:v>
      </x:c>
      <x:c r="P136" s="21" t="str">
        <x:v>未检索到</x:v>
      </x:c>
      <x:c r="Q136" s="21" t="str">
        <x:v>184 m</x:v>
      </x:c>
      <x:c r="R136" s="21" t="str">
        <x:v>未检索到</x:v>
      </x:c>
      <x:c r="S136" s="21" t="str">
        <x:v>未检索到</x:v>
      </x:c>
      <x:c r="T136" s="42" t="n">
        <x:v>0</x:v>
      </x:c>
      <x:c r="U136" s="42"/>
      <x:c r="V136" s="42"/>
      <x:c r="W136" s="33" t="str">
        <x:v>C</x:v>
      </x:c>
      <x:c r="X136" s="33" t="str">
        <x:v>candidate_height_or_list_membership_needs_individual_source</x:v>
      </x:c>
      <x:c r="Y136" s="33" t="str">
        <x:v>候选待核实</x:v>
      </x:c>
      <x:c r="Z136" s="21" t="str">
        <x:v>height=184 m; listed in high-rise fire table；aggregate list is not sufficient for final inclusion; verify height/floors and event details with cited event or building source</x:v>
      </x:c>
      <x:c r="AA136" s="21" t="str">
        <x:v>Wikipedia dynamic high-rise list (candidate discovery)</x:v>
      </x:c>
      <x:c r="AB136" s="21" t="str">
        <x:v>批量来源代理</x:v>
      </x:c>
      <x:c r="AC136" s="21" t="str"/>
      <x:c r="AD136" s="21" t="n">
        <x:v>1</x:v>
      </x:c>
      <x:c r="AE136" s="21" t="str">
        <x:v>未检查</x:v>
      </x:c>
      <x:c r="AF136" s="21" t="str"/>
      <x:c r="AG136" s="24" t="n">
        <x:v>46260</x:v>
      </x:c>
      <x:c r="AH136" s="21" t="str"/>
      <x:c r="AI136" s="21" t="n">
        <x:v>1</x:v>
      </x:c>
      <x:c r="AJ136" s="21" t="str">
        <x:v>未评估（本事件表不建立热浪因果关系）</x:v>
      </x:c>
      <x:c r="AK136" s="21" t="str">
        <x:v>缺失/待核实</x:v>
      </x:c>
    </x:row>
    <x:row r="137" ht="42" customHeight="1">
      <x:c r="A137" s="33" t="n">
        <x:v>136</x:v>
      </x:c>
      <x:c r="B137" s="33" t="str">
        <x:v>RAW-0136</x:v>
      </x:c>
      <x:c r="C137" s="36" t="str">
        <x:v>亚洲</x:v>
      </x:c>
      <x:c r="D137" s="36" t="str">
        <x:v>United Arab Emirates</x:v>
      </x:c>
      <x:c r="E137" s="21" t="str">
        <x:v>Sharjah</x:v>
      </x:c>
      <x:c r="F137" s="21" t="str">
        <x:v>Al Nasser Tower fire</x:v>
      </x:c>
      <x:c r="G137" s="39" t="n">
        <x:v>42278</x:v>
      </x:c>
      <x:c r="H137" s="21" t="str">
        <x:v>High-rise façade fire; reported floors affected: 26.</x:v>
      </x:c>
      <x:c r="I137" s="21" t="str">
        <x:v>未检索到/待核实</x:v>
      </x:c>
      <x:c r="J137" s="21" t="str">
        <x:v>façade involved; floors affected=26</x:v>
      </x:c>
      <x:c r="K137" s="21" t="str">
        <x:v>https://en.wikipedia.org/wiki/List_of_high-rise_fa%C3%A7ade_fires</x:v>
      </x:c>
      <x:c r="L137" s="27" t="n">
        <x:v>25.3342</x:v>
      </x:c>
      <x:c r="M137" s="27" t="n">
        <x:v>55.41221</x:v>
      </x:c>
      <x:c r="N137" s="21" t="str">
        <x:v>城市代表点（来源明确说明不是火场坐标）</x:v>
      </x:c>
      <x:c r="O137" s="21" t="str">
        <x:v>高层建筑火灾</x:v>
      </x:c>
      <x:c r="P137" s="21" t="str">
        <x:v>未检索到</x:v>
      </x:c>
      <x:c r="Q137" s="21" t="str">
        <x:v>未检索到</x:v>
      </x:c>
      <x:c r="R137" s="21" t="str">
        <x:v>floors affected=26</x:v>
      </x:c>
      <x:c r="S137" s="21" t="str">
        <x:v>未检索到</x:v>
      </x:c>
      <x:c r="T137" s="42" t="n">
        <x:v>0</x:v>
      </x:c>
      <x:c r="U137" s="42" t="n">
        <x:v>40</x:v>
      </x:c>
      <x:c r="V137" s="42"/>
      <x:c r="W137" s="33" t="str">
        <x:v>C</x:v>
      </x:c>
      <x:c r="X137" s="33" t="str">
        <x:v>candidate_list_membership_needs_individual_height_source</x:v>
      </x:c>
      <x:c r="Y137" s="33" t="str">
        <x:v>候选待核实</x:v>
      </x:c>
      <x:c r="Z137" s="21" t="str">
        <x:v>listed in high-rise façade fire table; affected floors are not total building floors；aggregate list is not sufficient for final inclusion; floors affected must not be mistaken for total building floors</x:v>
      </x:c>
      <x:c r="AA137" s="21" t="str">
        <x:v>Wikipedia high-rise façade list; derived from Bonner et al./news (candidate discovery)</x:v>
      </x:c>
      <x:c r="AB137" s="21" t="str">
        <x:v>批量来源代理</x:v>
      </x:c>
      <x:c r="AC137" s="21" t="str"/>
      <x:c r="AD137" s="21" t="n">
        <x:v>1</x:v>
      </x:c>
      <x:c r="AE137" s="21" t="str">
        <x:v>未检查</x:v>
      </x:c>
      <x:c r="AF137" s="21" t="str"/>
      <x:c r="AG137" s="24" t="n">
        <x:v>46260</x:v>
      </x:c>
      <x:c r="AH137" s="21" t="str"/>
      <x:c r="AI137" s="21" t="n">
        <x:v>1</x:v>
      </x:c>
      <x:c r="AJ137" s="21" t="str">
        <x:v>未评估（本事件表不建立热浪因果关系）</x:v>
      </x:c>
      <x:c r="AK137" s="21" t="str">
        <x:v>缺失/待核实</x:v>
      </x:c>
    </x:row>
    <x:row r="138" ht="42" customHeight="1">
      <x:c r="A138" s="33" t="n">
        <x:v>137</x:v>
      </x:c>
      <x:c r="B138" s="33" t="str">
        <x:v>RAW-0137</x:v>
      </x:c>
      <x:c r="C138" s="36" t="str">
        <x:v>亚洲</x:v>
      </x:c>
      <x:c r="D138" s="36" t="str">
        <x:v>United Arab Emirates</x:v>
      </x:c>
      <x:c r="E138" s="21" t="str">
        <x:v>Sharjah</x:v>
      </x:c>
      <x:c r="F138" s="21" t="str">
        <x:v>Unnamed Residential Tower fire</x:v>
      </x:c>
      <x:c r="G138" s="39" t="n">
        <x:v>42278</x:v>
      </x:c>
      <x:c r="H138" s="21" t="str">
        <x:v>Fire burned building facade, 19 treated for smoke inhalation.</x:v>
      </x:c>
      <x:c r="I138" s="21" t="str">
        <x:v>未检索到/待核实</x:v>
      </x:c>
      <x:c r="J138" s="21" t="str">
        <x:v>Fire burned building facade, 19 treated for smoke inhalation.</x:v>
      </x:c>
      <x:c r="K138" s="21" t="str">
        <x:v>https://en.wikipedia.org/wiki/List_of_fires_in_high-rise_buildings</x:v>
      </x:c>
      <x:c r="L138" s="27" t="n">
        <x:v>25.3342</x:v>
      </x:c>
      <x:c r="M138" s="27" t="n">
        <x:v>55.41221</x:v>
      </x:c>
      <x:c r="N138" s="21" t="str">
        <x:v>城市代表点（来源明确说明不是火场坐标）</x:v>
      </x:c>
      <x:c r="O138" s="21" t="str">
        <x:v>高层建筑火灾</x:v>
      </x:c>
      <x:c r="P138" s="21" t="str">
        <x:v>residential</x:v>
      </x:c>
      <x:c r="Q138" s="21" t="str">
        <x:v>未检索到</x:v>
      </x:c>
      <x:c r="R138" s="21" t="str">
        <x:v>未检索到</x:v>
      </x:c>
      <x:c r="S138" s="21" t="str">
        <x:v>未检索到</x:v>
      </x:c>
      <x:c r="T138" s="42" t="n">
        <x:v>0</x:v>
      </x:c>
      <x:c r="U138" s="42"/>
      <x:c r="V138" s="42"/>
      <x:c r="W138" s="33" t="str">
        <x:v>C</x:v>
      </x:c>
      <x:c r="X138" s="33" t="str">
        <x:v>candidate_height_or_list_membership_needs_individual_source</x:v>
      </x:c>
      <x:c r="Y138" s="33" t="str">
        <x:v>候选待核实</x:v>
      </x:c>
      <x:c r="Z138" s="21" t="str">
        <x:v>listed in high-rise fire table；aggregate list is not sufficient for final inclusion; verify height/floors and event details with cited event or building source</x:v>
      </x:c>
      <x:c r="AA138" s="21" t="str">
        <x:v>Wikipedia dynamic high-rise list (candidate discovery)</x:v>
      </x:c>
      <x:c r="AB138" s="21" t="str">
        <x:v>批量来源代理</x:v>
      </x:c>
      <x:c r="AC138" s="21" t="str"/>
      <x:c r="AD138" s="21" t="n">
        <x:v>1</x:v>
      </x:c>
      <x:c r="AE138" s="21" t="str">
        <x:v>未检查</x:v>
      </x:c>
      <x:c r="AF138" s="21" t="str"/>
      <x:c r="AG138" s="24" t="n">
        <x:v>46260</x:v>
      </x:c>
      <x:c r="AH138" s="21" t="str"/>
      <x:c r="AI138" s="21" t="n">
        <x:v>1</x:v>
      </x:c>
      <x:c r="AJ138" s="21" t="str">
        <x:v>未评估（本事件表不建立热浪因果关系）</x:v>
      </x:c>
      <x:c r="AK138" s="21" t="str">
        <x:v>缺失/待核实</x:v>
      </x:c>
    </x:row>
    <x:row r="139" ht="42" customHeight="1">
      <x:c r="A139" s="33" t="n">
        <x:v>138</x:v>
      </x:c>
      <x:c r="B139" s="33" t="str">
        <x:v>RAW-0138</x:v>
      </x:c>
      <x:c r="C139" s="36" t="str">
        <x:v>北美洲</x:v>
      </x:c>
      <x:c r="D139" s="36" t="str">
        <x:v>United States</x:v>
      </x:c>
      <x:c r="E139" s="21" t="str">
        <x:v>Chicago</x:v>
      </x:c>
      <x:c r="F139" s="21" t="str">
        <x:v>John Hancock Center fire</x:v>
      </x:c>
      <x:c r="G139" s="39" t="n">
        <x:v>42329</x:v>
      </x:c>
      <x:c r="H139" s="21" t="str">
        <x:v>A two-alarm fire broke out on the 50th floor. Five injured.</x:v>
      </x:c>
      <x:c r="I139" s="21" t="str">
        <x:v>未检索到/待核实</x:v>
      </x:c>
      <x:c r="J139" s="21" t="str">
        <x:v>A two-alarm fire broke out on the 50th floor. Five injured.</x:v>
      </x:c>
      <x:c r="K139" s="21" t="str">
        <x:v>https://en.wikipedia.org/wiki/List_of_fires_in_high-rise_buildings</x:v>
      </x:c>
      <x:c r="L139" s="27" t="n">
        <x:v>41.85003</x:v>
      </x:c>
      <x:c r="M139" s="27" t="n">
        <x:v>-87.65005</x:v>
      </x:c>
      <x:c r="N139" s="21" t="str">
        <x:v>城市代表点（来源明确说明不是火场坐标）</x:v>
      </x:c>
      <x:c r="O139" s="21" t="str">
        <x:v>高层建筑火灾</x:v>
      </x:c>
      <x:c r="P139" s="21" t="str">
        <x:v>未检索到</x:v>
      </x:c>
      <x:c r="Q139" s="21" t="str">
        <x:v>457 m</x:v>
      </x:c>
      <x:c r="R139" s="21" t="str">
        <x:v>未检索到</x:v>
      </x:c>
      <x:c r="S139" s="21" t="str">
        <x:v>未检索到</x:v>
      </x:c>
      <x:c r="T139" s="42" t="n">
        <x:v>0</x:v>
      </x:c>
      <x:c r="U139" s="42"/>
      <x:c r="V139" s="42"/>
      <x:c r="W139" s="33" t="str">
        <x:v>C</x:v>
      </x:c>
      <x:c r="X139" s="33" t="str">
        <x:v>candidate_height_or_list_membership_needs_individual_source</x:v>
      </x:c>
      <x:c r="Y139" s="33" t="str">
        <x:v>候选待核实</x:v>
      </x:c>
      <x:c r="Z139" s="21" t="str">
        <x:v>height=457 m; listed in high-rise fire table；aggregate list is not sufficient for final inclusion; verify height/floors and event details with cited event or building source</x:v>
      </x:c>
      <x:c r="AA139" s="21" t="str">
        <x:v>Wikipedia dynamic high-rise list (candidate discovery)</x:v>
      </x:c>
      <x:c r="AB139" s="21" t="str">
        <x:v>批量来源代理</x:v>
      </x:c>
      <x:c r="AC139" s="21" t="str"/>
      <x:c r="AD139" s="21" t="n">
        <x:v>1</x:v>
      </x:c>
      <x:c r="AE139" s="21" t="str">
        <x:v>未检查</x:v>
      </x:c>
      <x:c r="AF139" s="21" t="str"/>
      <x:c r="AG139" s="24" t="n">
        <x:v>46260</x:v>
      </x:c>
      <x:c r="AH139" s="21" t="str"/>
      <x:c r="AI139" s="21" t="n">
        <x:v>1</x:v>
      </x:c>
      <x:c r="AJ139" s="21" t="str">
        <x:v>未评估（本事件表不建立热浪因果关系）</x:v>
      </x:c>
      <x:c r="AK139" s="21" t="str">
        <x:v>缺失/待核实</x:v>
      </x:c>
    </x:row>
    <x:row r="140" ht="42" customHeight="1">
      <x:c r="A140" s="33" t="n">
        <x:v>139</x:v>
      </x:c>
      <x:c r="B140" s="33" t="str">
        <x:v>RAW-0139</x:v>
      </x:c>
      <x:c r="C140" s="36" t="str">
        <x:v>亚洲</x:v>
      </x:c>
      <x:c r="D140" s="36" t="str">
        <x:v>United Arab Emirates</x:v>
      </x:c>
      <x:c r="E140" s="21" t="str">
        <x:v>Dubai</x:v>
      </x:c>
      <x:c r="F140" s="21" t="str">
        <x:v>Address Downtown Hotel fire</x:v>
      </x:c>
      <x:c r="G140" s="39" t="n">
        <x:v>42369</x:v>
      </x:c>
      <x:c r="H140" s="21" t="str">
        <x:v>High-rise façade fire; reported floors affected: 1.</x:v>
      </x:c>
      <x:c r="I140" s="21" t="str">
        <x:v>未检索到/待核实</x:v>
      </x:c>
      <x:c r="J140" s="21" t="str">
        <x:v>façade involved; floors affected=1</x:v>
      </x:c>
      <x:c r="K140" s="21" t="str">
        <x:v>https://en.wikipedia.org/wiki/List_of_high-rise_fa%C3%A7ade_fires</x:v>
      </x:c>
      <x:c r="L140" s="27" t="n">
        <x:v>25.07725</x:v>
      </x:c>
      <x:c r="M140" s="27" t="n">
        <x:v>55.30927</x:v>
      </x:c>
      <x:c r="N140" s="21" t="str">
        <x:v>城市代表点（来源明确说明不是火场坐标）</x:v>
      </x:c>
      <x:c r="O140" s="21" t="str">
        <x:v>高层建筑火灾</x:v>
      </x:c>
      <x:c r="P140" s="21" t="str">
        <x:v>hotel</x:v>
      </x:c>
      <x:c r="Q140" s="21" t="str">
        <x:v>未检索到</x:v>
      </x:c>
      <x:c r="R140" s="21" t="str">
        <x:v>floors affected=1</x:v>
      </x:c>
      <x:c r="S140" s="21" t="str">
        <x:v>未检索到</x:v>
      </x:c>
      <x:c r="T140" s="42" t="n">
        <x:v>0</x:v>
      </x:c>
      <x:c r="U140" s="42" t="n">
        <x:v>15</x:v>
      </x:c>
      <x:c r="V140" s="42"/>
      <x:c r="W140" s="33" t="str">
        <x:v>C</x:v>
      </x:c>
      <x:c r="X140" s="33" t="str">
        <x:v>candidate_list_membership_needs_individual_height_source</x:v>
      </x:c>
      <x:c r="Y140" s="33" t="str">
        <x:v>候选待核实</x:v>
      </x:c>
      <x:c r="Z140" s="21" t="str">
        <x:v>listed in high-rise façade fire table; affected floors are not total building floors；aggregate list is not sufficient for final inclusion; floors affected must not be mistaken for total building floors</x:v>
      </x:c>
      <x:c r="AA140" s="21" t="str">
        <x:v>Wikipedia high-rise façade list; derived from Bonner et al./news (candidate discovery)</x:v>
      </x:c>
      <x:c r="AB140" s="21" t="str">
        <x:v>批量来源代理</x:v>
      </x:c>
      <x:c r="AC140" s="21" t="str"/>
      <x:c r="AD140" s="21" t="n">
        <x:v>1</x:v>
      </x:c>
      <x:c r="AE140" s="21" t="str">
        <x:v>未检查</x:v>
      </x:c>
      <x:c r="AF140" s="21" t="str"/>
      <x:c r="AG140" s="24" t="n">
        <x:v>46260</x:v>
      </x:c>
      <x:c r="AH140" s="21" t="str"/>
      <x:c r="AI140" s="21" t="n">
        <x:v>1</x:v>
      </x:c>
      <x:c r="AJ140" s="21" t="str">
        <x:v>未评估（本事件表不建立热浪因果关系）</x:v>
      </x:c>
      <x:c r="AK140" s="21" t="str">
        <x:v>缺失/待核实</x:v>
      </x:c>
    </x:row>
    <x:row r="141" ht="42" customHeight="1">
      <x:c r="A141" s="33" t="n">
        <x:v>140</x:v>
      </x:c>
      <x:c r="B141" s="33" t="str">
        <x:v>RAW-0140</x:v>
      </x:c>
      <x:c r="C141" s="36" t="str">
        <x:v>亚洲</x:v>
      </x:c>
      <x:c r="D141" s="36" t="str">
        <x:v>United Arab Emirates</x:v>
      </x:c>
      <x:c r="E141" s="21" t="str">
        <x:v>Dubai</x:v>
      </x:c>
      <x:c r="F141" s="21" t="str">
        <x:v>The Address Downtown Dubai fire</x:v>
      </x:c>
      <x:c r="G141" s="39" t="n">
        <x:v>42369</x:v>
      </x:c>
      <x:c r="H141" s="21" t="str">
        <x:v>Occurred on New Year's Eve, 14 injured.</x:v>
      </x:c>
      <x:c r="I141" s="21" t="str">
        <x:v>未检索到/待核实</x:v>
      </x:c>
      <x:c r="J141" s="21" t="str">
        <x:v>Occurred on New Year's Eve, 14 injured.</x:v>
      </x:c>
      <x:c r="K141" s="21" t="str">
        <x:v>https://en.wikipedia.org/wiki/List_of_fires_in_high-rise_buildings</x:v>
      </x:c>
      <x:c r="L141" s="27" t="n">
        <x:v>25.07725</x:v>
      </x:c>
      <x:c r="M141" s="27" t="n">
        <x:v>55.30927</x:v>
      </x:c>
      <x:c r="N141" s="21" t="str">
        <x:v>城市代表点（来源明确说明不是火场坐标）</x:v>
      </x:c>
      <x:c r="O141" s="21" t="str">
        <x:v>高层建筑火灾</x:v>
      </x:c>
      <x:c r="P141" s="21" t="str">
        <x:v>未检索到</x:v>
      </x:c>
      <x:c r="Q141" s="21" t="str">
        <x:v>306.2 m</x:v>
      </x:c>
      <x:c r="R141" s="21" t="str">
        <x:v>未检索到</x:v>
      </x:c>
      <x:c r="S141" s="21" t="str">
        <x:v>未检索到</x:v>
      </x:c>
      <x:c r="T141" s="42" t="n">
        <x:v>1</x:v>
      </x:c>
      <x:c r="U141" s="42" t="n">
        <x:v>14</x:v>
      </x:c>
      <x:c r="V141" s="42"/>
      <x:c r="W141" s="33" t="str">
        <x:v>C</x:v>
      </x:c>
      <x:c r="X141" s="33" t="str">
        <x:v>candidate_height_or_list_membership_needs_individual_source</x:v>
      </x:c>
      <x:c r="Y141" s="33" t="str">
        <x:v>候选待核实</x:v>
      </x:c>
      <x:c r="Z141" s="21" t="str">
        <x:v>height=306.2 m; listed in high-rise fire table；aggregate list is not sufficient for final inclusion; verify height/floors and event details with cited event or building source</x:v>
      </x:c>
      <x:c r="AA141" s="21" t="str">
        <x:v>Wikipedia dynamic high-rise list (candidate discovery)</x:v>
      </x:c>
      <x:c r="AB141" s="21" t="str">
        <x:v>批量来源代理</x:v>
      </x:c>
      <x:c r="AC141" s="21" t="str"/>
      <x:c r="AD141" s="21" t="n">
        <x:v>1</x:v>
      </x:c>
      <x:c r="AE141" s="21" t="str">
        <x:v>未检查</x:v>
      </x:c>
      <x:c r="AF141" s="21" t="str"/>
      <x:c r="AG141" s="24" t="n">
        <x:v>46260</x:v>
      </x:c>
      <x:c r="AH141" s="21" t="str"/>
      <x:c r="AI141" s="21" t="n">
        <x:v>1</x:v>
      </x:c>
      <x:c r="AJ141" s="21" t="str">
        <x:v>未评估（本事件表不建立热浪因果关系）</x:v>
      </x:c>
      <x:c r="AK141" s="21" t="str">
        <x:v>缺失/待核实</x:v>
      </x:c>
    </x:row>
    <x:row r="142" ht="42" customHeight="1">
      <x:c r="A142" s="33" t="n">
        <x:v>141</x:v>
      </x:c>
      <x:c r="B142" s="33" t="str">
        <x:v>RAW-0141</x:v>
      </x:c>
      <x:c r="C142" s="36" t="str">
        <x:v>欧洲</x:v>
      </x:c>
      <x:c r="D142" s="36" t="str">
        <x:v>France</x:v>
      </x:c>
      <x:c r="E142" s="21" t="str">
        <x:v>Paris</x:v>
      </x:c>
      <x:c r="F142" s="21" t="str">
        <x:v>Tour Anvers (in Les Olympiades residential complex) fire</x:v>
      </x:c>
      <x:c r="G142" s="39" t="n">
        <x:v>42381</x:v>
      </x:c>
      <x:c r="H142" s="21" t="str">
        <x:v>16th of 31 flrs, contained to apt without spreading, 1 killed, 31-year-old woman with muscle disability.</x:v>
      </x:c>
      <x:c r="I142" s="21" t="str">
        <x:v>未检索到/待核实</x:v>
      </x:c>
      <x:c r="J142" s="21" t="str">
        <x:v>16th of 31 flrs, contained to apt without spreading, 1 killed, 31-year-old woman with muscle disability.</x:v>
      </x:c>
      <x:c r="K142" s="21" t="str">
        <x:v>https://en.wikipedia.org/wiki/List_of_fires_in_high-rise_buildings</x:v>
      </x:c>
      <x:c r="L142" s="27" t="n">
        <x:v>48.85341</x:v>
      </x:c>
      <x:c r="M142" s="27" t="n">
        <x:v>2.3488</x:v>
      </x:c>
      <x:c r="N142" s="21" t="str">
        <x:v>城市代表点（来源明确说明不是火场坐标）</x:v>
      </x:c>
      <x:c r="O142" s="21" t="str">
        <x:v>高层建筑火灾</x:v>
      </x:c>
      <x:c r="P142" s="21" t="str">
        <x:v>residential</x:v>
      </x:c>
      <x:c r="Q142" s="21" t="str">
        <x:v>104 m</x:v>
      </x:c>
      <x:c r="R142" s="21" t="str">
        <x:v>未检索到</x:v>
      </x:c>
      <x:c r="S142" s="21" t="str">
        <x:v>未检索到</x:v>
      </x:c>
      <x:c r="T142" s="42" t="n">
        <x:v>1</x:v>
      </x:c>
      <x:c r="U142" s="42"/>
      <x:c r="V142" s="42"/>
      <x:c r="W142" s="33" t="str">
        <x:v>C</x:v>
      </x:c>
      <x:c r="X142" s="33" t="str">
        <x:v>candidate_height_or_list_membership_needs_individual_source</x:v>
      </x:c>
      <x:c r="Y142" s="33" t="str">
        <x:v>候选待核实</x:v>
      </x:c>
      <x:c r="Z142" s="21" t="str">
        <x:v>height=104 m; listed in high-rise fire table；aggregate list is not sufficient for final inclusion; verify height/floors and event details with cited event or building source</x:v>
      </x:c>
      <x:c r="AA142" s="21" t="str">
        <x:v>Wikipedia dynamic high-rise list (candidate discovery)</x:v>
      </x:c>
      <x:c r="AB142" s="21" t="str">
        <x:v>批量来源代理</x:v>
      </x:c>
      <x:c r="AC142" s="21" t="str"/>
      <x:c r="AD142" s="21" t="n">
        <x:v>1</x:v>
      </x:c>
      <x:c r="AE142" s="21" t="str">
        <x:v>未检查</x:v>
      </x:c>
      <x:c r="AF142" s="21" t="str"/>
      <x:c r="AG142" s="24" t="n">
        <x:v>46260</x:v>
      </x:c>
      <x:c r="AH142" s="21" t="str"/>
      <x:c r="AI142" s="21" t="n">
        <x:v>1</x:v>
      </x:c>
      <x:c r="AJ142" s="21" t="str">
        <x:v>未评估（本事件表不建立热浪因果关系）</x:v>
      </x:c>
      <x:c r="AK142" s="21" t="str">
        <x:v>缺失/待核实</x:v>
      </x:c>
    </x:row>
    <x:row r="143" ht="42" customHeight="1">
      <x:c r="A143" s="33" t="n">
        <x:v>142</x:v>
      </x:c>
      <x:c r="B143" s="33" t="str">
        <x:v>RAW-0142</x:v>
      </x:c>
      <x:c r="C143" s="36" t="str">
        <x:v>欧洲</x:v>
      </x:c>
      <x:c r="D143" s="36" t="str">
        <x:v>France</x:v>
      </x:c>
      <x:c r="E143" s="21" t="str">
        <x:v>Saint-Denis</x:v>
      </x:c>
      <x:c r="F143" s="21" t="str">
        <x:v>An unidentified tower on avenue Romain-Rolland fire</x:v>
      </x:c>
      <x:c r="G143" s="39" t="n">
        <x:v>42382</x:v>
      </x:c>
      <x:c r="H143" s="21" t="str"/>
      <x:c r="I143" s="21" t="str">
        <x:v>未检索到/待核实</x:v>
      </x:c>
      <x:c r="J143" s="21" t="str"/>
      <x:c r="K143" s="21" t="str">
        <x:v>https://en.wikipedia.org/wiki/List_of_fires_in_high-rise_buildings</x:v>
      </x:c>
      <x:c r="L143" s="27" t="n">
        <x:v>48.93564</x:v>
      </x:c>
      <x:c r="M143" s="27" t="n">
        <x:v>2.35387</x:v>
      </x:c>
      <x:c r="N143" s="21" t="str">
        <x:v>城市代表点（来源明确说明不是火场坐标）</x:v>
      </x:c>
      <x:c r="O143" s="21" t="str">
        <x:v>高层建筑火灾</x:v>
      </x:c>
      <x:c r="P143" s="21" t="str">
        <x:v>未检索到</x:v>
      </x:c>
      <x:c r="Q143" s="21" t="str">
        <x:v>33 m</x:v>
      </x:c>
      <x:c r="R143" s="21" t="str">
        <x:v>未检索到</x:v>
      </x:c>
      <x:c r="S143" s="21" t="str">
        <x:v>未检索到</x:v>
      </x:c>
      <x:c r="T143" s="42" t="n">
        <x:v>1</x:v>
      </x:c>
      <x:c r="U143" s="42"/>
      <x:c r="V143" s="42"/>
      <x:c r="W143" s="33" t="str">
        <x:v>C</x:v>
      </x:c>
      <x:c r="X143" s="33" t="str">
        <x:v>candidate_height_or_list_membership_needs_individual_source</x:v>
      </x:c>
      <x:c r="Y143" s="33" t="str">
        <x:v>候选待核实</x:v>
      </x:c>
      <x:c r="Z143" s="21" t="str">
        <x:v>height=33 m; listed in high-rise fire table；aggregate list is not sufficient for final inclusion; verify height/floors and event details with cited event or building source</x:v>
      </x:c>
      <x:c r="AA143" s="21" t="str">
        <x:v>Wikipedia dynamic high-rise list (candidate discovery)</x:v>
      </x:c>
      <x:c r="AB143" s="21" t="str">
        <x:v>批量来源代理</x:v>
      </x:c>
      <x:c r="AC143" s="21" t="str"/>
      <x:c r="AD143" s="21" t="n">
        <x:v>1</x:v>
      </x:c>
      <x:c r="AE143" s="21" t="str">
        <x:v>未检查</x:v>
      </x:c>
      <x:c r="AF143" s="21" t="str"/>
      <x:c r="AG143" s="24" t="n">
        <x:v>46260</x:v>
      </x:c>
      <x:c r="AH143" s="21" t="str"/>
      <x:c r="AI143" s="21" t="n">
        <x:v>1</x:v>
      </x:c>
      <x:c r="AJ143" s="21" t="str">
        <x:v>未评估（本事件表不建立热浪因果关系）</x:v>
      </x:c>
      <x:c r="AK143" s="21" t="str">
        <x:v>缺失/待核实</x:v>
      </x:c>
    </x:row>
    <x:row r="144" ht="42" customHeight="1">
      <x:c r="A144" s="33" t="n">
        <x:v>143</x:v>
      </x:c>
      <x:c r="B144" s="33" t="str">
        <x:v>RAW-0143</x:v>
      </x:c>
      <x:c r="C144" s="36" t="str">
        <x:v>亚洲</x:v>
      </x:c>
      <x:c r="D144" s="36" t="str">
        <x:v>United Arab Emirates</x:v>
      </x:c>
      <x:c r="E144" s="21" t="str">
        <x:v>Ajman</x:v>
      </x:c>
      <x:c r="F144" s="21" t="str">
        <x:v>Ajman One Complex fire</x:v>
      </x:c>
      <x:c r="G144" s="39" t="n">
        <x:v>42457</x:v>
      </x:c>
      <x:c r="H144" s="21" t="str">
        <x:v>High-rise façade fire; reported floors affected: 1.</x:v>
      </x:c>
      <x:c r="I144" s="21" t="str">
        <x:v>未检索到/待核实</x:v>
      </x:c>
      <x:c r="J144" s="21" t="str">
        <x:v>façade involved; floors affected=1</x:v>
      </x:c>
      <x:c r="K144" s="21" t="str">
        <x:v>https://en.wikipedia.org/wiki/List_of_high-rise_fa%C3%A7ade_fires</x:v>
      </x:c>
      <x:c r="L144" s="27" t="n">
        <x:v>25.40177</x:v>
      </x:c>
      <x:c r="M144" s="27" t="n">
        <x:v>55.47878</x:v>
      </x:c>
      <x:c r="N144" s="21" t="str">
        <x:v>城市代表点（来源明确说明不是火场坐标）</x:v>
      </x:c>
      <x:c r="O144" s="21" t="str">
        <x:v>高层建筑火灾</x:v>
      </x:c>
      <x:c r="P144" s="21" t="str">
        <x:v>未检索到</x:v>
      </x:c>
      <x:c r="Q144" s="21" t="str">
        <x:v>未检索到</x:v>
      </x:c>
      <x:c r="R144" s="21" t="str">
        <x:v>floors affected=1</x:v>
      </x:c>
      <x:c r="S144" s="21" t="str">
        <x:v>未检索到</x:v>
      </x:c>
      <x:c r="T144" s="42" t="n">
        <x:v>0</x:v>
      </x:c>
      <x:c r="U144" s="42" t="n">
        <x:v>0</x:v>
      </x:c>
      <x:c r="V144" s="42"/>
      <x:c r="W144" s="33" t="str">
        <x:v>C</x:v>
      </x:c>
      <x:c r="X144" s="33" t="str">
        <x:v>candidate_list_membership_needs_individual_height_source</x:v>
      </x:c>
      <x:c r="Y144" s="33" t="str">
        <x:v>候选待核实</x:v>
      </x:c>
      <x:c r="Z144" s="21" t="str">
        <x:v>listed in high-rise façade fire table; affected floors are not total building floors；aggregate list is not sufficient for final inclusion; floors affected must not be mistaken for total building floors</x:v>
      </x:c>
      <x:c r="AA144" s="21" t="str">
        <x:v>Wikipedia high-rise façade list; derived from Bonner et al./news (candidate discovery)</x:v>
      </x:c>
      <x:c r="AB144" s="21" t="str">
        <x:v>批量来源代理</x:v>
      </x:c>
      <x:c r="AC144" s="21" t="str"/>
      <x:c r="AD144" s="21" t="n">
        <x:v>1</x:v>
      </x:c>
      <x:c r="AE144" s="21" t="str">
        <x:v>未检查</x:v>
      </x:c>
      <x:c r="AF144" s="21" t="str"/>
      <x:c r="AG144" s="24" t="n">
        <x:v>46260</x:v>
      </x:c>
      <x:c r="AH144" s="21" t="str"/>
      <x:c r="AI144" s="21" t="n">
        <x:v>1</x:v>
      </x:c>
      <x:c r="AJ144" s="21" t="str">
        <x:v>未评估（本事件表不建立热浪因果关系）</x:v>
      </x:c>
      <x:c r="AK144" s="21" t="str">
        <x:v>缺失/待核实</x:v>
      </x:c>
    </x:row>
    <x:row r="145" ht="42" customHeight="1">
      <x:c r="A145" s="33" t="n">
        <x:v>144</x:v>
      </x:c>
      <x:c r="B145" s="33" t="str">
        <x:v>RAW-0144</x:v>
      </x:c>
      <x:c r="C145" s="36" t="str">
        <x:v>亚洲</x:v>
      </x:c>
      <x:c r="D145" s="36" t="str">
        <x:v>China</x:v>
      </x:c>
      <x:c r="E145" s="21" t="str">
        <x:v>Nanjing</x:v>
      </x:c>
      <x:c r="F145" s="21" t="str">
        <x:v>Longsheng Building fire</x:v>
      </x:c>
      <x:c r="G145" s="39" t="n">
        <x:v>42493</x:v>
      </x:c>
      <x:c r="H145" s="21" t="str">
        <x:v>High-rise façade fire; reported floors affected: 1.</x:v>
      </x:c>
      <x:c r="I145" s="21" t="str">
        <x:v>未检索到/待核实</x:v>
      </x:c>
      <x:c r="J145" s="21" t="str">
        <x:v>façade involved; floors affected=1</x:v>
      </x:c>
      <x:c r="K145" s="21" t="str">
        <x:v>https://en.wikipedia.org/wiki/List_of_high-rise_fa%C3%A7ade_fires</x:v>
      </x:c>
      <x:c r="L145" s="27" t="n">
        <x:v>32.06167</x:v>
      </x:c>
      <x:c r="M145" s="27" t="n">
        <x:v>118.77778</x:v>
      </x:c>
      <x:c r="N145" s="21" t="str">
        <x:v>城市代表点（来源明确说明不是火场坐标）</x:v>
      </x:c>
      <x:c r="O145" s="21" t="str">
        <x:v>高层建筑火灾</x:v>
      </x:c>
      <x:c r="P145" s="21" t="str">
        <x:v>未检索到</x:v>
      </x:c>
      <x:c r="Q145" s="21" t="str">
        <x:v>未检索到</x:v>
      </x:c>
      <x:c r="R145" s="21" t="str">
        <x:v>floors affected=1</x:v>
      </x:c>
      <x:c r="S145" s="21" t="str">
        <x:v>未检索到</x:v>
      </x:c>
      <x:c r="T145" s="42" t="n">
        <x:v>0</x:v>
      </x:c>
      <x:c r="U145" s="42" t="n">
        <x:v>0</x:v>
      </x:c>
      <x:c r="V145" s="42"/>
      <x:c r="W145" s="33" t="str">
        <x:v>C</x:v>
      </x:c>
      <x:c r="X145" s="33" t="str">
        <x:v>candidate_list_membership_needs_individual_height_source</x:v>
      </x:c>
      <x:c r="Y145" s="33" t="str">
        <x:v>候选待核实</x:v>
      </x:c>
      <x:c r="Z145" s="21" t="str">
        <x:v>listed in high-rise façade fire table; affected floors are not total building floors；aggregate list is not sufficient for final inclusion; floors affected must not be mistaken for total building floors</x:v>
      </x:c>
      <x:c r="AA145" s="21" t="str">
        <x:v>Wikipedia high-rise façade list; derived from Bonner et al./news (candidate discovery)</x:v>
      </x:c>
      <x:c r="AB145" s="21" t="str">
        <x:v>批量来源代理</x:v>
      </x:c>
      <x:c r="AC145" s="21" t="str"/>
      <x:c r="AD145" s="21" t="n">
        <x:v>1</x:v>
      </x:c>
      <x:c r="AE145" s="21" t="str">
        <x:v>未检查</x:v>
      </x:c>
      <x:c r="AF145" s="21" t="str"/>
      <x:c r="AG145" s="24" t="n">
        <x:v>46260</x:v>
      </x:c>
      <x:c r="AH145" s="21" t="str"/>
      <x:c r="AI145" s="21" t="n">
        <x:v>1</x:v>
      </x:c>
      <x:c r="AJ145" s="21" t="str">
        <x:v>未评估（本事件表不建立热浪因果关系）</x:v>
      </x:c>
      <x:c r="AK145" s="21" t="str">
        <x:v>缺失/待核实</x:v>
      </x:c>
    </x:row>
    <x:row r="146" ht="42" customHeight="1">
      <x:c r="A146" s="33" t="n">
        <x:v>145</x:v>
      </x:c>
      <x:c r="B146" s="33" t="str">
        <x:v>RAW-0145</x:v>
      </x:c>
      <x:c r="C146" s="36" t="str">
        <x:v>欧洲</x:v>
      </x:c>
      <x:c r="D146" s="36" t="str">
        <x:v>France</x:v>
      </x:c>
      <x:c r="E146" s="21" t="str">
        <x:v>Paris 20e</x:v>
      </x:c>
      <x:c r="F146" s="21" t="str">
        <x:v>158 bd Davout fire</x:v>
      </x:c>
      <x:c r="G146" s="39" t="n">
        <x:v>42522</x:v>
      </x:c>
      <x:c r="H146" s="21" t="str">
        <x:v>3rd through 7th of 7 flrs, 8 injured.</x:v>
      </x:c>
      <x:c r="I146" s="21" t="str">
        <x:v>未检索到/待核实</x:v>
      </x:c>
      <x:c r="J146" s="21" t="str">
        <x:v>3rd through 7th of 7 flrs, 8 injured.</x:v>
      </x:c>
      <x:c r="K146" s="21" t="str">
        <x:v>https://en.wikipedia.org/wiki/List_of_fires_in_high-rise_buildings</x:v>
      </x:c>
      <x:c r="L146" s="27"/>
      <x:c r="M146" s="27"/>
      <x:c r="N146" s="21" t="str">
        <x:v>未提供坐标</x:v>
      </x:c>
      <x:c r="O146" s="21" t="str">
        <x:v>高层建筑火灾</x:v>
      </x:c>
      <x:c r="P146" s="21" t="str">
        <x:v>未检索到</x:v>
      </x:c>
      <x:c r="Q146" s="21" t="str">
        <x:v>21 m</x:v>
      </x:c>
      <x:c r="R146" s="21" t="str">
        <x:v>未检索到</x:v>
      </x:c>
      <x:c r="S146" s="21" t="str">
        <x:v>未检索到</x:v>
      </x:c>
      <x:c r="T146" s="42" t="n">
        <x:v>1</x:v>
      </x:c>
      <x:c r="U146" s="42" t="n">
        <x:v>8</x:v>
      </x:c>
      <x:c r="V146" s="42"/>
      <x:c r="W146" s="33" t="str">
        <x:v>C</x:v>
      </x:c>
      <x:c r="X146" s="33" t="str">
        <x:v>candidate_height_or_list_membership_needs_individual_source</x:v>
      </x:c>
      <x:c r="Y146" s="33" t="str">
        <x:v>候选待核实</x:v>
      </x:c>
      <x:c r="Z146" s="21" t="str">
        <x:v>height=21 m; listed in high-rise fire table；aggregate list is not sufficient for final inclusion; verify height/floors and event details with cited event or building source</x:v>
      </x:c>
      <x:c r="AA146" s="21" t="str">
        <x:v>Wikipedia dynamic high-rise list (candidate discovery)</x:v>
      </x:c>
      <x:c r="AB146" s="21" t="str">
        <x:v>批量来源代理</x:v>
      </x:c>
      <x:c r="AC146" s="21" t="str"/>
      <x:c r="AD146" s="21" t="n">
        <x:v>1</x:v>
      </x:c>
      <x:c r="AE146" s="21" t="str">
        <x:v>未检查</x:v>
      </x:c>
      <x:c r="AF146" s="21" t="str"/>
      <x:c r="AG146" s="24" t="n">
        <x:v>46260</x:v>
      </x:c>
      <x:c r="AH146" s="21" t="str"/>
      <x:c r="AI146" s="21" t="n">
        <x:v>1</x:v>
      </x:c>
      <x:c r="AJ146" s="21" t="str">
        <x:v>未评估（本事件表不建立热浪因果关系）</x:v>
      </x:c>
      <x:c r="AK146" s="21" t="str">
        <x:v>缺失/待核实</x:v>
      </x:c>
    </x:row>
    <x:row r="147" ht="42" customHeight="1">
      <x:c r="A147" s="33" t="n">
        <x:v>146</x:v>
      </x:c>
      <x:c r="B147" s="33" t="str">
        <x:v>RAW-0146</x:v>
      </x:c>
      <x:c r="C147" s="36" t="str">
        <x:v>亚洲</x:v>
      </x:c>
      <x:c r="D147" s="36" t="str">
        <x:v>United Arab Emirates</x:v>
      </x:c>
      <x:c r="E147" s="21" t="str">
        <x:v>Dubai</x:v>
      </x:c>
      <x:c r="F147" s="21" t="str">
        <x:v>Sulafa Tower fire</x:v>
      </x:c>
      <x:c r="G147" s="39" t="n">
        <x:v>42571</x:v>
      </x:c>
      <x:c r="H147" s="21" t="str"/>
      <x:c r="I147" s="21" t="str">
        <x:v>未检索到/待核实</x:v>
      </x:c>
      <x:c r="J147" s="21" t="str"/>
      <x:c r="K147" s="21" t="str">
        <x:v>https://en.wikipedia.org/wiki/List_of_fires_in_high-rise_buildings</x:v>
      </x:c>
      <x:c r="L147" s="27" t="n">
        <x:v>25.07725</x:v>
      </x:c>
      <x:c r="M147" s="27" t="n">
        <x:v>55.30927</x:v>
      </x:c>
      <x:c r="N147" s="21" t="str">
        <x:v>城市代表点（来源明确说明不是火场坐标）</x:v>
      </x:c>
      <x:c r="O147" s="21" t="str">
        <x:v>高层建筑火灾</x:v>
      </x:c>
      <x:c r="P147" s="21" t="str">
        <x:v>未检索到</x:v>
      </x:c>
      <x:c r="Q147" s="21" t="str">
        <x:v>288 m</x:v>
      </x:c>
      <x:c r="R147" s="21" t="str">
        <x:v>未检索到</x:v>
      </x:c>
      <x:c r="S147" s="21" t="str">
        <x:v>未检索到</x:v>
      </x:c>
      <x:c r="T147" s="42" t="n">
        <x:v>0</x:v>
      </x:c>
      <x:c r="U147" s="42"/>
      <x:c r="V147" s="42"/>
      <x:c r="W147" s="33" t="str">
        <x:v>C</x:v>
      </x:c>
      <x:c r="X147" s="33" t="str">
        <x:v>candidate_height_or_list_membership_needs_individual_source</x:v>
      </x:c>
      <x:c r="Y147" s="33" t="str">
        <x:v>候选待核实</x:v>
      </x:c>
      <x:c r="Z147" s="21" t="str">
        <x:v>height=288 m; listed in high-rise fire table；aggregate list is not sufficient for final inclusion; verify height/floors and event details with cited event or building source</x:v>
      </x:c>
      <x:c r="AA147" s="21" t="str">
        <x:v>Wikipedia dynamic high-rise list (candidate discovery)</x:v>
      </x:c>
      <x:c r="AB147" s="21" t="str">
        <x:v>批量来源代理</x:v>
      </x:c>
      <x:c r="AC147" s="21" t="str"/>
      <x:c r="AD147" s="21" t="n">
        <x:v>1</x:v>
      </x:c>
      <x:c r="AE147" s="21" t="str">
        <x:v>未检查</x:v>
      </x:c>
      <x:c r="AF147" s="21" t="str"/>
      <x:c r="AG147" s="24" t="n">
        <x:v>46260</x:v>
      </x:c>
      <x:c r="AH147" s="21" t="str"/>
      <x:c r="AI147" s="21" t="n">
        <x:v>1</x:v>
      </x:c>
      <x:c r="AJ147" s="21" t="str">
        <x:v>未评估（本事件表不建立热浪因果关系）</x:v>
      </x:c>
      <x:c r="AK147" s="21" t="str">
        <x:v>缺失/待核实</x:v>
      </x:c>
    </x:row>
    <x:row r="148" ht="42" customHeight="1">
      <x:c r="A148" s="33" t="n">
        <x:v>147</x:v>
      </x:c>
      <x:c r="B148" s="33" t="str">
        <x:v>RAW-0147</x:v>
      </x:c>
      <x:c r="C148" s="36" t="str">
        <x:v>欧洲</x:v>
      </x:c>
      <x:c r="D148" s="36" t="str">
        <x:v>United Kingdom</x:v>
      </x:c>
      <x:c r="E148" s="21" t="str">
        <x:v>London</x:v>
      </x:c>
      <x:c r="F148" s="21" t="str">
        <x:v>Shepherds Court fire</x:v>
      </x:c>
      <x:c r="G148" s="39" t="n">
        <x:v>42601</x:v>
      </x:c>
      <x:c r="H148" s="21" t="str">
        <x:v>High-rise façade fire; reported floors affected: 3.</x:v>
      </x:c>
      <x:c r="I148" s="21" t="str">
        <x:v>未检索到/待核实</x:v>
      </x:c>
      <x:c r="J148" s="21" t="str">
        <x:v>façade involved; floors affected=3</x:v>
      </x:c>
      <x:c r="K148" s="21" t="str">
        <x:v>https://en.wikipedia.org/wiki/List_of_high-rise_fa%C3%A7ade_fires</x:v>
      </x:c>
      <x:c r="L148" s="27"/>
      <x:c r="M148" s="27"/>
      <x:c r="N148" s="21" t="str">
        <x:v>未提供坐标</x:v>
      </x:c>
      <x:c r="O148" s="21" t="str">
        <x:v>高层建筑火灾</x:v>
      </x:c>
      <x:c r="P148" s="21" t="str">
        <x:v>未检索到</x:v>
      </x:c>
      <x:c r="Q148" s="21" t="str">
        <x:v>未检索到</x:v>
      </x:c>
      <x:c r="R148" s="21" t="str">
        <x:v>floors affected=3</x:v>
      </x:c>
      <x:c r="S148" s="21" t="str">
        <x:v>未检索到</x:v>
      </x:c>
      <x:c r="T148" s="42" t="n">
        <x:v>0</x:v>
      </x:c>
      <x:c r="U148" s="42" t="n">
        <x:v>1</x:v>
      </x:c>
      <x:c r="V148" s="42"/>
      <x:c r="W148" s="33" t="str">
        <x:v>C</x:v>
      </x:c>
      <x:c r="X148" s="33" t="str">
        <x:v>candidate_list_membership_needs_individual_height_source</x:v>
      </x:c>
      <x:c r="Y148" s="33" t="str">
        <x:v>候选待核实</x:v>
      </x:c>
      <x:c r="Z148" s="21" t="str">
        <x:v>listed in high-rise façade fire table; affected floors are not total building floors；aggregate list is not sufficient for final inclusion; floors affected must not be mistaken for total building floors</x:v>
      </x:c>
      <x:c r="AA148" s="21" t="str">
        <x:v>Wikipedia high-rise façade list; derived from Bonner et al./news (candidate discovery)</x:v>
      </x:c>
      <x:c r="AB148" s="21" t="str">
        <x:v>批量来源代理</x:v>
      </x:c>
      <x:c r="AC148" s="21" t="str"/>
      <x:c r="AD148" s="21" t="n">
        <x:v>1</x:v>
      </x:c>
      <x:c r="AE148" s="21" t="str">
        <x:v>未检查</x:v>
      </x:c>
      <x:c r="AF148" s="21" t="str"/>
      <x:c r="AG148" s="24" t="n">
        <x:v>46260</x:v>
      </x:c>
      <x:c r="AH148" s="21" t="str"/>
      <x:c r="AI148" s="21" t="n">
        <x:v>1</x:v>
      </x:c>
      <x:c r="AJ148" s="21" t="str">
        <x:v>未评估（本事件表不建立热浪因果关系）</x:v>
      </x:c>
      <x:c r="AK148" s="21" t="str">
        <x:v>缺失/待核实</x:v>
      </x:c>
    </x:row>
    <x:row r="149" ht="42" customHeight="1">
      <x:c r="A149" s="33" t="n">
        <x:v>148</x:v>
      </x:c>
      <x:c r="B149" s="33" t="str">
        <x:v>RAW-0148</x:v>
      </x:c>
      <x:c r="C149" s="36" t="str">
        <x:v>未判定</x:v>
      </x:c>
      <x:c r="D149" s="36" t="str">
        <x:v>Indonesia</x:v>
      </x:c>
      <x:c r="E149" s="21" t="str">
        <x:v>Jakarta</x:v>
      </x:c>
      <x:c r="F149" s="21" t="str">
        <x:v>Neo Soho Project fire</x:v>
      </x:c>
      <x:c r="G149" s="39" t="n">
        <x:v>42683</x:v>
      </x:c>
      <x:c r="H149" s="21" t="str">
        <x:v>High-rise façade fire; reported floors affected: 7.</x:v>
      </x:c>
      <x:c r="I149" s="21" t="str">
        <x:v>未检索到/待核实</x:v>
      </x:c>
      <x:c r="J149" s="21" t="str">
        <x:v>façade involved; floors affected=7</x:v>
      </x:c>
      <x:c r="K149" s="21" t="str">
        <x:v>https://en.wikipedia.org/wiki/List_of_high-rise_fa%C3%A7ade_fires</x:v>
      </x:c>
      <x:c r="L149" s="27" t="n">
        <x:v>-6.21462</x:v>
      </x:c>
      <x:c r="M149" s="27" t="n">
        <x:v>106.84513</x:v>
      </x:c>
      <x:c r="N149" s="21" t="str">
        <x:v>城市代表点（来源明确说明不是火场坐标）</x:v>
      </x:c>
      <x:c r="O149" s="21" t="str">
        <x:v>高层建筑火灾</x:v>
      </x:c>
      <x:c r="P149" s="21" t="str">
        <x:v>未检索到</x:v>
      </x:c>
      <x:c r="Q149" s="21" t="str">
        <x:v>未检索到</x:v>
      </x:c>
      <x:c r="R149" s="21" t="str">
        <x:v>floors affected=7</x:v>
      </x:c>
      <x:c r="S149" s="21" t="str">
        <x:v>未检索到</x:v>
      </x:c>
      <x:c r="T149" s="42" t="n">
        <x:v>0</x:v>
      </x:c>
      <x:c r="U149" s="42" t="n">
        <x:v>0</x:v>
      </x:c>
      <x:c r="V149" s="42"/>
      <x:c r="W149" s="33" t="str">
        <x:v>C</x:v>
      </x:c>
      <x:c r="X149" s="33" t="str">
        <x:v>candidate_list_membership_needs_individual_height_source</x:v>
      </x:c>
      <x:c r="Y149" s="33" t="str">
        <x:v>候选待核实</x:v>
      </x:c>
      <x:c r="Z149" s="21" t="str">
        <x:v>listed in high-rise façade fire table; affected floors are not total building floors；aggregate list is not sufficient for final inclusion; floors affected must not be mistaken for total building floors</x:v>
      </x:c>
      <x:c r="AA149" s="21" t="str">
        <x:v>Wikipedia high-rise façade list; derived from Bonner et al./news (candidate discovery)</x:v>
      </x:c>
      <x:c r="AB149" s="21" t="str">
        <x:v>批量来源代理</x:v>
      </x:c>
      <x:c r="AC149" s="21" t="str"/>
      <x:c r="AD149" s="21" t="n">
        <x:v>1</x:v>
      </x:c>
      <x:c r="AE149" s="21" t="str">
        <x:v>未检查</x:v>
      </x:c>
      <x:c r="AF149" s="21" t="str"/>
      <x:c r="AG149" s="24" t="n">
        <x:v>46260</x:v>
      </x:c>
      <x:c r="AH149" s="21" t="str"/>
      <x:c r="AI149" s="21" t="n">
        <x:v>1</x:v>
      </x:c>
      <x:c r="AJ149" s="21" t="str">
        <x:v>未评估（本事件表不建立热浪因果关系）</x:v>
      </x:c>
      <x:c r="AK149" s="21" t="str">
        <x:v>缺失/待核实</x:v>
      </x:c>
    </x:row>
    <x:row r="150" ht="42" customHeight="1">
      <x:c r="A150" s="33" t="n">
        <x:v>149</x:v>
      </x:c>
      <x:c r="B150" s="33" t="str">
        <x:v>RAW-0149</x:v>
      </x:c>
      <x:c r="C150" s="36" t="str">
        <x:v>亚洲</x:v>
      </x:c>
      <x:c r="D150" s="36" t="str">
        <x:v>United Arab Emirates</x:v>
      </x:c>
      <x:c r="E150" s="21" t="str">
        <x:v>Sharjah</x:v>
      </x:c>
      <x:c r="F150" s="21" t="str">
        <x:v>Al Bandary Tower B fire</x:v>
      </x:c>
      <x:c r="G150" s="39" t="n">
        <x:v>42705</x:v>
      </x:c>
      <x:c r="H150" s="21" t="str">
        <x:v>High-rise façade fire; reported floors affected: 1.</x:v>
      </x:c>
      <x:c r="I150" s="21" t="str">
        <x:v>未检索到/待核实</x:v>
      </x:c>
      <x:c r="J150" s="21" t="str">
        <x:v>façade involved; floors affected=1</x:v>
      </x:c>
      <x:c r="K150" s="21" t="str">
        <x:v>https://en.wikipedia.org/wiki/List_of_high-rise_fa%C3%A7ade_fires</x:v>
      </x:c>
      <x:c r="L150" s="27" t="n">
        <x:v>25.3342</x:v>
      </x:c>
      <x:c r="M150" s="27" t="n">
        <x:v>55.41221</x:v>
      </x:c>
      <x:c r="N150" s="21" t="str">
        <x:v>城市代表点（来源明确说明不是火场坐标）</x:v>
      </x:c>
      <x:c r="O150" s="21" t="str">
        <x:v>高层建筑火灾</x:v>
      </x:c>
      <x:c r="P150" s="21" t="str">
        <x:v>未检索到</x:v>
      </x:c>
      <x:c r="Q150" s="21" t="str">
        <x:v>未检索到</x:v>
      </x:c>
      <x:c r="R150" s="21" t="str">
        <x:v>floors affected=1</x:v>
      </x:c>
      <x:c r="S150" s="21" t="str">
        <x:v>未检索到</x:v>
      </x:c>
      <x:c r="T150" s="42" t="n">
        <x:v>0</x:v>
      </x:c>
      <x:c r="U150" s="42" t="n">
        <x:v>4</x:v>
      </x:c>
      <x:c r="V150" s="42"/>
      <x:c r="W150" s="33" t="str">
        <x:v>C</x:v>
      </x:c>
      <x:c r="X150" s="33" t="str">
        <x:v>candidate_list_membership_needs_individual_height_source</x:v>
      </x:c>
      <x:c r="Y150" s="33" t="str">
        <x:v>候选待核实</x:v>
      </x:c>
      <x:c r="Z150" s="21" t="str">
        <x:v>listed in high-rise façade fire table; affected floors are not total building floors；aggregate list is not sufficient for final inclusion; floors affected must not be mistaken for total building floors</x:v>
      </x:c>
      <x:c r="AA150" s="21" t="str">
        <x:v>Wikipedia high-rise façade list; derived from Bonner et al./news (candidate discovery)</x:v>
      </x:c>
      <x:c r="AB150" s="21" t="str">
        <x:v>批量来源代理</x:v>
      </x:c>
      <x:c r="AC150" s="21" t="str"/>
      <x:c r="AD150" s="21" t="n">
        <x:v>1</x:v>
      </x:c>
      <x:c r="AE150" s="21" t="str">
        <x:v>未检查</x:v>
      </x:c>
      <x:c r="AF150" s="21" t="str"/>
      <x:c r="AG150" s="24" t="n">
        <x:v>46260</x:v>
      </x:c>
      <x:c r="AH150" s="21" t="str"/>
      <x:c r="AI150" s="21" t="n">
        <x:v>1</x:v>
      </x:c>
      <x:c r="AJ150" s="21" t="str">
        <x:v>未评估（本事件表不建立热浪因果关系）</x:v>
      </x:c>
      <x:c r="AK150" s="21" t="str">
        <x:v>缺失/待核实</x:v>
      </x:c>
    </x:row>
    <x:row r="151" ht="42" customHeight="1">
      <x:c r="A151" s="33" t="n">
        <x:v>150</x:v>
      </x:c>
      <x:c r="B151" s="33" t="str">
        <x:v>RAW-0150</x:v>
      </x:c>
      <x:c r="C151" s="36" t="str">
        <x:v>亚洲</x:v>
      </x:c>
      <x:c r="D151" s="36" t="str">
        <x:v>United Arab Emirates</x:v>
      </x:c>
      <x:c r="E151" s="21" t="str">
        <x:v>Dubai</x:v>
      </x:c>
      <x:c r="F151" s="21" t="str">
        <x:v>Oceana Adriatic Building fire</x:v>
      </x:c>
      <x:c r="G151" s="39" t="n">
        <x:v>42717</x:v>
      </x:c>
      <x:c r="H151" s="21" t="str">
        <x:v>High-rise façade fire; reported floors affected: 1.</x:v>
      </x:c>
      <x:c r="I151" s="21" t="str">
        <x:v>未检索到/待核实</x:v>
      </x:c>
      <x:c r="J151" s="21" t="str">
        <x:v>façade involved; floors affected=1</x:v>
      </x:c>
      <x:c r="K151" s="21" t="str">
        <x:v>https://en.wikipedia.org/wiki/List_of_high-rise_fa%C3%A7ade_fires</x:v>
      </x:c>
      <x:c r="L151" s="27" t="n">
        <x:v>25.07725</x:v>
      </x:c>
      <x:c r="M151" s="27" t="n">
        <x:v>55.30927</x:v>
      </x:c>
      <x:c r="N151" s="21" t="str">
        <x:v>城市代表点（来源明确说明不是火场坐标）</x:v>
      </x:c>
      <x:c r="O151" s="21" t="str">
        <x:v>高层建筑火灾</x:v>
      </x:c>
      <x:c r="P151" s="21" t="str">
        <x:v>未检索到</x:v>
      </x:c>
      <x:c r="Q151" s="21" t="str">
        <x:v>未检索到</x:v>
      </x:c>
      <x:c r="R151" s="21" t="str">
        <x:v>floors affected=1</x:v>
      </x:c>
      <x:c r="S151" s="21" t="str">
        <x:v>未检索到</x:v>
      </x:c>
      <x:c r="T151" s="42" t="n">
        <x:v>0</x:v>
      </x:c>
      <x:c r="U151" s="42" t="n">
        <x:v>0</x:v>
      </x:c>
      <x:c r="V151" s="42"/>
      <x:c r="W151" s="33" t="str">
        <x:v>C</x:v>
      </x:c>
      <x:c r="X151" s="33" t="str">
        <x:v>candidate_list_membership_needs_individual_height_source</x:v>
      </x:c>
      <x:c r="Y151" s="33" t="str">
        <x:v>候选待核实</x:v>
      </x:c>
      <x:c r="Z151" s="21" t="str">
        <x:v>listed in high-rise façade fire table; affected floors are not total building floors；aggregate list is not sufficient for final inclusion; floors affected must not be mistaken for total building floors</x:v>
      </x:c>
      <x:c r="AA151" s="21" t="str">
        <x:v>Wikipedia high-rise façade list; derived from Bonner et al./news (candidate discovery)</x:v>
      </x:c>
      <x:c r="AB151" s="21" t="str">
        <x:v>批量来源代理</x:v>
      </x:c>
      <x:c r="AC151" s="21" t="str"/>
      <x:c r="AD151" s="21" t="n">
        <x:v>1</x:v>
      </x:c>
      <x:c r="AE151" s="21" t="str">
        <x:v>未检查</x:v>
      </x:c>
      <x:c r="AF151" s="21" t="str"/>
      <x:c r="AG151" s="24" t="n">
        <x:v>46260</x:v>
      </x:c>
      <x:c r="AH151" s="21" t="str"/>
      <x:c r="AI151" s="21" t="n">
        <x:v>1</x:v>
      </x:c>
      <x:c r="AJ151" s="21" t="str">
        <x:v>未评估（本事件表不建立热浪因果关系）</x:v>
      </x:c>
      <x:c r="AK151" s="21" t="str">
        <x:v>缺失/待核实</x:v>
      </x:c>
    </x:row>
    <x:row r="152" ht="42" customHeight="1">
      <x:c r="A152" s="33" t="n">
        <x:v>151</x:v>
      </x:c>
      <x:c r="B152" s="33" t="str">
        <x:v>RAW-0151</x:v>
      </x:c>
      <x:c r="C152" s="36" t="str">
        <x:v>亚洲</x:v>
      </x:c>
      <x:c r="D152" s="36" t="str">
        <x:v>Iran</x:v>
      </x:c>
      <x:c r="E152" s="21" t="str">
        <x:v>Tehran</x:v>
      </x:c>
      <x:c r="F152" s="21" t="str">
        <x:v>Plasco Building fire</x:v>
      </x:c>
      <x:c r="G152" s="39" t="n">
        <x:v>42754</x:v>
      </x:c>
      <x:c r="H152" s="21" t="str">
        <x:v>The 17-story building collapsed after a fire started on the ninth floor. Seventy injured.</x:v>
      </x:c>
      <x:c r="I152" s="21" t="str">
        <x:v>未检索到/待核实</x:v>
      </x:c>
      <x:c r="J152" s="21" t="str">
        <x:v>The 17-story building collapsed after a fire started on the ninth floor. Seventy injured.</x:v>
      </x:c>
      <x:c r="K152" s="21" t="str">
        <x:v>https://en.wikipedia.org/wiki/List_of_fires_in_high-rise_buildings</x:v>
      </x:c>
      <x:c r="L152" s="27" t="n">
        <x:v>35.69439</x:v>
      </x:c>
      <x:c r="M152" s="27" t="n">
        <x:v>51.42151</x:v>
      </x:c>
      <x:c r="N152" s="21" t="str">
        <x:v>城市代表点（来源明确说明不是火场坐标）</x:v>
      </x:c>
      <x:c r="O152" s="21" t="str">
        <x:v>高层建筑火灾</x:v>
      </x:c>
      <x:c r="P152" s="21" t="str">
        <x:v>未检索到</x:v>
      </x:c>
      <x:c r="Q152" s="21" t="str">
        <x:v>17 floors; 42 m</x:v>
      </x:c>
      <x:c r="R152" s="21" t="str">
        <x:v>未检索到</x:v>
      </x:c>
      <x:c r="S152" s="21" t="str">
        <x:v>未检索到</x:v>
      </x:c>
      <x:c r="T152" s="42" t="n">
        <x:v>21</x:v>
      </x:c>
      <x:c r="U152" s="42"/>
      <x:c r="V152" s="42"/>
      <x:c r="W152" s="33" t="str">
        <x:v>C</x:v>
      </x:c>
      <x:c r="X152" s="33" t="str">
        <x:v>candidate_height_or_list_membership_needs_individual_source</x:v>
      </x:c>
      <x:c r="Y152" s="33" t="str">
        <x:v>候选待核实</x:v>
      </x:c>
      <x:c r="Z152" s="21" t="str">
        <x:v>height=42 m; floors=17; listed in high-rise fire table；aggregate list is not sufficient for final inclusion; verify height/floors and event details with cited event or building source</x:v>
      </x:c>
      <x:c r="AA152" s="21" t="str">
        <x:v>Wikipedia dynamic high-rise list (candidate discovery)</x:v>
      </x:c>
      <x:c r="AB152" s="21" t="str">
        <x:v>批量来源代理</x:v>
      </x:c>
      <x:c r="AC152" s="21" t="str"/>
      <x:c r="AD152" s="21" t="n">
        <x:v>1</x:v>
      </x:c>
      <x:c r="AE152" s="21" t="str">
        <x:v>未检查</x:v>
      </x:c>
      <x:c r="AF152" s="21" t="str"/>
      <x:c r="AG152" s="24" t="n">
        <x:v>46260</x:v>
      </x:c>
      <x:c r="AH152" s="21" t="str"/>
      <x:c r="AI152" s="21" t="n">
        <x:v>1</x:v>
      </x:c>
      <x:c r="AJ152" s="21" t="str">
        <x:v>未评估（本事件表不建立热浪因果关系）</x:v>
      </x:c>
      <x:c r="AK152" s="21" t="str">
        <x:v>缺失/待核实</x:v>
      </x:c>
    </x:row>
    <x:row r="153" ht="42" customHeight="1">
      <x:c r="A153" s="33" t="n">
        <x:v>152</x:v>
      </x:c>
      <x:c r="B153" s="33" t="str">
        <x:v>RAW-0152</x:v>
      </x:c>
      <x:c r="C153" s="36" t="str">
        <x:v>亚洲</x:v>
      </x:c>
      <x:c r="D153" s="36" t="str">
        <x:v>United Arab Emirates</x:v>
      </x:c>
      <x:c r="E153" s="21" t="str">
        <x:v>Dubai</x:v>
      </x:c>
      <x:c r="F153" s="21" t="str">
        <x:v>Address Residences Fountain Views fire</x:v>
      </x:c>
      <x:c r="G153" s="39" t="n">
        <x:v>42796</x:v>
      </x:c>
      <x:c r="H153" s="21" t="str">
        <x:v>High-rise façade fire; reported floors affected: 3.</x:v>
      </x:c>
      <x:c r="I153" s="21" t="str">
        <x:v>未检索到/待核实</x:v>
      </x:c>
      <x:c r="J153" s="21" t="str">
        <x:v>façade involved; floors affected=3</x:v>
      </x:c>
      <x:c r="K153" s="21" t="str">
        <x:v>https://en.wikipedia.org/wiki/List_of_high-rise_fa%C3%A7ade_fires</x:v>
      </x:c>
      <x:c r="L153" s="27" t="n">
        <x:v>25.07725</x:v>
      </x:c>
      <x:c r="M153" s="27" t="n">
        <x:v>55.30927</x:v>
      </x:c>
      <x:c r="N153" s="21" t="str">
        <x:v>城市代表点（来源明确说明不是火场坐标）</x:v>
      </x:c>
      <x:c r="O153" s="21" t="str">
        <x:v>高层建筑火灾</x:v>
      </x:c>
      <x:c r="P153" s="21" t="str">
        <x:v>未检索到</x:v>
      </x:c>
      <x:c r="Q153" s="21" t="str">
        <x:v>未检索到</x:v>
      </x:c>
      <x:c r="R153" s="21" t="str">
        <x:v>floors affected=3</x:v>
      </x:c>
      <x:c r="S153" s="21" t="str">
        <x:v>未检索到</x:v>
      </x:c>
      <x:c r="T153" s="42" t="n">
        <x:v>0</x:v>
      </x:c>
      <x:c r="U153" s="42" t="n">
        <x:v>0</x:v>
      </x:c>
      <x:c r="V153" s="42"/>
      <x:c r="W153" s="33" t="str">
        <x:v>C</x:v>
      </x:c>
      <x:c r="X153" s="33" t="str">
        <x:v>candidate_list_membership_needs_individual_height_source</x:v>
      </x:c>
      <x:c r="Y153" s="33" t="str">
        <x:v>候选待核实</x:v>
      </x:c>
      <x:c r="Z153" s="21" t="str">
        <x:v>listed in high-rise façade fire table; affected floors are not total building floors；aggregate list is not sufficient for final inclusion; floors affected must not be mistaken for total building floors</x:v>
      </x:c>
      <x:c r="AA153" s="21" t="str">
        <x:v>Wikipedia high-rise façade list; derived from Bonner et al./news (candidate discovery)</x:v>
      </x:c>
      <x:c r="AB153" s="21" t="str">
        <x:v>批量来源代理</x:v>
      </x:c>
      <x:c r="AC153" s="21" t="str"/>
      <x:c r="AD153" s="21" t="n">
        <x:v>1</x:v>
      </x:c>
      <x:c r="AE153" s="21" t="str">
        <x:v>未检查</x:v>
      </x:c>
      <x:c r="AF153" s="21" t="str"/>
      <x:c r="AG153" s="24" t="n">
        <x:v>46260</x:v>
      </x:c>
      <x:c r="AH153" s="21" t="str"/>
      <x:c r="AI153" s="21" t="n">
        <x:v>1</x:v>
      </x:c>
      <x:c r="AJ153" s="21" t="str">
        <x:v>未评估（本事件表不建立热浪因果关系）</x:v>
      </x:c>
      <x:c r="AK153" s="21" t="str">
        <x:v>缺失/待核实</x:v>
      </x:c>
    </x:row>
    <x:row r="154" ht="42" customHeight="1">
      <x:c r="A154" s="33" t="n">
        <x:v>153</x:v>
      </x:c>
      <x:c r="B154" s="33" t="str">
        <x:v>RAW-0153</x:v>
      </x:c>
      <x:c r="C154" s="36" t="str">
        <x:v>亚洲</x:v>
      </x:c>
      <x:c r="D154" s="36" t="str">
        <x:v>Iran</x:v>
      </x:c>
      <x:c r="E154" s="21" t="str">
        <x:v>Tehran</x:v>
      </x:c>
      <x:c r="F154" s="21" t="str">
        <x:v>Pamchal Chitgar Building fire</x:v>
      </x:c>
      <x:c r="G154" s="39" t="n">
        <x:v>42900</x:v>
      </x:c>
      <x:c r="H154" s="21" t="str">
        <x:v>The residential 20-storey tower – four injured</x:v>
      </x:c>
      <x:c r="I154" s="21" t="str">
        <x:v>未检索到/待核实</x:v>
      </x:c>
      <x:c r="J154" s="21" t="str">
        <x:v>The residential 20-storey tower – four injured</x:v>
      </x:c>
      <x:c r="K154" s="21" t="str">
        <x:v>https://en.wikipedia.org/wiki/List_of_fires_in_high-rise_buildings</x:v>
      </x:c>
      <x:c r="L154" s="27" t="n">
        <x:v>35.69439</x:v>
      </x:c>
      <x:c r="M154" s="27" t="n">
        <x:v>51.42151</x:v>
      </x:c>
      <x:c r="N154" s="21" t="str">
        <x:v>城市代表点（来源明确说明不是火场坐标）</x:v>
      </x:c>
      <x:c r="O154" s="21" t="str">
        <x:v>高层建筑火灾</x:v>
      </x:c>
      <x:c r="P154" s="21" t="str">
        <x:v>residential</x:v>
      </x:c>
      <x:c r="Q154" s="21" t="str">
        <x:v>20 floors; 66 m</x:v>
      </x:c>
      <x:c r="R154" s="21" t="str">
        <x:v>未检索到</x:v>
      </x:c>
      <x:c r="S154" s="21" t="str">
        <x:v>未检索到</x:v>
      </x:c>
      <x:c r="T154" s="42" t="n">
        <x:v>0</x:v>
      </x:c>
      <x:c r="U154" s="42"/>
      <x:c r="V154" s="42"/>
      <x:c r="W154" s="33" t="str">
        <x:v>C</x:v>
      </x:c>
      <x:c r="X154" s="33" t="str">
        <x:v>candidate_height_or_list_membership_needs_individual_source</x:v>
      </x:c>
      <x:c r="Y154" s="33" t="str">
        <x:v>候选待核实</x:v>
      </x:c>
      <x:c r="Z154" s="21" t="str">
        <x:v>height=66 m; floors=20; listed in high-rise fire table；aggregate list is not sufficient for final inclusion; verify height/floors and event details with cited event or building source</x:v>
      </x:c>
      <x:c r="AA154" s="21" t="str">
        <x:v>Wikipedia dynamic high-rise list (candidate discovery)</x:v>
      </x:c>
      <x:c r="AB154" s="21" t="str">
        <x:v>批量来源代理</x:v>
      </x:c>
      <x:c r="AC154" s="21" t="str"/>
      <x:c r="AD154" s="21" t="n">
        <x:v>1</x:v>
      </x:c>
      <x:c r="AE154" s="21" t="str">
        <x:v>未检查</x:v>
      </x:c>
      <x:c r="AF154" s="21" t="str"/>
      <x:c r="AG154" s="24" t="n">
        <x:v>46260</x:v>
      </x:c>
      <x:c r="AH154" s="21" t="str"/>
      <x:c r="AI154" s="21" t="n">
        <x:v>1</x:v>
      </x:c>
      <x:c r="AJ154" s="21" t="str">
        <x:v>未评估（本事件表不建立热浪因果关系）</x:v>
      </x:c>
      <x:c r="AK154" s="21" t="str">
        <x:v>缺失/待核实</x:v>
      </x:c>
    </x:row>
    <x:row r="155" ht="42" customHeight="1">
      <x:c r="A155" s="33" t="n">
        <x:v>154</x:v>
      </x:c>
      <x:c r="B155" s="33" t="str">
        <x:v>RAW-0154</x:v>
      </x:c>
      <x:c r="C155" s="36" t="str">
        <x:v>欧洲</x:v>
      </x:c>
      <x:c r="D155" s="36" t="str">
        <x:v>United Kingdom</x:v>
      </x:c>
      <x:c r="E155" s="21" t="str">
        <x:v>London</x:v>
      </x:c>
      <x:c r="F155" s="21" t="str">
        <x:v>Grenfell Tower fire</x:v>
      </x:c>
      <x:c r="G155" s="39" t="n">
        <x:v>42900</x:v>
      </x:c>
      <x:c r="H155" s="21" t="str">
        <x:v>High-rise façade fire; reported floors affected: 24.</x:v>
      </x:c>
      <x:c r="I155" s="21" t="str">
        <x:v>未检索到/待核实</x:v>
      </x:c>
      <x:c r="J155" s="21" t="str">
        <x:v>façade involved; floors affected=24</x:v>
      </x:c>
      <x:c r="K155" s="21" t="str">
        <x:v>https://en.wikipedia.org/wiki/List_of_high-rise_fa%C3%A7ade_fires</x:v>
      </x:c>
      <x:c r="L155" s="27"/>
      <x:c r="M155" s="27"/>
      <x:c r="N155" s="21" t="str">
        <x:v>未提供坐标</x:v>
      </x:c>
      <x:c r="O155" s="21" t="str">
        <x:v>高层建筑火灾</x:v>
      </x:c>
      <x:c r="P155" s="21" t="str">
        <x:v>未检索到</x:v>
      </x:c>
      <x:c r="Q155" s="21" t="str">
        <x:v>未检索到</x:v>
      </x:c>
      <x:c r="R155" s="21" t="str">
        <x:v>floors affected=24</x:v>
      </x:c>
      <x:c r="S155" s="21" t="str">
        <x:v>未检索到</x:v>
      </x:c>
      <x:c r="T155" s="42" t="n">
        <x:v>72</x:v>
      </x:c>
      <x:c r="U155" s="42" t="n">
        <x:v>70</x:v>
      </x:c>
      <x:c r="V155" s="42"/>
      <x:c r="W155" s="33" t="str">
        <x:v>C</x:v>
      </x:c>
      <x:c r="X155" s="33" t="str">
        <x:v>candidate_list_membership_needs_individual_height_source</x:v>
      </x:c>
      <x:c r="Y155" s="33" t="str">
        <x:v>候选待核实</x:v>
      </x:c>
      <x:c r="Z155" s="21" t="str">
        <x:v>listed in high-rise façade fire table; affected floors are not total building floors；aggregate list is not sufficient for final inclusion; floors affected must not be mistaken for total building floors</x:v>
      </x:c>
      <x:c r="AA155" s="21" t="str">
        <x:v>Wikipedia high-rise façade list; derived from Bonner et al./news (candidate discovery)</x:v>
      </x:c>
      <x:c r="AB155" s="21" t="str">
        <x:v>批量来源代理</x:v>
      </x:c>
      <x:c r="AC155" s="21" t="str"/>
      <x:c r="AD155" s="21" t="n">
        <x:v>1</x:v>
      </x:c>
      <x:c r="AE155" s="21" t="str">
        <x:v>未检查</x:v>
      </x:c>
      <x:c r="AF155" s="21" t="str"/>
      <x:c r="AG155" s="24" t="n">
        <x:v>46260</x:v>
      </x:c>
      <x:c r="AH155" s="21" t="str"/>
      <x:c r="AI155" s="21" t="n">
        <x:v>1</x:v>
      </x:c>
      <x:c r="AJ155" s="21" t="str">
        <x:v>未评估（本事件表不建立热浪因果关系）</x:v>
      </x:c>
      <x:c r="AK155" s="21" t="str">
        <x:v>缺失/待核实</x:v>
      </x:c>
    </x:row>
    <x:row r="156" ht="42" customHeight="1">
      <x:c r="A156" s="33" t="n">
        <x:v>155</x:v>
      </x:c>
      <x:c r="B156" s="33" t="str">
        <x:v>RAW-0155</x:v>
      </x:c>
      <x:c r="C156" s="36" t="str">
        <x:v>北美洲</x:v>
      </x:c>
      <x:c r="D156" s="36" t="str">
        <x:v>United States</x:v>
      </x:c>
      <x:c r="E156" s="21" t="str">
        <x:v>Honolulu</x:v>
      </x:c>
      <x:c r="F156" s="21" t="str">
        <x:v>Marco Polo Apartments fire</x:v>
      </x:c>
      <x:c r="G156" s="39" t="n">
        <x:v>42930</x:v>
      </x:c>
      <x:c r="H156" s="21" t="str">
        <x:v>Blaze started on the 26th floor of the 36-story apartments. Fire quickly spread to three more floors, making it a 5-alarm fire. This is the deadliest high-rise fire in Hawaii's history.</x:v>
      </x:c>
      <x:c r="I156" s="21" t="str">
        <x:v>未检索到/待核实</x:v>
      </x:c>
      <x:c r="J156" s="21" t="str">
        <x:v>Blaze started on the 26th floor of the 36-story apartments. Fire quickly spread to three more floors, making it a 5-alarm fire. This is the deadliest high-rise fire in Hawaii's history.</x:v>
      </x:c>
      <x:c r="K156" s="21" t="str">
        <x:v>https://en.wikipedia.org/wiki/List_of_fires_in_high-rise_buildings</x:v>
      </x:c>
      <x:c r="L156" s="27" t="n">
        <x:v>21.30694</x:v>
      </x:c>
      <x:c r="M156" s="27" t="n">
        <x:v>-157.85834</x:v>
      </x:c>
      <x:c r="N156" s="21" t="str">
        <x:v>城市代表点（来源明确说明不是火场坐标）</x:v>
      </x:c>
      <x:c r="O156" s="21" t="str">
        <x:v>高层建筑火灾</x:v>
      </x:c>
      <x:c r="P156" s="21" t="str">
        <x:v>residential</x:v>
      </x:c>
      <x:c r="Q156" s="21" t="str">
        <x:v>36 floors; 118.8 m</x:v>
      </x:c>
      <x:c r="R156" s="21" t="str">
        <x:v>未检索到</x:v>
      </x:c>
      <x:c r="S156" s="21" t="str">
        <x:v>未检索到</x:v>
      </x:c>
      <x:c r="T156" s="42" t="n">
        <x:v>3</x:v>
      </x:c>
      <x:c r="U156" s="42"/>
      <x:c r="V156" s="42"/>
      <x:c r="W156" s="33" t="str">
        <x:v>C</x:v>
      </x:c>
      <x:c r="X156" s="33" t="str">
        <x:v>candidate_height_or_list_membership_needs_individual_source</x:v>
      </x:c>
      <x:c r="Y156" s="33" t="str">
        <x:v>候选待核实</x:v>
      </x:c>
      <x:c r="Z156" s="21" t="str">
        <x:v>height=118.8 m; floors=36; listed in high-rise fire table；aggregate list is not sufficient for final inclusion; verify height/floors and event details with cited event or building source</x:v>
      </x:c>
      <x:c r="AA156" s="21" t="str">
        <x:v>Wikipedia dynamic high-rise list (candidate discovery)</x:v>
      </x:c>
      <x:c r="AB156" s="21" t="str">
        <x:v>批量来源代理</x:v>
      </x:c>
      <x:c r="AC156" s="21" t="str"/>
      <x:c r="AD156" s="21" t="n">
        <x:v>1</x:v>
      </x:c>
      <x:c r="AE156" s="21" t="str">
        <x:v>未检查</x:v>
      </x:c>
      <x:c r="AF156" s="21" t="str"/>
      <x:c r="AG156" s="24" t="n">
        <x:v>46260</x:v>
      </x:c>
      <x:c r="AH156" s="21" t="str"/>
      <x:c r="AI156" s="21" t="n">
        <x:v>1</x:v>
      </x:c>
      <x:c r="AJ156" s="21" t="str">
        <x:v>未评估（本事件表不建立热浪因果关系）</x:v>
      </x:c>
      <x:c r="AK156" s="21" t="str">
        <x:v>缺失/待核实</x:v>
      </x:c>
    </x:row>
    <x:row r="157" ht="42" customHeight="1">
      <x:c r="A157" s="33" t="n">
        <x:v>156</x:v>
      </x:c>
      <x:c r="B157" s="33" t="str">
        <x:v>RAW-0156</x:v>
      </x:c>
      <x:c r="C157" s="36" t="str">
        <x:v>亚洲</x:v>
      </x:c>
      <x:c r="D157" s="36" t="str">
        <x:v>Iran</x:v>
      </x:c>
      <x:c r="E157" s="21" t="str">
        <x:v>Mashhad</x:v>
      </x:c>
      <x:c r="F157" s="21" t="str">
        <x:v>Rotana Hotel Building fire</x:v>
      </x:c>
      <x:c r="G157" s="39" t="n">
        <x:v>42938</x:v>
      </x:c>
      <x:c r="H157" s="21" t="str">
        <x:v>Under construction 20-storey hotel</x:v>
      </x:c>
      <x:c r="I157" s="21" t="str">
        <x:v>未检索到/待核实</x:v>
      </x:c>
      <x:c r="J157" s="21" t="str">
        <x:v>Under construction 20-storey hotel</x:v>
      </x:c>
      <x:c r="K157" s="21" t="str">
        <x:v>https://en.wikipedia.org/wiki/List_of_fires_in_high-rise_buildings</x:v>
      </x:c>
      <x:c r="L157" s="27" t="n">
        <x:v>36.29807</x:v>
      </x:c>
      <x:c r="M157" s="27" t="n">
        <x:v>59.60567</x:v>
      </x:c>
      <x:c r="N157" s="21" t="str">
        <x:v>城市代表点（来源明确说明不是火场坐标）</x:v>
      </x:c>
      <x:c r="O157" s="21" t="str">
        <x:v>高层建筑火灾</x:v>
      </x:c>
      <x:c r="P157" s="21" t="str">
        <x:v>hotel</x:v>
      </x:c>
      <x:c r="Q157" s="21" t="str">
        <x:v>20 floors; 66 m</x:v>
      </x:c>
      <x:c r="R157" s="21" t="str">
        <x:v>未检索到</x:v>
      </x:c>
      <x:c r="S157" s="21" t="str">
        <x:v>未检索到</x:v>
      </x:c>
      <x:c r="T157" s="42" t="n">
        <x:v>0</x:v>
      </x:c>
      <x:c r="U157" s="42"/>
      <x:c r="V157" s="42"/>
      <x:c r="W157" s="33" t="str">
        <x:v>C</x:v>
      </x:c>
      <x:c r="X157" s="33" t="str">
        <x:v>candidate_height_or_list_membership_needs_individual_source</x:v>
      </x:c>
      <x:c r="Y157" s="33" t="str">
        <x:v>候选待核实</x:v>
      </x:c>
      <x:c r="Z157" s="21" t="str">
        <x:v>height=66 m; floors=20; listed in high-rise fire table；aggregate list is not sufficient for final inclusion; verify height/floors and event details with cited event or building source</x:v>
      </x:c>
      <x:c r="AA157" s="21" t="str">
        <x:v>Wikipedia dynamic high-rise list (candidate discovery)</x:v>
      </x:c>
      <x:c r="AB157" s="21" t="str">
        <x:v>批量来源代理</x:v>
      </x:c>
      <x:c r="AC157" s="21" t="str"/>
      <x:c r="AD157" s="21" t="n">
        <x:v>1</x:v>
      </x:c>
      <x:c r="AE157" s="21" t="str">
        <x:v>未检查</x:v>
      </x:c>
      <x:c r="AF157" s="21" t="str"/>
      <x:c r="AG157" s="24" t="n">
        <x:v>46260</x:v>
      </x:c>
      <x:c r="AH157" s="21" t="str"/>
      <x:c r="AI157" s="21" t="n">
        <x:v>1</x:v>
      </x:c>
      <x:c r="AJ157" s="21" t="str">
        <x:v>未评估（本事件表不建立热浪因果关系）</x:v>
      </x:c>
      <x:c r="AK157" s="21" t="str">
        <x:v>缺失/待核实</x:v>
      </x:c>
    </x:row>
    <x:row r="158" ht="42" customHeight="1">
      <x:c r="A158" s="33" t="n">
        <x:v>157</x:v>
      </x:c>
      <x:c r="B158" s="33" t="str">
        <x:v>RAW-0157</x:v>
      </x:c>
      <x:c r="C158" s="36" t="str">
        <x:v>亚洲</x:v>
      </x:c>
      <x:c r="D158" s="36" t="str">
        <x:v>United Arab Emirates</x:v>
      </x:c>
      <x:c r="E158" s="21" t="str">
        <x:v>Dubai</x:v>
      </x:c>
      <x:c r="F158" s="21" t="str">
        <x:v>The Marina Torch fire</x:v>
      </x:c>
      <x:c r="G158" s="39" t="n">
        <x:v>42951</x:v>
      </x:c>
      <x:c r="H158" s="21" t="str">
        <x:v>High-rise façade fire; reported floors affected: 64/87.</x:v>
      </x:c>
      <x:c r="I158" s="21" t="str">
        <x:v>未检索到/待核实</x:v>
      </x:c>
      <x:c r="J158" s="21" t="str">
        <x:v>façade involved; floors affected=64/87</x:v>
      </x:c>
      <x:c r="K158" s="21" t="str">
        <x:v>https://en.wikipedia.org/wiki/List_of_high-rise_fa%C3%A7ade_fires</x:v>
      </x:c>
      <x:c r="L158" s="27" t="n">
        <x:v>25.07725</x:v>
      </x:c>
      <x:c r="M158" s="27" t="n">
        <x:v>55.30927</x:v>
      </x:c>
      <x:c r="N158" s="21" t="str">
        <x:v>城市代表点（来源明确说明不是火场坐标）</x:v>
      </x:c>
      <x:c r="O158" s="21" t="str">
        <x:v>高层建筑火灾</x:v>
      </x:c>
      <x:c r="P158" s="21" t="str">
        <x:v>未检索到</x:v>
      </x:c>
      <x:c r="Q158" s="21" t="str">
        <x:v>未检索到</x:v>
      </x:c>
      <x:c r="R158" s="21" t="str">
        <x:v>floors affected=64/87</x:v>
      </x:c>
      <x:c r="S158" s="21" t="str">
        <x:v>未检索到</x:v>
      </x:c>
      <x:c r="T158" s="42" t="n">
        <x:v>0</x:v>
      </x:c>
      <x:c r="U158" s="42" t="n">
        <x:v>0</x:v>
      </x:c>
      <x:c r="V158" s="42"/>
      <x:c r="W158" s="33" t="str">
        <x:v>C</x:v>
      </x:c>
      <x:c r="X158" s="33" t="str">
        <x:v>candidate_list_membership_needs_individual_height_source</x:v>
      </x:c>
      <x:c r="Y158" s="33" t="str">
        <x:v>候选待核实</x:v>
      </x:c>
      <x:c r="Z158" s="21" t="str">
        <x:v>listed in high-rise façade fire table; affected floors are not total building floors；aggregate list is not sufficient for final inclusion; floors affected must not be mistaken for total building floors</x:v>
      </x:c>
      <x:c r="AA158" s="21" t="str">
        <x:v>Wikipedia high-rise façade list; derived from Bonner et al./news (candidate discovery)</x:v>
      </x:c>
      <x:c r="AB158" s="21" t="str">
        <x:v>批量来源代理</x:v>
      </x:c>
      <x:c r="AC158" s="21" t="str"/>
      <x:c r="AD158" s="21" t="n">
        <x:v>1</x:v>
      </x:c>
      <x:c r="AE158" s="21" t="str">
        <x:v>未检查</x:v>
      </x:c>
      <x:c r="AF158" s="21" t="str"/>
      <x:c r="AG158" s="24" t="n">
        <x:v>46260</x:v>
      </x:c>
      <x:c r="AH158" s="21" t="str"/>
      <x:c r="AI158" s="21" t="n">
        <x:v>1</x:v>
      </x:c>
      <x:c r="AJ158" s="21" t="str">
        <x:v>未评估（本事件表不建立热浪因果关系）</x:v>
      </x:c>
      <x:c r="AK158" s="21" t="str">
        <x:v>缺失/待核实</x:v>
      </x:c>
    </x:row>
    <x:row r="159" ht="42" customHeight="1">
      <x:c r="A159" s="33" t="n">
        <x:v>158</x:v>
      </x:c>
      <x:c r="B159" s="33" t="str">
        <x:v>RAW-0158</x:v>
      </x:c>
      <x:c r="C159" s="36" t="str">
        <x:v>亚洲</x:v>
      </x:c>
      <x:c r="D159" s="36" t="str">
        <x:v>China</x:v>
      </x:c>
      <x:c r="E159" s="21" t="str">
        <x:v>Zhengzhou</x:v>
      </x:c>
      <x:c r="F159" s="21" t="str">
        <x:v>Yuansheng International fire</x:v>
      </x:c>
      <x:c r="G159" s="39" t="n">
        <x:v>43132</x:v>
      </x:c>
      <x:c r="H159" s="21" t="str">
        <x:v>High-rise façade fire; reported floors affected: 20.</x:v>
      </x:c>
      <x:c r="I159" s="21" t="str">
        <x:v>未检索到/待核实</x:v>
      </x:c>
      <x:c r="J159" s="21" t="str">
        <x:v>façade involved; floors affected=20</x:v>
      </x:c>
      <x:c r="K159" s="21" t="str">
        <x:v>https://en.wikipedia.org/wiki/List_of_high-rise_fa%C3%A7ade_fires</x:v>
      </x:c>
      <x:c r="L159" s="27" t="n">
        <x:v>34.75778</x:v>
      </x:c>
      <x:c r="M159" s="27" t="n">
        <x:v>113.64861</x:v>
      </x:c>
      <x:c r="N159" s="21" t="str">
        <x:v>城市代表点（来源明确说明不是火场坐标）</x:v>
      </x:c>
      <x:c r="O159" s="21" t="str">
        <x:v>高层建筑火灾</x:v>
      </x:c>
      <x:c r="P159" s="21" t="str">
        <x:v>未检索到</x:v>
      </x:c>
      <x:c r="Q159" s="21" t="str">
        <x:v>未检索到</x:v>
      </x:c>
      <x:c r="R159" s="21" t="str">
        <x:v>floors affected=20</x:v>
      </x:c>
      <x:c r="S159" s="21" t="str">
        <x:v>未检索到</x:v>
      </x:c>
      <x:c r="T159" s="42" t="n">
        <x:v>0</x:v>
      </x:c>
      <x:c r="U159" s="42" t="n">
        <x:v>0</x:v>
      </x:c>
      <x:c r="V159" s="42"/>
      <x:c r="W159" s="33" t="str">
        <x:v>C</x:v>
      </x:c>
      <x:c r="X159" s="33" t="str">
        <x:v>candidate_list_membership_needs_individual_height_source</x:v>
      </x:c>
      <x:c r="Y159" s="33" t="str">
        <x:v>候选待核实</x:v>
      </x:c>
      <x:c r="Z159" s="21" t="str">
        <x:v>listed in high-rise façade fire table; affected floors are not total building floors；aggregate list is not sufficient for final inclusion; floors affected must not be mistaken for total building floors</x:v>
      </x:c>
      <x:c r="AA159" s="21" t="str">
        <x:v>Wikipedia high-rise façade list; derived from Bonner et al./news (candidate discovery)</x:v>
      </x:c>
      <x:c r="AB159" s="21" t="str">
        <x:v>批量来源代理</x:v>
      </x:c>
      <x:c r="AC159" s="21" t="str"/>
      <x:c r="AD159" s="21" t="n">
        <x:v>1</x:v>
      </x:c>
      <x:c r="AE159" s="21" t="str">
        <x:v>未检查</x:v>
      </x:c>
      <x:c r="AF159" s="21" t="str"/>
      <x:c r="AG159" s="24" t="n">
        <x:v>46260</x:v>
      </x:c>
      <x:c r="AH159" s="21" t="str"/>
      <x:c r="AI159" s="21" t="n">
        <x:v>1</x:v>
      </x:c>
      <x:c r="AJ159" s="21" t="str">
        <x:v>未评估（本事件表不建立热浪因果关系）</x:v>
      </x:c>
      <x:c r="AK159" s="21" t="str">
        <x:v>缺失/待核实</x:v>
      </x:c>
    </x:row>
    <x:row r="160" ht="42" customHeight="1">
      <x:c r="A160" s="33" t="n">
        <x:v>159</x:v>
      </x:c>
      <x:c r="B160" s="33" t="str">
        <x:v>RAW-0159</x:v>
      </x:c>
      <x:c r="C160" s="36" t="str">
        <x:v>欧洲</x:v>
      </x:c>
      <x:c r="D160" s="36" t="str">
        <x:v>Turkey</x:v>
      </x:c>
      <x:c r="E160" s="21" t="str">
        <x:v>Istanbul</x:v>
      </x:c>
      <x:c r="F160" s="21" t="str">
        <x:v>Taksim Ilk Yardim Hospital fire</x:v>
      </x:c>
      <x:c r="G160" s="39" t="n">
        <x:v>43195</x:v>
      </x:c>
      <x:c r="H160" s="21" t="str">
        <x:v>High-rise façade fire; reported floors affected: 14.</x:v>
      </x:c>
      <x:c r="I160" s="21" t="str">
        <x:v>未检索到/待核实</x:v>
      </x:c>
      <x:c r="J160" s="21" t="str">
        <x:v>façade involved; floors affected=14</x:v>
      </x:c>
      <x:c r="K160" s="21" t="str">
        <x:v>https://en.wikipedia.org/wiki/List_of_high-rise_fa%C3%A7ade_fires</x:v>
      </x:c>
      <x:c r="L160" s="27"/>
      <x:c r="M160" s="27"/>
      <x:c r="N160" s="21" t="str">
        <x:v>未提供坐标</x:v>
      </x:c>
      <x:c r="O160" s="21" t="str">
        <x:v>高层建筑火灾</x:v>
      </x:c>
      <x:c r="P160" s="21" t="str">
        <x:v>healthcare/care</x:v>
      </x:c>
      <x:c r="Q160" s="21" t="str">
        <x:v>未检索到</x:v>
      </x:c>
      <x:c r="R160" s="21" t="str">
        <x:v>floors affected=14</x:v>
      </x:c>
      <x:c r="S160" s="21" t="str">
        <x:v>未检索到</x:v>
      </x:c>
      <x:c r="T160" s="42" t="n">
        <x:v>0</x:v>
      </x:c>
      <x:c r="U160" s="42" t="n">
        <x:v>0</x:v>
      </x:c>
      <x:c r="V160" s="42"/>
      <x:c r="W160" s="33" t="str">
        <x:v>C</x:v>
      </x:c>
      <x:c r="X160" s="33" t="str">
        <x:v>candidate_list_membership_needs_individual_height_source</x:v>
      </x:c>
      <x:c r="Y160" s="33" t="str">
        <x:v>候选待核实</x:v>
      </x:c>
      <x:c r="Z160" s="21" t="str">
        <x:v>listed in high-rise façade fire table; affected floors are not total building floors；aggregate list is not sufficient for final inclusion; floors affected must not be mistaken for total building floors</x:v>
      </x:c>
      <x:c r="AA160" s="21" t="str">
        <x:v>Wikipedia high-rise façade list; derived from Bonner et al./news (candidate discovery)</x:v>
      </x:c>
      <x:c r="AB160" s="21" t="str">
        <x:v>批量来源代理</x:v>
      </x:c>
      <x:c r="AC160" s="21" t="str"/>
      <x:c r="AD160" s="21" t="n">
        <x:v>1</x:v>
      </x:c>
      <x:c r="AE160" s="21" t="str">
        <x:v>未检查</x:v>
      </x:c>
      <x:c r="AF160" s="21" t="str"/>
      <x:c r="AG160" s="24" t="n">
        <x:v>46260</x:v>
      </x:c>
      <x:c r="AH160" s="21" t="str"/>
      <x:c r="AI160" s="21" t="n">
        <x:v>1</x:v>
      </x:c>
      <x:c r="AJ160" s="21" t="str">
        <x:v>未评估（本事件表不建立热浪因果关系）</x:v>
      </x:c>
      <x:c r="AK160" s="21" t="str">
        <x:v>缺失/待核实</x:v>
      </x:c>
    </x:row>
    <x:row r="161" ht="42" customHeight="1">
      <x:c r="A161" s="33" t="n">
        <x:v>160</x:v>
      </x:c>
      <x:c r="B161" s="33" t="str">
        <x:v>RAW-0160</x:v>
      </x:c>
      <x:c r="C161" s="36" t="str">
        <x:v>北美洲</x:v>
      </x:c>
      <x:c r="D161" s="36" t="str">
        <x:v>United States</x:v>
      </x:c>
      <x:c r="E161" s="21" t="str">
        <x:v>New York City</x:v>
      </x:c>
      <x:c r="F161" s="21" t="str">
        <x:v>Trump Tower fire</x:v>
      </x:c>
      <x:c r="G161" s="39" t="n">
        <x:v>43197</x:v>
      </x:c>
      <x:c r="H161" s="21" t="str">
        <x:v>6 firefighters injured</x:v>
      </x:c>
      <x:c r="I161" s="21" t="str">
        <x:v>未检索到/待核实</x:v>
      </x:c>
      <x:c r="J161" s="21" t="str">
        <x:v>6 firefighters injured</x:v>
      </x:c>
      <x:c r="K161" s="21" t="str">
        <x:v>https://en.wikipedia.org/wiki/List_of_fires_in_high-rise_buildings</x:v>
      </x:c>
      <x:c r="L161" s="27" t="n">
        <x:v>40.71427</x:v>
      </x:c>
      <x:c r="M161" s="27" t="n">
        <x:v>-74.00597</x:v>
      </x:c>
      <x:c r="N161" s="21" t="str">
        <x:v>城市代表点（来源明确说明不是火场坐标）</x:v>
      </x:c>
      <x:c r="O161" s="21" t="str">
        <x:v>高层建筑火灾</x:v>
      </x:c>
      <x:c r="P161" s="21" t="str">
        <x:v>未检索到</x:v>
      </x:c>
      <x:c r="Q161" s="21" t="str">
        <x:v>202 m</x:v>
      </x:c>
      <x:c r="R161" s="21" t="str">
        <x:v>未检索到</x:v>
      </x:c>
      <x:c r="S161" s="21" t="str">
        <x:v>未检索到</x:v>
      </x:c>
      <x:c r="T161" s="42" t="n">
        <x:v>1</x:v>
      </x:c>
      <x:c r="U161" s="42"/>
      <x:c r="V161" s="42"/>
      <x:c r="W161" s="33" t="str">
        <x:v>C</x:v>
      </x:c>
      <x:c r="X161" s="33" t="str">
        <x:v>candidate_height_or_list_membership_needs_individual_source</x:v>
      </x:c>
      <x:c r="Y161" s="33" t="str">
        <x:v>候选待核实</x:v>
      </x:c>
      <x:c r="Z161" s="21" t="str">
        <x:v>height=202 m; listed in high-rise fire table；aggregate list is not sufficient for final inclusion; verify height/floors and event details with cited event or building source</x:v>
      </x:c>
      <x:c r="AA161" s="21" t="str">
        <x:v>Wikipedia dynamic high-rise list (candidate discovery)</x:v>
      </x:c>
      <x:c r="AB161" s="21" t="str">
        <x:v>批量来源代理</x:v>
      </x:c>
      <x:c r="AC161" s="21" t="str"/>
      <x:c r="AD161" s="21" t="n">
        <x:v>1</x:v>
      </x:c>
      <x:c r="AE161" s="21" t="str">
        <x:v>未检查</x:v>
      </x:c>
      <x:c r="AF161" s="21" t="str"/>
      <x:c r="AG161" s="24" t="n">
        <x:v>46260</x:v>
      </x:c>
      <x:c r="AH161" s="21" t="str"/>
      <x:c r="AI161" s="21" t="n">
        <x:v>1</x:v>
      </x:c>
      <x:c r="AJ161" s="21" t="str">
        <x:v>未评估（本事件表不建立热浪因果关系）</x:v>
      </x:c>
      <x:c r="AK161" s="21" t="str">
        <x:v>缺失/待核实</x:v>
      </x:c>
    </x:row>
    <x:row r="162" ht="42" customHeight="1">
      <x:c r="A162" s="33" t="n">
        <x:v>161</x:v>
      </x:c>
      <x:c r="B162" s="33" t="str">
        <x:v>RAW-0161</x:v>
      </x:c>
      <x:c r="C162" s="36" t="str">
        <x:v>亚洲</x:v>
      </x:c>
      <x:c r="D162" s="36" t="str">
        <x:v>Azerbaijan</x:v>
      </x:c>
      <x:c r="E162" s="21" t="str">
        <x:v>Baku</x:v>
      </x:c>
      <x:c r="F162" s="21" t="str">
        <x:v>Trump International Hotel and Tower (Baku) fire</x:v>
      </x:c>
      <x:c r="G162" s="39" t="n">
        <x:v>43220</x:v>
      </x:c>
      <x:c r="H162" s="21" t="str">
        <x:v>Involved two separate fires the same day</x:v>
      </x:c>
      <x:c r="I162" s="21" t="str">
        <x:v>未检索到/待核实</x:v>
      </x:c>
      <x:c r="J162" s="21" t="str">
        <x:v>Involved two separate fires the same day</x:v>
      </x:c>
      <x:c r="K162" s="21" t="str">
        <x:v>https://en.wikipedia.org/wiki/List_of_fires_in_high-rise_buildings</x:v>
      </x:c>
      <x:c r="L162" s="27" t="n">
        <x:v>40.37767</x:v>
      </x:c>
      <x:c r="M162" s="27" t="n">
        <x:v>49.89201</x:v>
      </x:c>
      <x:c r="N162" s="21" t="str">
        <x:v>城市代表点（来源明确说明不是火场坐标）</x:v>
      </x:c>
      <x:c r="O162" s="21" t="str">
        <x:v>高层建筑火灾</x:v>
      </x:c>
      <x:c r="P162" s="21" t="str">
        <x:v>hotel</x:v>
      </x:c>
      <x:c r="Q162" s="21" t="str">
        <x:v>108.9 m</x:v>
      </x:c>
      <x:c r="R162" s="21" t="str">
        <x:v>未检索到</x:v>
      </x:c>
      <x:c r="S162" s="21" t="str">
        <x:v>未检索到</x:v>
      </x:c>
      <x:c r="T162" s="42" t="n">
        <x:v>0</x:v>
      </x:c>
      <x:c r="U162" s="42"/>
      <x:c r="V162" s="42"/>
      <x:c r="W162" s="33" t="str">
        <x:v>C</x:v>
      </x:c>
      <x:c r="X162" s="33" t="str">
        <x:v>candidate_height_or_list_membership_needs_individual_source</x:v>
      </x:c>
      <x:c r="Y162" s="33" t="str">
        <x:v>候选待核实</x:v>
      </x:c>
      <x:c r="Z162" s="21" t="str">
        <x:v>height=108.9 m; listed in high-rise fire table；aggregate list is not sufficient for final inclusion; verify height/floors and event details with cited event or building source</x:v>
      </x:c>
      <x:c r="AA162" s="21" t="str">
        <x:v>Wikipedia dynamic high-rise list (candidate discovery)</x:v>
      </x:c>
      <x:c r="AB162" s="21" t="str">
        <x:v>批量来源代理</x:v>
      </x:c>
      <x:c r="AC162" s="21" t="str"/>
      <x:c r="AD162" s="21" t="n">
        <x:v>1</x:v>
      </x:c>
      <x:c r="AE162" s="21" t="str">
        <x:v>未检查</x:v>
      </x:c>
      <x:c r="AF162" s="21" t="str"/>
      <x:c r="AG162" s="24" t="n">
        <x:v>46260</x:v>
      </x:c>
      <x:c r="AH162" s="21" t="str"/>
      <x:c r="AI162" s="21" t="n">
        <x:v>1</x:v>
      </x:c>
      <x:c r="AJ162" s="21" t="str">
        <x:v>未评估（本事件表不建立热浪因果关系）</x:v>
      </x:c>
      <x:c r="AK162" s="21" t="str">
        <x:v>缺失/待核实</x:v>
      </x:c>
    </x:row>
    <x:row r="163" ht="42" customHeight="1">
      <x:c r="A163" s="33" t="n">
        <x:v>162</x:v>
      </x:c>
      <x:c r="B163" s="33" t="str">
        <x:v>RAW-0162</x:v>
      </x:c>
      <x:c r="C163" s="36" t="str">
        <x:v>南美洲</x:v>
      </x:c>
      <x:c r="D163" s="36" t="str">
        <x:v>Brazil</x:v>
      </x:c>
      <x:c r="E163" s="21" t="str">
        <x:v>São Paulo</x:v>
      </x:c>
      <x:c r="F163" s="21" t="str">
        <x:v>Wilton Paes de Almeida Building fire</x:v>
      </x:c>
      <x:c r="G163" s="39" t="n">
        <x:v>43220</x:v>
      </x:c>
      <x:c r="H163" s="21" t="str">
        <x:v>7–9, building collapsed shortly after blaze</x:v>
      </x:c>
      <x:c r="I163" s="21" t="str">
        <x:v>未检索到/待核实</x:v>
      </x:c>
      <x:c r="J163" s="21" t="str">
        <x:v>7–9, building collapsed shortly after blaze</x:v>
      </x:c>
      <x:c r="K163" s="21" t="str">
        <x:v>https://en.wikipedia.org/wiki/List_of_fires_in_high-rise_buildings</x:v>
      </x:c>
      <x:c r="L163" s="27" t="n">
        <x:v>-23.5475</x:v>
      </x:c>
      <x:c r="M163" s="27" t="n">
        <x:v>-46.63611</x:v>
      </x:c>
      <x:c r="N163" s="21" t="str">
        <x:v>城市代表点（来源明确说明不是火场坐标）</x:v>
      </x:c>
      <x:c r="O163" s="21" t="str">
        <x:v>高层建筑火灾</x:v>
      </x:c>
      <x:c r="P163" s="21" t="str">
        <x:v>未检索到</x:v>
      </x:c>
      <x:c r="Q163" s="21" t="str">
        <x:v>79.2 m</x:v>
      </x:c>
      <x:c r="R163" s="21" t="str">
        <x:v>未检索到</x:v>
      </x:c>
      <x:c r="S163" s="21" t="str">
        <x:v>未检索到</x:v>
      </x:c>
      <x:c r="T163" s="42" t="n">
        <x:v>8</x:v>
      </x:c>
      <x:c r="U163" s="42"/>
      <x:c r="V163" s="42"/>
      <x:c r="W163" s="33" t="str">
        <x:v>C</x:v>
      </x:c>
      <x:c r="X163" s="33" t="str">
        <x:v>candidate_height_or_list_membership_needs_individual_source</x:v>
      </x:c>
      <x:c r="Y163" s="33" t="str">
        <x:v>候选待核实</x:v>
      </x:c>
      <x:c r="Z163" s="21" t="str">
        <x:v>height=79.2 m; listed in high-rise fire table；aggregate list is not sufficient for final inclusion; verify height/floors and event details with cited event or building source</x:v>
      </x:c>
      <x:c r="AA163" s="21" t="str">
        <x:v>Wikipedia dynamic high-rise list (candidate discovery)</x:v>
      </x:c>
      <x:c r="AB163" s="21" t="str">
        <x:v>批量来源代理</x:v>
      </x:c>
      <x:c r="AC163" s="21" t="str"/>
      <x:c r="AD163" s="21" t="n">
        <x:v>1</x:v>
      </x:c>
      <x:c r="AE163" s="21" t="str">
        <x:v>未检查</x:v>
      </x:c>
      <x:c r="AF163" s="21" t="str"/>
      <x:c r="AG163" s="24" t="n">
        <x:v>46260</x:v>
      </x:c>
      <x:c r="AH163" s="21" t="str"/>
      <x:c r="AI163" s="21" t="n">
        <x:v>1</x:v>
      </x:c>
      <x:c r="AJ163" s="21" t="str">
        <x:v>未评估（本事件表不建立热浪因果关系）</x:v>
      </x:c>
      <x:c r="AK163" s="21" t="str">
        <x:v>缺失/待核实</x:v>
      </x:c>
    </x:row>
    <x:row r="164" ht="42" customHeight="1">
      <x:c r="A164" s="33" t="n">
        <x:v>163</x:v>
      </x:c>
      <x:c r="B164" s="33" t="str">
        <x:v>RAW-0163</x:v>
      </x:c>
      <x:c r="C164" s="36" t="str">
        <x:v>亚洲</x:v>
      </x:c>
      <x:c r="D164" s="36" t="str">
        <x:v>United Arab Emirates</x:v>
      </x:c>
      <x:c r="E164" s="21" t="str">
        <x:v>Dubai</x:v>
      </x:c>
      <x:c r="F164" s="21" t="str">
        <x:v>Almas Tower fire</x:v>
      </x:c>
      <x:c r="G164" s="39" t="n">
        <x:v>43220</x:v>
      </x:c>
      <x:c r="H164" s="21" t="str"/>
      <x:c r="I164" s="21" t="str">
        <x:v>未检索到/待核实</x:v>
      </x:c>
      <x:c r="J164" s="21" t="str"/>
      <x:c r="K164" s="21" t="str">
        <x:v>https://en.wikipedia.org/wiki/List_of_fires_in_high-rise_buildings</x:v>
      </x:c>
      <x:c r="L164" s="27" t="n">
        <x:v>25.07725</x:v>
      </x:c>
      <x:c r="M164" s="27" t="n">
        <x:v>55.30927</x:v>
      </x:c>
      <x:c r="N164" s="21" t="str">
        <x:v>城市代表点（来源明确说明不是火场坐标）</x:v>
      </x:c>
      <x:c r="O164" s="21" t="str">
        <x:v>高层建筑火灾</x:v>
      </x:c>
      <x:c r="P164" s="21" t="str">
        <x:v>未检索到</x:v>
      </x:c>
      <x:c r="Q164" s="21" t="str">
        <x:v>360 m</x:v>
      </x:c>
      <x:c r="R164" s="21" t="str">
        <x:v>未检索到</x:v>
      </x:c>
      <x:c r="S164" s="21" t="str">
        <x:v>未检索到</x:v>
      </x:c>
      <x:c r="T164" s="42" t="n">
        <x:v>0</x:v>
      </x:c>
      <x:c r="U164" s="42"/>
      <x:c r="V164" s="42"/>
      <x:c r="W164" s="33" t="str">
        <x:v>C</x:v>
      </x:c>
      <x:c r="X164" s="33" t="str">
        <x:v>candidate_height_or_list_membership_needs_individual_source</x:v>
      </x:c>
      <x:c r="Y164" s="33" t="str">
        <x:v>候选待核实</x:v>
      </x:c>
      <x:c r="Z164" s="21" t="str">
        <x:v>height=360 m; listed in high-rise fire table；aggregate list is not sufficient for final inclusion; verify height/floors and event details with cited event or building source</x:v>
      </x:c>
      <x:c r="AA164" s="21" t="str">
        <x:v>Wikipedia dynamic high-rise list (candidate discovery)</x:v>
      </x:c>
      <x:c r="AB164" s="21" t="str">
        <x:v>批量来源代理</x:v>
      </x:c>
      <x:c r="AC164" s="21" t="str"/>
      <x:c r="AD164" s="21" t="n">
        <x:v>1</x:v>
      </x:c>
      <x:c r="AE164" s="21" t="str">
        <x:v>未检查</x:v>
      </x:c>
      <x:c r="AF164" s="21" t="str"/>
      <x:c r="AG164" s="24" t="n">
        <x:v>46260</x:v>
      </x:c>
      <x:c r="AH164" s="21" t="str"/>
      <x:c r="AI164" s="21" t="n">
        <x:v>1</x:v>
      </x:c>
      <x:c r="AJ164" s="21" t="str">
        <x:v>未评估（本事件表不建立热浪因果关系）</x:v>
      </x:c>
      <x:c r="AK164" s="21" t="str">
        <x:v>缺失/待核实</x:v>
      </x:c>
    </x:row>
    <x:row r="165" ht="42" customHeight="1">
      <x:c r="A165" s="33" t="n">
        <x:v>164</x:v>
      </x:c>
      <x:c r="B165" s="33" t="str">
        <x:v>RAW-0164</x:v>
      </x:c>
      <x:c r="C165" s="36" t="str">
        <x:v>亚洲</x:v>
      </x:c>
      <x:c r="D165" s="36" t="str">
        <x:v>United Arab Emirates</x:v>
      </x:c>
      <x:c r="E165" s="21" t="str">
        <x:v>Dubai</x:v>
      </x:c>
      <x:c r="F165" s="21" t="str">
        <x:v>Zen Tower fire</x:v>
      </x:c>
      <x:c r="G165" s="39" t="n">
        <x:v>43235</x:v>
      </x:c>
      <x:c r="H165" s="21" t="str">
        <x:v>High-rise façade fire; reported floors affected: 15.</x:v>
      </x:c>
      <x:c r="I165" s="21" t="str">
        <x:v>未检索到/待核实</x:v>
      </x:c>
      <x:c r="J165" s="21" t="str">
        <x:v>façade involved; floors affected=15</x:v>
      </x:c>
      <x:c r="K165" s="21" t="str">
        <x:v>https://en.wikipedia.org/wiki/List_of_high-rise_fa%C3%A7ade_fires</x:v>
      </x:c>
      <x:c r="L165" s="27" t="n">
        <x:v>25.07725</x:v>
      </x:c>
      <x:c r="M165" s="27" t="n">
        <x:v>55.30927</x:v>
      </x:c>
      <x:c r="N165" s="21" t="str">
        <x:v>城市代表点（来源明确说明不是火场坐标）</x:v>
      </x:c>
      <x:c r="O165" s="21" t="str">
        <x:v>高层建筑火灾</x:v>
      </x:c>
      <x:c r="P165" s="21" t="str">
        <x:v>未检索到</x:v>
      </x:c>
      <x:c r="Q165" s="21" t="str">
        <x:v>未检索到</x:v>
      </x:c>
      <x:c r="R165" s="21" t="str">
        <x:v>floors affected=15</x:v>
      </x:c>
      <x:c r="S165" s="21" t="str">
        <x:v>未检索到</x:v>
      </x:c>
      <x:c r="T165" s="42" t="n">
        <x:v>0</x:v>
      </x:c>
      <x:c r="U165" s="42" t="n">
        <x:v>0</x:v>
      </x:c>
      <x:c r="V165" s="42"/>
      <x:c r="W165" s="33" t="str">
        <x:v>C</x:v>
      </x:c>
      <x:c r="X165" s="33" t="str">
        <x:v>candidate_list_membership_needs_individual_height_source</x:v>
      </x:c>
      <x:c r="Y165" s="33" t="str">
        <x:v>候选待核实</x:v>
      </x:c>
      <x:c r="Z165" s="21" t="str">
        <x:v>listed in high-rise façade fire table; affected floors are not total building floors；aggregate list is not sufficient for final inclusion; floors affected must not be mistaken for total building floors</x:v>
      </x:c>
      <x:c r="AA165" s="21" t="str">
        <x:v>Wikipedia high-rise façade list; derived from Bonner et al./news (candidate discovery)</x:v>
      </x:c>
      <x:c r="AB165" s="21" t="str">
        <x:v>批量来源代理</x:v>
      </x:c>
      <x:c r="AC165" s="21" t="str"/>
      <x:c r="AD165" s="21" t="n">
        <x:v>1</x:v>
      </x:c>
      <x:c r="AE165" s="21" t="str">
        <x:v>未检查</x:v>
      </x:c>
      <x:c r="AF165" s="21" t="str"/>
      <x:c r="AG165" s="24" t="n">
        <x:v>46260</x:v>
      </x:c>
      <x:c r="AH165" s="21" t="str"/>
      <x:c r="AI165" s="21" t="n">
        <x:v>1</x:v>
      </x:c>
      <x:c r="AJ165" s="21" t="str">
        <x:v>未评估（本事件表不建立热浪因果关系）</x:v>
      </x:c>
      <x:c r="AK165" s="21" t="str">
        <x:v>缺失/待核实</x:v>
      </x:c>
    </x:row>
    <x:row r="166" ht="42" customHeight="1">
      <x:c r="A166" s="33" t="n">
        <x:v>165</x:v>
      </x:c>
      <x:c r="B166" s="33" t="str">
        <x:v>RAW-0165</x:v>
      </x:c>
      <x:c r="C166" s="36" t="str">
        <x:v>亚洲</x:v>
      </x:c>
      <x:c r="D166" s="36" t="str">
        <x:v>Iran</x:v>
      </x:c>
      <x:c r="E166" s="21" t="str">
        <x:v>Tehran</x:v>
      </x:c>
      <x:c r="F166" s="21" t="str">
        <x:v>Paramis Building fire</x:v>
      </x:c>
      <x:c r="G166" s="39" t="n">
        <x:v>43303</x:v>
      </x:c>
      <x:c r="H166" s="21" t="str">
        <x:v>21-storey residential building</x:v>
      </x:c>
      <x:c r="I166" s="21" t="str">
        <x:v>未检索到/待核实</x:v>
      </x:c>
      <x:c r="J166" s="21" t="str">
        <x:v>21-storey residential building</x:v>
      </x:c>
      <x:c r="K166" s="21" t="str">
        <x:v>https://en.wikipedia.org/wiki/List_of_fires_in_high-rise_buildings</x:v>
      </x:c>
      <x:c r="L166" s="27" t="n">
        <x:v>35.69439</x:v>
      </x:c>
      <x:c r="M166" s="27" t="n">
        <x:v>51.42151</x:v>
      </x:c>
      <x:c r="N166" s="21" t="str">
        <x:v>城市代表点（来源明确说明不是火场坐标）</x:v>
      </x:c>
      <x:c r="O166" s="21" t="str">
        <x:v>高层建筑火灾</x:v>
      </x:c>
      <x:c r="P166" s="21" t="str">
        <x:v>residential</x:v>
      </x:c>
      <x:c r="Q166" s="21" t="str">
        <x:v>21 floors; 69.3 m</x:v>
      </x:c>
      <x:c r="R166" s="21" t="str">
        <x:v>未检索到</x:v>
      </x:c>
      <x:c r="S166" s="21" t="str">
        <x:v>未检索到</x:v>
      </x:c>
      <x:c r="T166" s="42" t="n">
        <x:v>0</x:v>
      </x:c>
      <x:c r="U166" s="42"/>
      <x:c r="V166" s="42"/>
      <x:c r="W166" s="33" t="str">
        <x:v>C</x:v>
      </x:c>
      <x:c r="X166" s="33" t="str">
        <x:v>candidate_height_or_list_membership_needs_individual_source</x:v>
      </x:c>
      <x:c r="Y166" s="33" t="str">
        <x:v>候选待核实</x:v>
      </x:c>
      <x:c r="Z166" s="21" t="str">
        <x:v>height=69.3 m; floors=21; listed in high-rise fire table；aggregate list is not sufficient for final inclusion; verify height/floors and event details with cited event or building source</x:v>
      </x:c>
      <x:c r="AA166" s="21" t="str">
        <x:v>Wikipedia dynamic high-rise list (candidate discovery)</x:v>
      </x:c>
      <x:c r="AB166" s="21" t="str">
        <x:v>批量来源代理</x:v>
      </x:c>
      <x:c r="AC166" s="21" t="str"/>
      <x:c r="AD166" s="21" t="n">
        <x:v>1</x:v>
      </x:c>
      <x:c r="AE166" s="21" t="str">
        <x:v>未检查</x:v>
      </x:c>
      <x:c r="AF166" s="21" t="str"/>
      <x:c r="AG166" s="24" t="n">
        <x:v>46260</x:v>
      </x:c>
      <x:c r="AH166" s="21" t="str"/>
      <x:c r="AI166" s="21" t="n">
        <x:v>1</x:v>
      </x:c>
      <x:c r="AJ166" s="21" t="str">
        <x:v>未评估（本事件表不建立热浪因果关系）</x:v>
      </x:c>
      <x:c r="AK166" s="21" t="str">
        <x:v>缺失/待核实</x:v>
      </x:c>
    </x:row>
    <x:row r="167" ht="42" customHeight="1">
      <x:c r="A167" s="33" t="n">
        <x:v>166</x:v>
      </x:c>
      <x:c r="B167" s="33" t="str">
        <x:v>RAW-0166</x:v>
      </x:c>
      <x:c r="C167" s="36" t="str">
        <x:v>非洲</x:v>
      </x:c>
      <x:c r="D167" s="36" t="str">
        <x:v>South Africa</x:v>
      </x:c>
      <x:c r="E167" s="21" t="str">
        <x:v>Johannesburg</x:v>
      </x:c>
      <x:c r="F167" s="21" t="str">
        <x:v>Bank of Lisbon building fire</x:v>
      </x:c>
      <x:c r="G167" s="39" t="n">
        <x:v>43349</x:v>
      </x:c>
      <x:c r="H167" s="21" t="str">
        <x:v>Building demolished/Imploded on November 24, 2019</x:v>
      </x:c>
      <x:c r="I167" s="21" t="str">
        <x:v>未检索到/待核实</x:v>
      </x:c>
      <x:c r="J167" s="21" t="str">
        <x:v>Building demolished/Imploded on November 24, 2019</x:v>
      </x:c>
      <x:c r="K167" s="21" t="str">
        <x:v>https://en.wikipedia.org/wiki/List_of_fires_in_high-rise_buildings</x:v>
      </x:c>
      <x:c r="L167" s="27" t="n">
        <x:v>-26.20227</x:v>
      </x:c>
      <x:c r="M167" s="27" t="n">
        <x:v>28.04363</x:v>
      </x:c>
      <x:c r="N167" s="21" t="str">
        <x:v>城市代表点（来源明确说明不是火场坐标）</x:v>
      </x:c>
      <x:c r="O167" s="21" t="str">
        <x:v>高层建筑火灾</x:v>
      </x:c>
      <x:c r="P167" s="21" t="str">
        <x:v>office/government</x:v>
      </x:c>
      <x:c r="Q167" s="21" t="str">
        <x:v>108 m</x:v>
      </x:c>
      <x:c r="R167" s="21" t="str">
        <x:v>未检索到</x:v>
      </x:c>
      <x:c r="S167" s="21" t="str">
        <x:v>未检索到</x:v>
      </x:c>
      <x:c r="T167" s="42" t="n">
        <x:v>3</x:v>
      </x:c>
      <x:c r="U167" s="42"/>
      <x:c r="V167" s="42"/>
      <x:c r="W167" s="33" t="str">
        <x:v>C</x:v>
      </x:c>
      <x:c r="X167" s="33" t="str">
        <x:v>candidate_height_or_list_membership_needs_individual_source</x:v>
      </x:c>
      <x:c r="Y167" s="33" t="str">
        <x:v>候选待核实</x:v>
      </x:c>
      <x:c r="Z167" s="21" t="str">
        <x:v>height=108 m; listed in high-rise fire table；aggregate list is not sufficient for final inclusion; verify height/floors and event details with cited event or building source</x:v>
      </x:c>
      <x:c r="AA167" s="21" t="str">
        <x:v>Wikipedia dynamic high-rise list (candidate discovery)</x:v>
      </x:c>
      <x:c r="AB167" s="21" t="str">
        <x:v>批量来源代理</x:v>
      </x:c>
      <x:c r="AC167" s="21" t="str"/>
      <x:c r="AD167" s="21" t="n">
        <x:v>1</x:v>
      </x:c>
      <x:c r="AE167" s="21" t="str">
        <x:v>未检查</x:v>
      </x:c>
      <x:c r="AF167" s="21" t="str"/>
      <x:c r="AG167" s="24" t="n">
        <x:v>46260</x:v>
      </x:c>
      <x:c r="AH167" s="21" t="str"/>
      <x:c r="AI167" s="21" t="n">
        <x:v>1</x:v>
      </x:c>
      <x:c r="AJ167" s="21" t="str">
        <x:v>未评估（本事件表不建立热浪因果关系）</x:v>
      </x:c>
      <x:c r="AK167" s="21" t="str">
        <x:v>缺失/待核实</x:v>
      </x:c>
    </x:row>
    <x:row r="168" ht="42" customHeight="1">
      <x:c r="A168" s="33" t="n">
        <x:v>167</x:v>
      </x:c>
      <x:c r="B168" s="33" t="str">
        <x:v>RAW-0167</x:v>
      </x:c>
      <x:c r="C168" s="36" t="str">
        <x:v>欧洲</x:v>
      </x:c>
      <x:c r="D168" s="36" t="str">
        <x:v>France</x:v>
      </x:c>
      <x:c r="E168" s="21" t="str">
        <x:v>Paris</x:v>
      </x:c>
      <x:c r="F168" s="21" t="str">
        <x:v>The Boulangerie Hubert (later renamed the Mumbai Cafe) fire</x:v>
      </x:c>
      <x:c r="G168" s="39" t="n">
        <x:v>43477</x:v>
      </x:c>
      <x:c r="H168" s="21" t="str">
        <x:v>High-rise façade fire; reported floors affected: 1st of 7.</x:v>
      </x:c>
      <x:c r="I168" s="21" t="str">
        <x:v>未检索到/待核实</x:v>
      </x:c>
      <x:c r="J168" s="21" t="str">
        <x:v>façade involved; floors affected=1st of 7</x:v>
      </x:c>
      <x:c r="K168" s="21" t="str">
        <x:v>https://en.wikipedia.org/wiki/List_of_high-rise_fa%C3%A7ade_fires</x:v>
      </x:c>
      <x:c r="L168" s="27" t="n">
        <x:v>48.85341</x:v>
      </x:c>
      <x:c r="M168" s="27" t="n">
        <x:v>2.3488</x:v>
      </x:c>
      <x:c r="N168" s="21" t="str">
        <x:v>城市代表点（来源明确说明不是火场坐标）</x:v>
      </x:c>
      <x:c r="O168" s="21" t="str">
        <x:v>高层建筑火灾</x:v>
      </x:c>
      <x:c r="P168" s="21" t="str">
        <x:v>未检索到</x:v>
      </x:c>
      <x:c r="Q168" s="21" t="str">
        <x:v>未检索到</x:v>
      </x:c>
      <x:c r="R168" s="21" t="str">
        <x:v>floors affected=1st of 7</x:v>
      </x:c>
      <x:c r="S168" s="21" t="str">
        <x:v>未检索到</x:v>
      </x:c>
      <x:c r="T168" s="42" t="n">
        <x:v>4</x:v>
      </x:c>
      <x:c r="U168" s="42" t="n">
        <x:v>47</x:v>
      </x:c>
      <x:c r="V168" s="42"/>
      <x:c r="W168" s="33" t="str">
        <x:v>C</x:v>
      </x:c>
      <x:c r="X168" s="33" t="str">
        <x:v>candidate_list_membership_needs_individual_height_source</x:v>
      </x:c>
      <x:c r="Y168" s="33" t="str">
        <x:v>候选待核实</x:v>
      </x:c>
      <x:c r="Z168" s="21" t="str">
        <x:v>listed in high-rise façade fire table; affected floors are not total building floors；aggregate list is not sufficient for final inclusion; floors affected must not be mistaken for total building floors</x:v>
      </x:c>
      <x:c r="AA168" s="21" t="str">
        <x:v>Wikipedia high-rise façade list; derived from Bonner et al./news (candidate discovery)</x:v>
      </x:c>
      <x:c r="AB168" s="21" t="str">
        <x:v>批量来源代理</x:v>
      </x:c>
      <x:c r="AC168" s="21" t="str"/>
      <x:c r="AD168" s="21" t="n">
        <x:v>1</x:v>
      </x:c>
      <x:c r="AE168" s="21" t="str">
        <x:v>未检查</x:v>
      </x:c>
      <x:c r="AF168" s="21" t="str"/>
      <x:c r="AG168" s="24" t="n">
        <x:v>46260</x:v>
      </x:c>
      <x:c r="AH168" s="21" t="str"/>
      <x:c r="AI168" s="21" t="n">
        <x:v>1</x:v>
      </x:c>
      <x:c r="AJ168" s="21" t="str">
        <x:v>未评估（本事件表不建立热浪因果关系）</x:v>
      </x:c>
      <x:c r="AK168" s="21" t="str">
        <x:v>缺失/待核实</x:v>
      </x:c>
    </x:row>
    <x:row r="169" ht="42" customHeight="1">
      <x:c r="A169" s="33" t="n">
        <x:v>168</x:v>
      </x:c>
      <x:c r="B169" s="33" t="str">
        <x:v>RAW-0168</x:v>
      </x:c>
      <x:c r="C169" s="36" t="str">
        <x:v>大洋洲</x:v>
      </x:c>
      <x:c r="D169" s="36" t="str">
        <x:v>Australia</x:v>
      </x:c>
      <x:c r="E169" s="21" t="str">
        <x:v>Melbourne</x:v>
      </x:c>
      <x:c r="F169" s="21" t="str">
        <x:v>Neo 200 fire</x:v>
      </x:c>
      <x:c r="G169" s="39" t="n">
        <x:v>43500</x:v>
      </x:c>
      <x:c r="H169" s="21" t="str">
        <x:v>High-rise façade fire; reported floors affected: 6.</x:v>
      </x:c>
      <x:c r="I169" s="21" t="str">
        <x:v>未检索到/待核实</x:v>
      </x:c>
      <x:c r="J169" s="21" t="str">
        <x:v>façade involved; floors affected=6</x:v>
      </x:c>
      <x:c r="K169" s="21" t="str">
        <x:v>https://en.wikipedia.org/wiki/List_of_high-rise_fa%C3%A7ade_fires</x:v>
      </x:c>
      <x:c r="L169" s="27" t="n">
        <x:v>-37.814</x:v>
      </x:c>
      <x:c r="M169" s="27" t="n">
        <x:v>144.96332</x:v>
      </x:c>
      <x:c r="N169" s="21" t="str">
        <x:v>城市代表点（来源明确说明不是火场坐标）</x:v>
      </x:c>
      <x:c r="O169" s="21" t="str">
        <x:v>高层建筑火灾</x:v>
      </x:c>
      <x:c r="P169" s="21" t="str">
        <x:v>未检索到</x:v>
      </x:c>
      <x:c r="Q169" s="21" t="str">
        <x:v>未检索到</x:v>
      </x:c>
      <x:c r="R169" s="21" t="str">
        <x:v>floors affected=6</x:v>
      </x:c>
      <x:c r="S169" s="21" t="str">
        <x:v>未检索到</x:v>
      </x:c>
      <x:c r="T169" s="42" t="n">
        <x:v>0</x:v>
      </x:c>
      <x:c r="U169" s="42" t="n">
        <x:v>0</x:v>
      </x:c>
      <x:c r="V169" s="42"/>
      <x:c r="W169" s="33" t="str">
        <x:v>C</x:v>
      </x:c>
      <x:c r="X169" s="33" t="str">
        <x:v>candidate_list_membership_needs_individual_height_source</x:v>
      </x:c>
      <x:c r="Y169" s="33" t="str">
        <x:v>候选待核实</x:v>
      </x:c>
      <x:c r="Z169" s="21" t="str">
        <x:v>listed in high-rise façade fire table; affected floors are not total building floors；aggregate list is not sufficient for final inclusion; floors affected must not be mistaken for total building floors</x:v>
      </x:c>
      <x:c r="AA169" s="21" t="str">
        <x:v>Wikipedia high-rise façade list; derived from Bonner et al./news (candidate discovery)</x:v>
      </x:c>
      <x:c r="AB169" s="21" t="str">
        <x:v>批量来源代理</x:v>
      </x:c>
      <x:c r="AC169" s="21" t="str"/>
      <x:c r="AD169" s="21" t="n">
        <x:v>1</x:v>
      </x:c>
      <x:c r="AE169" s="21" t="str">
        <x:v>未检查</x:v>
      </x:c>
      <x:c r="AF169" s="21" t="str"/>
      <x:c r="AG169" s="24" t="n">
        <x:v>46260</x:v>
      </x:c>
      <x:c r="AH169" s="21" t="str"/>
      <x:c r="AI169" s="21" t="n">
        <x:v>1</x:v>
      </x:c>
      <x:c r="AJ169" s="21" t="str">
        <x:v>未评估（本事件表不建立热浪因果关系）</x:v>
      </x:c>
      <x:c r="AK169" s="21" t="str">
        <x:v>缺失/待核实</x:v>
      </x:c>
    </x:row>
    <x:row r="170" ht="42" customHeight="1">
      <x:c r="A170" s="33" t="n">
        <x:v>169</x:v>
      </x:c>
      <x:c r="B170" s="33" t="str">
        <x:v>RAW-0169</x:v>
      </x:c>
      <x:c r="C170" s="36" t="str">
        <x:v>欧洲</x:v>
      </x:c>
      <x:c r="D170" s="36" t="str">
        <x:v>France</x:v>
      </x:c>
      <x:c r="E170" s="21" t="str">
        <x:v>16th District, Paris</x:v>
      </x:c>
      <x:c r="F170" s="21" t="str">
        <x:v>17 bis rue Erlanger, The drunk lady fire</x:v>
      </x:c>
      <x:c r="G170" s="39" t="n">
        <x:v>43501</x:v>
      </x:c>
      <x:c r="H170" s="21" t="str">
        <x:v>High-rise façade fire; reported floors affected: 3rd through 9th.</x:v>
      </x:c>
      <x:c r="I170" s="21" t="str">
        <x:v>未检索到/待核实</x:v>
      </x:c>
      <x:c r="J170" s="21" t="str">
        <x:v>façade involved; floors affected=3rd through 9th</x:v>
      </x:c>
      <x:c r="K170" s="21" t="str">
        <x:v>https://en.wikipedia.org/wiki/List_of_high-rise_fa%C3%A7ade_fires</x:v>
      </x:c>
      <x:c r="L170" s="27"/>
      <x:c r="M170" s="27"/>
      <x:c r="N170" s="21" t="str">
        <x:v>未提供坐标</x:v>
      </x:c>
      <x:c r="O170" s="21" t="str">
        <x:v>高层建筑火灾</x:v>
      </x:c>
      <x:c r="P170" s="21" t="str">
        <x:v>未检索到</x:v>
      </x:c>
      <x:c r="Q170" s="21" t="str">
        <x:v>未检索到</x:v>
      </x:c>
      <x:c r="R170" s="21" t="str">
        <x:v>floors affected=3rd through 9th</x:v>
      </x:c>
      <x:c r="S170" s="21" t="str">
        <x:v>未检索到</x:v>
      </x:c>
      <x:c r="T170" s="42" t="n">
        <x:v>10</x:v>
      </x:c>
      <x:c r="U170" s="42" t="n">
        <x:v>36</x:v>
      </x:c>
      <x:c r="V170" s="42"/>
      <x:c r="W170" s="33" t="str">
        <x:v>C</x:v>
      </x:c>
      <x:c r="X170" s="33" t="str">
        <x:v>candidate_list_membership_needs_individual_height_source</x:v>
      </x:c>
      <x:c r="Y170" s="33" t="str">
        <x:v>候选待核实</x:v>
      </x:c>
      <x:c r="Z170" s="21" t="str">
        <x:v>listed in high-rise façade fire table; affected floors are not total building floors；aggregate list is not sufficient for final inclusion; floors affected must not be mistaken for total building floors</x:v>
      </x:c>
      <x:c r="AA170" s="21" t="str">
        <x:v>Wikipedia high-rise façade list; derived from Bonner et al./news (candidate discovery)</x:v>
      </x:c>
      <x:c r="AB170" s="21" t="str">
        <x:v>批量来源代理</x:v>
      </x:c>
      <x:c r="AC170" s="21" t="str"/>
      <x:c r="AD170" s="21" t="n">
        <x:v>1</x:v>
      </x:c>
      <x:c r="AE170" s="21" t="str">
        <x:v>未检查</x:v>
      </x:c>
      <x:c r="AF170" s="21" t="str"/>
      <x:c r="AG170" s="24" t="n">
        <x:v>46260</x:v>
      </x:c>
      <x:c r="AH170" s="21" t="str"/>
      <x:c r="AI170" s="21" t="n">
        <x:v>1</x:v>
      </x:c>
      <x:c r="AJ170" s="21" t="str">
        <x:v>未评估（本事件表不建立热浪因果关系）</x:v>
      </x:c>
      <x:c r="AK170" s="21" t="str">
        <x:v>缺失/待核实</x:v>
      </x:c>
    </x:row>
    <x:row r="171" ht="42" customHeight="1">
      <x:c r="A171" s="33" t="n">
        <x:v>170</x:v>
      </x:c>
      <x:c r="B171" s="33" t="str">
        <x:v>RAW-0170</x:v>
      </x:c>
      <x:c r="C171" s="36" t="str">
        <x:v>亚洲</x:v>
      </x:c>
      <x:c r="D171" s="36" t="str">
        <x:v>China</x:v>
      </x:c>
      <x:c r="E171" s="21" t="str">
        <x:v>Kaifeng</x:v>
      </x:c>
      <x:c r="F171" s="21" t="str">
        <x:v>Kaifeng Apartments[citation needed] fire</x:v>
      </x:c>
      <x:c r="G171" s="39" t="n">
        <x:v>43538</x:v>
      </x:c>
      <x:c r="H171" s="21" t="str">
        <x:v>High-rise façade fire; reported floors affected: 17.</x:v>
      </x:c>
      <x:c r="I171" s="21" t="str">
        <x:v>未检索到/待核实</x:v>
      </x:c>
      <x:c r="J171" s="21" t="str">
        <x:v>façade involved; floors affected=17</x:v>
      </x:c>
      <x:c r="K171" s="21" t="str">
        <x:v>https://en.wikipedia.org/wiki/List_of_high-rise_fa%C3%A7ade_fires</x:v>
      </x:c>
      <x:c r="L171" s="27" t="n">
        <x:v>34.7986</x:v>
      </x:c>
      <x:c r="M171" s="27" t="n">
        <x:v>114.30742</x:v>
      </x:c>
      <x:c r="N171" s="21" t="str">
        <x:v>城市代表点（来源明确说明不是火场坐标）</x:v>
      </x:c>
      <x:c r="O171" s="21" t="str">
        <x:v>高层建筑火灾</x:v>
      </x:c>
      <x:c r="P171" s="21" t="str">
        <x:v>residential</x:v>
      </x:c>
      <x:c r="Q171" s="21" t="str">
        <x:v>未检索到</x:v>
      </x:c>
      <x:c r="R171" s="21" t="str">
        <x:v>floors affected=17</x:v>
      </x:c>
      <x:c r="S171" s="21" t="str">
        <x:v>未检索到</x:v>
      </x:c>
      <x:c r="T171" s="42" t="n">
        <x:v>0</x:v>
      </x:c>
      <x:c r="U171" s="42" t="n">
        <x:v>0</x:v>
      </x:c>
      <x:c r="V171" s="42"/>
      <x:c r="W171" s="33" t="str">
        <x:v>C</x:v>
      </x:c>
      <x:c r="X171" s="33" t="str">
        <x:v>candidate_list_membership_needs_individual_height_source</x:v>
      </x:c>
      <x:c r="Y171" s="33" t="str">
        <x:v>候选待核实</x:v>
      </x:c>
      <x:c r="Z171" s="21" t="str">
        <x:v>listed in high-rise façade fire table; affected floors are not total building floors；aggregate list is not sufficient for final inclusion; floors affected must not be mistaken for total building floors</x:v>
      </x:c>
      <x:c r="AA171" s="21" t="str">
        <x:v>Wikipedia high-rise façade list; derived from Bonner et al./news (candidate discovery)</x:v>
      </x:c>
      <x:c r="AB171" s="21" t="str">
        <x:v>批量来源代理</x:v>
      </x:c>
      <x:c r="AC171" s="21" t="str"/>
      <x:c r="AD171" s="21" t="n">
        <x:v>1</x:v>
      </x:c>
      <x:c r="AE171" s="21" t="str">
        <x:v>未检查</x:v>
      </x:c>
      <x:c r="AF171" s="21" t="str"/>
      <x:c r="AG171" s="24" t="n">
        <x:v>46260</x:v>
      </x:c>
      <x:c r="AH171" s="21" t="str"/>
      <x:c r="AI171" s="21" t="n">
        <x:v>1</x:v>
      </x:c>
      <x:c r="AJ171" s="21" t="str">
        <x:v>未评估（本事件表不建立热浪因果关系）</x:v>
      </x:c>
      <x:c r="AK171" s="21" t="str">
        <x:v>缺失/待核实</x:v>
      </x:c>
    </x:row>
    <x:row r="172" ht="42" customHeight="1">
      <x:c r="A172" s="33" t="n">
        <x:v>171</x:v>
      </x:c>
      <x:c r="B172" s="33" t="str">
        <x:v>RAW-0171</x:v>
      </x:c>
      <x:c r="C172" s="36" t="str">
        <x:v>亚洲</x:v>
      </x:c>
      <x:c r="D172" s="36" t="str">
        <x:v>Bangladesh</x:v>
      </x:c>
      <x:c r="E172" s="21" t="str">
        <x:v>Dhaka</x:v>
      </x:c>
      <x:c r="F172" s="21" t="str">
        <x:v>FR Tower fire</x:v>
      </x:c>
      <x:c r="G172" s="39" t="n">
        <x:v>43552</x:v>
      </x:c>
      <x:c r="H172" s="21" t="str">
        <x:v>FR Tower fire</x:v>
      </x:c>
      <x:c r="I172" s="21" t="str">
        <x:v>未检索到/待核实</x:v>
      </x:c>
      <x:c r="J172" s="21" t="str">
        <x:v>FR Tower fire</x:v>
      </x:c>
      <x:c r="K172" s="21" t="str">
        <x:v>https://en.wikipedia.org/wiki/List_of_fires_in_high-rise_buildings</x:v>
      </x:c>
      <x:c r="L172" s="27" t="n">
        <x:v>23.7104</x:v>
      </x:c>
      <x:c r="M172" s="27" t="n">
        <x:v>90.40744</x:v>
      </x:c>
      <x:c r="N172" s="21" t="str">
        <x:v>城市代表点（来源明确说明不是火场坐标）</x:v>
      </x:c>
      <x:c r="O172" s="21" t="str">
        <x:v>高层建筑火灾</x:v>
      </x:c>
      <x:c r="P172" s="21" t="str">
        <x:v>未检索到</x:v>
      </x:c>
      <x:c r="Q172" s="21" t="str">
        <x:v>未检索到</x:v>
      </x:c>
      <x:c r="R172" s="21" t="str">
        <x:v>未检索到</x:v>
      </x:c>
      <x:c r="S172" s="21" t="str">
        <x:v>未检索到</x:v>
      </x:c>
      <x:c r="T172" s="42" t="n">
        <x:v>25</x:v>
      </x:c>
      <x:c r="U172" s="42"/>
      <x:c r="V172" s="42"/>
      <x:c r="W172" s="33" t="str">
        <x:v>C</x:v>
      </x:c>
      <x:c r="X172" s="33" t="str">
        <x:v>candidate_height_or_list_membership_needs_individual_source</x:v>
      </x:c>
      <x:c r="Y172" s="33" t="str">
        <x:v>候选待核实</x:v>
      </x:c>
      <x:c r="Z172" s="21" t="str">
        <x:v>listed in high-rise fire table；aggregate list is not sufficient for final inclusion; verify height/floors and event details with cited event or building source</x:v>
      </x:c>
      <x:c r="AA172" s="21" t="str">
        <x:v>Wikipedia dynamic high-rise list (candidate discovery)</x:v>
      </x:c>
      <x:c r="AB172" s="21" t="str">
        <x:v>批量来源代理</x:v>
      </x:c>
      <x:c r="AC172" s="21" t="str"/>
      <x:c r="AD172" s="21" t="n">
        <x:v>1</x:v>
      </x:c>
      <x:c r="AE172" s="21" t="str">
        <x:v>未检查</x:v>
      </x:c>
      <x:c r="AF172" s="21" t="str"/>
      <x:c r="AG172" s="24" t="n">
        <x:v>46260</x:v>
      </x:c>
      <x:c r="AH172" s="21" t="str"/>
      <x:c r="AI172" s="21" t="n">
        <x:v>1</x:v>
      </x:c>
      <x:c r="AJ172" s="21" t="str">
        <x:v>未评估（本事件表不建立热浪因果关系）</x:v>
      </x:c>
      <x:c r="AK172" s="21" t="str">
        <x:v>缺失/待核实</x:v>
      </x:c>
    </x:row>
    <x:row r="173" ht="42" customHeight="1">
      <x:c r="A173" s="33" t="n">
        <x:v>172</x:v>
      </x:c>
      <x:c r="B173" s="33" t="str">
        <x:v>RAW-0172</x:v>
      </x:c>
      <x:c r="C173" s="36" t="str">
        <x:v>亚洲</x:v>
      </x:c>
      <x:c r="D173" s="36" t="str">
        <x:v>China</x:v>
      </x:c>
      <x:c r="E173" s="21" t="str">
        <x:v>Nanjing</x:v>
      </x:c>
      <x:c r="F173" s="21" t="str">
        <x:v>Golden Eagle Shopping Mall fire</x:v>
      </x:c>
      <x:c r="G173" s="39" t="n">
        <x:v>43612</x:v>
      </x:c>
      <x:c r="H173" s="21" t="str">
        <x:v>High-rise façade fire; reported floors affected: 1.</x:v>
      </x:c>
      <x:c r="I173" s="21" t="str">
        <x:v>未检索到/待核实</x:v>
      </x:c>
      <x:c r="J173" s="21" t="str">
        <x:v>façade involved; floors affected=1</x:v>
      </x:c>
      <x:c r="K173" s="21" t="str">
        <x:v>https://en.wikipedia.org/wiki/List_of_high-rise_fa%C3%A7ade_fires</x:v>
      </x:c>
      <x:c r="L173" s="27" t="n">
        <x:v>32.06167</x:v>
      </x:c>
      <x:c r="M173" s="27" t="n">
        <x:v>118.77778</x:v>
      </x:c>
      <x:c r="N173" s="21" t="str">
        <x:v>城市代表点（来源明确说明不是火场坐标）</x:v>
      </x:c>
      <x:c r="O173" s="21" t="str">
        <x:v>高层建筑火灾</x:v>
      </x:c>
      <x:c r="P173" s="21" t="str">
        <x:v>commercial/retail</x:v>
      </x:c>
      <x:c r="Q173" s="21" t="str">
        <x:v>未检索到</x:v>
      </x:c>
      <x:c r="R173" s="21" t="str">
        <x:v>floors affected=1</x:v>
      </x:c>
      <x:c r="S173" s="21" t="str">
        <x:v>未检索到</x:v>
      </x:c>
      <x:c r="T173" s="42" t="n">
        <x:v>0</x:v>
      </x:c>
      <x:c r="U173" s="42" t="n">
        <x:v>0</x:v>
      </x:c>
      <x:c r="V173" s="42"/>
      <x:c r="W173" s="33" t="str">
        <x:v>C</x:v>
      </x:c>
      <x:c r="X173" s="33" t="str">
        <x:v>candidate_list_membership_needs_individual_height_source</x:v>
      </x:c>
      <x:c r="Y173" s="33" t="str">
        <x:v>候选待核实</x:v>
      </x:c>
      <x:c r="Z173" s="21" t="str">
        <x:v>listed in high-rise façade fire table; affected floors are not total building floors；aggregate list is not sufficient for final inclusion; floors affected must not be mistaken for total building floors</x:v>
      </x:c>
      <x:c r="AA173" s="21" t="str">
        <x:v>Wikipedia high-rise façade list; derived from Bonner et al./news (candidate discovery)</x:v>
      </x:c>
      <x:c r="AB173" s="21" t="str">
        <x:v>批量来源代理</x:v>
      </x:c>
      <x:c r="AC173" s="21" t="str"/>
      <x:c r="AD173" s="21" t="n">
        <x:v>1</x:v>
      </x:c>
      <x:c r="AE173" s="21" t="str">
        <x:v>未检查</x:v>
      </x:c>
      <x:c r="AF173" s="21" t="str"/>
      <x:c r="AG173" s="24" t="n">
        <x:v>46260</x:v>
      </x:c>
      <x:c r="AH173" s="21" t="str"/>
      <x:c r="AI173" s="21" t="n">
        <x:v>1</x:v>
      </x:c>
      <x:c r="AJ173" s="21" t="str">
        <x:v>未评估（本事件表不建立热浪因果关系）</x:v>
      </x:c>
      <x:c r="AK173" s="21" t="str">
        <x:v>缺失/待核实</x:v>
      </x:c>
    </x:row>
    <x:row r="174" ht="42" customHeight="1">
      <x:c r="A174" s="33" t="n">
        <x:v>173</x:v>
      </x:c>
      <x:c r="B174" s="33" t="str">
        <x:v>RAW-0173</x:v>
      </x:c>
      <x:c r="C174" s="36" t="str">
        <x:v>亚洲</x:v>
      </x:c>
      <x:c r="D174" s="36" t="str">
        <x:v>China</x:v>
      </x:c>
      <x:c r="E174" s="21" t="str">
        <x:v>Luoyang</x:v>
      </x:c>
      <x:c r="F174" s="21" t="str">
        <x:v>Commercial Building fire</x:v>
      </x:c>
      <x:c r="G174" s="39" t="n">
        <x:v>43614</x:v>
      </x:c>
      <x:c r="H174" s="21" t="str">
        <x:v>High-rise façade fire; reported floors affected: 1.</x:v>
      </x:c>
      <x:c r="I174" s="21" t="str">
        <x:v>未检索到/待核实</x:v>
      </x:c>
      <x:c r="J174" s="21" t="str">
        <x:v>façade involved; floors affected=1</x:v>
      </x:c>
      <x:c r="K174" s="21" t="str">
        <x:v>https://en.wikipedia.org/wiki/List_of_high-rise_fa%C3%A7ade_fires</x:v>
      </x:c>
      <x:c r="L174" s="27" t="n">
        <x:v>34.67345</x:v>
      </x:c>
      <x:c r="M174" s="27" t="n">
        <x:v>112.43684</x:v>
      </x:c>
      <x:c r="N174" s="21" t="str">
        <x:v>城市代表点（来源明确说明不是火场坐标）</x:v>
      </x:c>
      <x:c r="O174" s="21" t="str">
        <x:v>高层建筑火灾</x:v>
      </x:c>
      <x:c r="P174" s="21" t="str">
        <x:v>未检索到</x:v>
      </x:c>
      <x:c r="Q174" s="21" t="str">
        <x:v>未检索到</x:v>
      </x:c>
      <x:c r="R174" s="21" t="str">
        <x:v>floors affected=1</x:v>
      </x:c>
      <x:c r="S174" s="21" t="str">
        <x:v>未检索到</x:v>
      </x:c>
      <x:c r="T174" s="42" t="n">
        <x:v>0</x:v>
      </x:c>
      <x:c r="U174" s="42" t="n">
        <x:v>0</x:v>
      </x:c>
      <x:c r="V174" s="42"/>
      <x:c r="W174" s="33" t="str">
        <x:v>C</x:v>
      </x:c>
      <x:c r="X174" s="33" t="str">
        <x:v>candidate_list_membership_needs_individual_height_source</x:v>
      </x:c>
      <x:c r="Y174" s="33" t="str">
        <x:v>候选待核实</x:v>
      </x:c>
      <x:c r="Z174" s="21" t="str">
        <x:v>listed in high-rise façade fire table; affected floors are not total building floors；aggregate list is not sufficient for final inclusion; floors affected must not be mistaken for total building floors</x:v>
      </x:c>
      <x:c r="AA174" s="21" t="str">
        <x:v>Wikipedia high-rise façade list; derived from Bonner et al./news (candidate discovery)</x:v>
      </x:c>
      <x:c r="AB174" s="21" t="str">
        <x:v>批量来源代理</x:v>
      </x:c>
      <x:c r="AC174" s="21" t="str"/>
      <x:c r="AD174" s="21" t="n">
        <x:v>1</x:v>
      </x:c>
      <x:c r="AE174" s="21" t="str">
        <x:v>未检查</x:v>
      </x:c>
      <x:c r="AF174" s="21" t="str"/>
      <x:c r="AG174" s="24" t="n">
        <x:v>46260</x:v>
      </x:c>
      <x:c r="AH174" s="21" t="str"/>
      <x:c r="AI174" s="21" t="n">
        <x:v>1</x:v>
      </x:c>
      <x:c r="AJ174" s="21" t="str">
        <x:v>未评估（本事件表不建立热浪因果关系）</x:v>
      </x:c>
      <x:c r="AK174" s="21" t="str">
        <x:v>缺失/待核实</x:v>
      </x:c>
    </x:row>
    <x:row r="175" ht="42" customHeight="1">
      <x:c r="A175" s="33" t="n">
        <x:v>174</x:v>
      </x:c>
      <x:c r="B175" s="33" t="str">
        <x:v>RAW-0174</x:v>
      </x:c>
      <x:c r="C175" s="36" t="str">
        <x:v>北美洲</x:v>
      </x:c>
      <x:c r="D175" s="36" t="str">
        <x:v>United States</x:v>
      </x:c>
      <x:c r="E175" s="21" t="str">
        <x:v>New York City</x:v>
      </x:c>
      <x:c r="F175" s="21" t="str">
        <x:v>AXA Equitable Center fire</x:v>
      </x:c>
      <x:c r="G175" s="39" t="n">
        <x:v>43626</x:v>
      </x:c>
      <x:c r="H175" s="21" t="str">
        <x:v>2019 New York City helicopter crash</x:v>
      </x:c>
      <x:c r="I175" s="21" t="str">
        <x:v>aircraft impact</x:v>
      </x:c>
      <x:c r="J175" s="21" t="str">
        <x:v>2019 New York City helicopter crash</x:v>
      </x:c>
      <x:c r="K175" s="21" t="str">
        <x:v>https://en.wikipedia.org/wiki/List_of_fires_in_high-rise_buildings</x:v>
      </x:c>
      <x:c r="L175" s="27" t="n">
        <x:v>40.71427</x:v>
      </x:c>
      <x:c r="M175" s="27" t="n">
        <x:v>-74.00597</x:v>
      </x:c>
      <x:c r="N175" s="21" t="str">
        <x:v>城市代表点（来源明确说明不是火场坐标）</x:v>
      </x:c>
      <x:c r="O175" s="21" t="str">
        <x:v>高层建筑火灾</x:v>
      </x:c>
      <x:c r="P175" s="21" t="str">
        <x:v>未检索到</x:v>
      </x:c>
      <x:c r="Q175" s="21" t="str">
        <x:v>229.3 m</x:v>
      </x:c>
      <x:c r="R175" s="21" t="str">
        <x:v>未检索到</x:v>
      </x:c>
      <x:c r="S175" s="21" t="str">
        <x:v>未检索到</x:v>
      </x:c>
      <x:c r="T175" s="42" t="n">
        <x:v>1</x:v>
      </x:c>
      <x:c r="U175" s="42"/>
      <x:c r="V175" s="42"/>
      <x:c r="W175" s="33" t="str">
        <x:v>C</x:v>
      </x:c>
      <x:c r="X175" s="33" t="str">
        <x:v>candidate_height_or_list_membership_needs_individual_source</x:v>
      </x:c>
      <x:c r="Y175" s="33" t="str">
        <x:v>候选待核实</x:v>
      </x:c>
      <x:c r="Z175" s="21" t="str">
        <x:v>height=229.3 m; listed in high-rise fire table；aggregate list is not sufficient for final inclusion; verify height/floors and event details with cited event or building source</x:v>
      </x:c>
      <x:c r="AA175" s="21" t="str">
        <x:v>Wikipedia dynamic high-rise list (candidate discovery)</x:v>
      </x:c>
      <x:c r="AB175" s="21" t="str">
        <x:v>批量来源代理</x:v>
      </x:c>
      <x:c r="AC175" s="21" t="str"/>
      <x:c r="AD175" s="21" t="n">
        <x:v>1</x:v>
      </x:c>
      <x:c r="AE175" s="21" t="str">
        <x:v>未检查</x:v>
      </x:c>
      <x:c r="AF175" s="21" t="str"/>
      <x:c r="AG175" s="24" t="n">
        <x:v>46260</x:v>
      </x:c>
      <x:c r="AH175" s="21" t="str"/>
      <x:c r="AI175" s="21" t="n">
        <x:v>1</x:v>
      </x:c>
      <x:c r="AJ175" s="21" t="str">
        <x:v>未评估（本事件表不建立热浪因果关系）</x:v>
      </x:c>
      <x:c r="AK175" s="21" t="str">
        <x:v>已有来源描述</x:v>
      </x:c>
    </x:row>
    <x:row r="176" ht="42" customHeight="1">
      <x:c r="A176" s="33" t="n">
        <x:v>175</x:v>
      </x:c>
      <x:c r="B176" s="33" t="str">
        <x:v>RAW-0175</x:v>
      </x:c>
      <x:c r="C176" s="36" t="str">
        <x:v>欧洲</x:v>
      </x:c>
      <x:c r="D176" s="36" t="str">
        <x:v>Poland</x:v>
      </x:c>
      <x:c r="E176" s="21" t="str">
        <x:v>Warsaw</x:v>
      </x:c>
      <x:c r="F176" s="21" t="str">
        <x:v>Residential Flats fire</x:v>
      </x:c>
      <x:c r="G176" s="39" t="n">
        <x:v>43691</x:v>
      </x:c>
      <x:c r="H176" s="21" t="str">
        <x:v>High-rise façade fire; reported floors affected: 10.</x:v>
      </x:c>
      <x:c r="I176" s="21" t="str">
        <x:v>未检索到/待核实</x:v>
      </x:c>
      <x:c r="J176" s="21" t="str">
        <x:v>façade involved; floors affected=10</x:v>
      </x:c>
      <x:c r="K176" s="21" t="str">
        <x:v>https://en.wikipedia.org/wiki/List_of_high-rise_fa%C3%A7ade_fires</x:v>
      </x:c>
      <x:c r="L176" s="27" t="n">
        <x:v>52.22977</x:v>
      </x:c>
      <x:c r="M176" s="27" t="n">
        <x:v>21.01178</x:v>
      </x:c>
      <x:c r="N176" s="21" t="str">
        <x:v>城市代表点（来源明确说明不是火场坐标）</x:v>
      </x:c>
      <x:c r="O176" s="21" t="str">
        <x:v>高层建筑火灾</x:v>
      </x:c>
      <x:c r="P176" s="21" t="str">
        <x:v>residential</x:v>
      </x:c>
      <x:c r="Q176" s="21" t="str">
        <x:v>未检索到</x:v>
      </x:c>
      <x:c r="R176" s="21" t="str">
        <x:v>floors affected=10</x:v>
      </x:c>
      <x:c r="S176" s="21" t="str">
        <x:v>未检索到</x:v>
      </x:c>
      <x:c r="T176" s="42" t="n">
        <x:v>0</x:v>
      </x:c>
      <x:c r="U176" s="42" t="n">
        <x:v>0</x:v>
      </x:c>
      <x:c r="V176" s="42"/>
      <x:c r="W176" s="33" t="str">
        <x:v>C</x:v>
      </x:c>
      <x:c r="X176" s="33" t="str">
        <x:v>candidate_list_membership_needs_individual_height_source</x:v>
      </x:c>
      <x:c r="Y176" s="33" t="str">
        <x:v>候选待核实</x:v>
      </x:c>
      <x:c r="Z176" s="21" t="str">
        <x:v>listed in high-rise façade fire table; affected floors are not total building floors；aggregate list is not sufficient for final inclusion; floors affected must not be mistaken for total building floors</x:v>
      </x:c>
      <x:c r="AA176" s="21" t="str">
        <x:v>Wikipedia high-rise façade list; derived from Bonner et al./news (candidate discovery)</x:v>
      </x:c>
      <x:c r="AB176" s="21" t="str">
        <x:v>批量来源代理</x:v>
      </x:c>
      <x:c r="AC176" s="21" t="str"/>
      <x:c r="AD176" s="21" t="n">
        <x:v>1</x:v>
      </x:c>
      <x:c r="AE176" s="21" t="str">
        <x:v>未检查</x:v>
      </x:c>
      <x:c r="AF176" s="21" t="str"/>
      <x:c r="AG176" s="24" t="n">
        <x:v>46260</x:v>
      </x:c>
      <x:c r="AH176" s="21" t="str"/>
      <x:c r="AI176" s="21" t="n">
        <x:v>1</x:v>
      </x:c>
      <x:c r="AJ176" s="21" t="str">
        <x:v>未评估（本事件表不建立热浪因果关系）</x:v>
      </x:c>
      <x:c r="AK176" s="21" t="str">
        <x:v>缺失/待核实</x:v>
      </x:c>
    </x:row>
    <x:row r="177" ht="42" customHeight="1">
      <x:c r="A177" s="33" t="n">
        <x:v>176</x:v>
      </x:c>
      <x:c r="B177" s="33" t="str">
        <x:v>RAW-0176</x:v>
      </x:c>
      <x:c r="C177" s="36" t="str">
        <x:v>欧洲</x:v>
      </x:c>
      <x:c r="D177" s="36" t="str">
        <x:v>France</x:v>
      </x:c>
      <x:c r="E177" s="21" t="str">
        <x:v>Paris</x:v>
      </x:c>
      <x:c r="F177" s="21" t="str">
        <x:v>Seine Tower fire</x:v>
      </x:c>
      <x:c r="G177" s="39" t="n">
        <x:v>43783</x:v>
      </x:c>
      <x:c r="H177" s="21" t="str">
        <x:v>High-rise façade fire; reported floors affected: 1.</x:v>
      </x:c>
      <x:c r="I177" s="21" t="str">
        <x:v>未检索到/待核实</x:v>
      </x:c>
      <x:c r="J177" s="21" t="str">
        <x:v>façade involved; floors affected=1</x:v>
      </x:c>
      <x:c r="K177" s="21" t="str">
        <x:v>https://en.wikipedia.org/wiki/List_of_high-rise_fa%C3%A7ade_fires</x:v>
      </x:c>
      <x:c r="L177" s="27" t="n">
        <x:v>48.85341</x:v>
      </x:c>
      <x:c r="M177" s="27" t="n">
        <x:v>2.3488</x:v>
      </x:c>
      <x:c r="N177" s="21" t="str">
        <x:v>城市代表点（来源明确说明不是火场坐标）</x:v>
      </x:c>
      <x:c r="O177" s="21" t="str">
        <x:v>高层建筑火灾</x:v>
      </x:c>
      <x:c r="P177" s="21" t="str">
        <x:v>未检索到</x:v>
      </x:c>
      <x:c r="Q177" s="21" t="str">
        <x:v>未检索到</x:v>
      </x:c>
      <x:c r="R177" s="21" t="str">
        <x:v>floors affected=1</x:v>
      </x:c>
      <x:c r="S177" s="21" t="str">
        <x:v>未检索到</x:v>
      </x:c>
      <x:c r="T177" s="42" t="n">
        <x:v>0</x:v>
      </x:c>
      <x:c r="U177" s="42" t="n">
        <x:v>2</x:v>
      </x:c>
      <x:c r="V177" s="42"/>
      <x:c r="W177" s="33" t="str">
        <x:v>C</x:v>
      </x:c>
      <x:c r="X177" s="33" t="str">
        <x:v>candidate_list_membership_needs_individual_height_source</x:v>
      </x:c>
      <x:c r="Y177" s="33" t="str">
        <x:v>候选待核实</x:v>
      </x:c>
      <x:c r="Z177" s="21" t="str">
        <x:v>listed in high-rise façade fire table; affected floors are not total building floors；aggregate list is not sufficient for final inclusion; floors affected must not be mistaken for total building floors</x:v>
      </x:c>
      <x:c r="AA177" s="21" t="str">
        <x:v>Wikipedia high-rise façade list; derived from Bonner et al./news (candidate discovery)</x:v>
      </x:c>
      <x:c r="AB177" s="21" t="str">
        <x:v>批量来源代理</x:v>
      </x:c>
      <x:c r="AC177" s="21" t="str"/>
      <x:c r="AD177" s="21" t="n">
        <x:v>1</x:v>
      </x:c>
      <x:c r="AE177" s="21" t="str">
        <x:v>未检查</x:v>
      </x:c>
      <x:c r="AF177" s="21" t="str"/>
      <x:c r="AG177" s="24" t="n">
        <x:v>46260</x:v>
      </x:c>
      <x:c r="AH177" s="21" t="str"/>
      <x:c r="AI177" s="21" t="n">
        <x:v>1</x:v>
      </x:c>
      <x:c r="AJ177" s="21" t="str">
        <x:v>未评估（本事件表不建立热浪因果关系）</x:v>
      </x:c>
      <x:c r="AK177" s="21" t="str">
        <x:v>缺失/待核实</x:v>
      </x:c>
    </x:row>
    <x:row r="178" ht="42" customHeight="1">
      <x:c r="A178" s="33" t="n">
        <x:v>177</x:v>
      </x:c>
      <x:c r="B178" s="33" t="str">
        <x:v>RAW-0177</x:v>
      </x:c>
      <x:c r="C178" s="36" t="str">
        <x:v>欧洲</x:v>
      </x:c>
      <x:c r="D178" s="36" t="str">
        <x:v>United Kingdom</x:v>
      </x:c>
      <x:c r="E178" s="21" t="str">
        <x:v>Bolton</x:v>
      </x:c>
      <x:c r="F178" s="21" t="str">
        <x:v>The Cube Student Housing fire</x:v>
      </x:c>
      <x:c r="G178" s="39" t="n">
        <x:v>43785</x:v>
      </x:c>
      <x:c r="H178" s="21" t="str">
        <x:v>High-rise façade fire; reported floors affected: 1.</x:v>
      </x:c>
      <x:c r="I178" s="21" t="str">
        <x:v>未检索到/待核实</x:v>
      </x:c>
      <x:c r="J178" s="21" t="str">
        <x:v>façade involved; floors affected=1</x:v>
      </x:c>
      <x:c r="K178" s="21" t="str">
        <x:v>https://en.wikipedia.org/wiki/List_of_high-rise_fa%C3%A7ade_fires</x:v>
      </x:c>
      <x:c r="L178" s="27"/>
      <x:c r="M178" s="27"/>
      <x:c r="N178" s="21" t="str">
        <x:v>未提供坐标</x:v>
      </x:c>
      <x:c r="O178" s="21" t="str">
        <x:v>高层建筑火灾</x:v>
      </x:c>
      <x:c r="P178" s="21" t="str">
        <x:v>residential</x:v>
      </x:c>
      <x:c r="Q178" s="21" t="str">
        <x:v>未检索到</x:v>
      </x:c>
      <x:c r="R178" s="21" t="str">
        <x:v>floors affected=1</x:v>
      </x:c>
      <x:c r="S178" s="21" t="str">
        <x:v>未检索到</x:v>
      </x:c>
      <x:c r="T178" s="42" t="n">
        <x:v>0</x:v>
      </x:c>
      <x:c r="U178" s="42" t="n">
        <x:v>2</x:v>
      </x:c>
      <x:c r="V178" s="42"/>
      <x:c r="W178" s="33" t="str">
        <x:v>C</x:v>
      </x:c>
      <x:c r="X178" s="33" t="str">
        <x:v>candidate_list_membership_needs_individual_height_source</x:v>
      </x:c>
      <x:c r="Y178" s="33" t="str">
        <x:v>候选待核实</x:v>
      </x:c>
      <x:c r="Z178" s="21" t="str">
        <x:v>listed in high-rise façade fire table; affected floors are not total building floors；aggregate list is not sufficient for final inclusion; floors affected must not be mistaken for total building floors</x:v>
      </x:c>
      <x:c r="AA178" s="21" t="str">
        <x:v>Wikipedia high-rise façade list; derived from Bonner et al./news (candidate discovery)</x:v>
      </x:c>
      <x:c r="AB178" s="21" t="str">
        <x:v>批量来源代理</x:v>
      </x:c>
      <x:c r="AC178" s="21" t="str"/>
      <x:c r="AD178" s="21" t="n">
        <x:v>1</x:v>
      </x:c>
      <x:c r="AE178" s="21" t="str">
        <x:v>未检查</x:v>
      </x:c>
      <x:c r="AF178" s="21" t="str"/>
      <x:c r="AG178" s="24" t="n">
        <x:v>46260</x:v>
      </x:c>
      <x:c r="AH178" s="21" t="str"/>
      <x:c r="AI178" s="21" t="n">
        <x:v>1</x:v>
      </x:c>
      <x:c r="AJ178" s="21" t="str">
        <x:v>未评估（本事件表不建立热浪因果关系）</x:v>
      </x:c>
      <x:c r="AK178" s="21" t="str">
        <x:v>缺失/待核实</x:v>
      </x:c>
    </x:row>
    <x:row r="179" ht="42" customHeight="1">
      <x:c r="A179" s="33" t="n">
        <x:v>178</x:v>
      </x:c>
      <x:c r="B179" s="33" t="str">
        <x:v>RAW-0178</x:v>
      </x:c>
      <x:c r="C179" s="36" t="str">
        <x:v>欧洲</x:v>
      </x:c>
      <x:c r="D179" s="36" t="str">
        <x:v>Slovakia</x:v>
      </x:c>
      <x:c r="E179" s="21" t="str">
        <x:v>Prešov</x:v>
      </x:c>
      <x:c r="F179" s="21" t="str">
        <x:v>Unnamed Highrise fire</x:v>
      </x:c>
      <x:c r="G179" s="39" t="n">
        <x:v>43805</x:v>
      </x:c>
      <x:c r="H179" s="21" t="str">
        <x:v>Natural gas explosion, 40 injuries</x:v>
      </x:c>
      <x:c r="I179" s="21" t="str">
        <x:v>gas explosion</x:v>
      </x:c>
      <x:c r="J179" s="21" t="str">
        <x:v>Natural gas explosion, 40 injuries</x:v>
      </x:c>
      <x:c r="K179" s="21" t="str">
        <x:v>https://en.wikipedia.org/wiki/List_of_fires_in_high-rise_buildings</x:v>
      </x:c>
      <x:c r="L179" s="27" t="n">
        <x:v>48.99923</x:v>
      </x:c>
      <x:c r="M179" s="27" t="n">
        <x:v>21.2355</x:v>
      </x:c>
      <x:c r="N179" s="21" t="str">
        <x:v>城市代表点（来源明确说明不是火场坐标）</x:v>
      </x:c>
      <x:c r="O179" s="21" t="str">
        <x:v>高层建筑火灾</x:v>
      </x:c>
      <x:c r="P179" s="21" t="str">
        <x:v>未检索到</x:v>
      </x:c>
      <x:c r="Q179" s="21" t="str">
        <x:v>47.9 m</x:v>
      </x:c>
      <x:c r="R179" s="21" t="str">
        <x:v>未检索到</x:v>
      </x:c>
      <x:c r="S179" s="21" t="str">
        <x:v>未检索到</x:v>
      </x:c>
      <x:c r="T179" s="42" t="n">
        <x:v>8</x:v>
      </x:c>
      <x:c r="U179" s="42" t="n">
        <x:v>40</x:v>
      </x:c>
      <x:c r="V179" s="42"/>
      <x:c r="W179" s="33" t="str">
        <x:v>C</x:v>
      </x:c>
      <x:c r="X179" s="33" t="str">
        <x:v>candidate_height_or_list_membership_needs_individual_source</x:v>
      </x:c>
      <x:c r="Y179" s="33" t="str">
        <x:v>候选待核实</x:v>
      </x:c>
      <x:c r="Z179" s="21" t="str">
        <x:v>height=47.9 m; listed in high-rise fire table；aggregate list is not sufficient for final inclusion; verify height/floors and event details with cited event or building source</x:v>
      </x:c>
      <x:c r="AA179" s="21" t="str">
        <x:v>Wikipedia dynamic high-rise list (candidate discovery)</x:v>
      </x:c>
      <x:c r="AB179" s="21" t="str">
        <x:v>批量来源代理</x:v>
      </x:c>
      <x:c r="AC179" s="21" t="str"/>
      <x:c r="AD179" s="21" t="n">
        <x:v>1</x:v>
      </x:c>
      <x:c r="AE179" s="21" t="str">
        <x:v>未检查</x:v>
      </x:c>
      <x:c r="AF179" s="21" t="str"/>
      <x:c r="AG179" s="24" t="n">
        <x:v>46260</x:v>
      </x:c>
      <x:c r="AH179" s="21" t="str"/>
      <x:c r="AI179" s="21" t="n">
        <x:v>1</x:v>
      </x:c>
      <x:c r="AJ179" s="21" t="str">
        <x:v>未评估（本事件表不建立热浪因果关系）</x:v>
      </x:c>
      <x:c r="AK179" s="21" t="str">
        <x:v>已有来源描述</x:v>
      </x:c>
    </x:row>
    <x:row r="180" ht="42" customHeight="1">
      <x:c r="A180" s="33" t="n">
        <x:v>179</x:v>
      </x:c>
      <x:c r="B180" s="33" t="str">
        <x:v>RAW-0179</x:v>
      </x:c>
      <x:c r="C180" s="36" t="str">
        <x:v>亚洲</x:v>
      </x:c>
      <x:c r="D180" s="36" t="str">
        <x:v>United Arab Emirates</x:v>
      </x:c>
      <x:c r="E180" s="21" t="str">
        <x:v>Sharjah</x:v>
      </x:c>
      <x:c r="F180" s="21" t="str">
        <x:v>Abbco Tower fire</x:v>
      </x:c>
      <x:c r="G180" s="39" t="n">
        <x:v>43956</x:v>
      </x:c>
      <x:c r="H180" s="21" t="str">
        <x:v>High-rise façade fire; reported floors affected: 48.</x:v>
      </x:c>
      <x:c r="I180" s="21" t="str">
        <x:v>未检索到/待核实</x:v>
      </x:c>
      <x:c r="J180" s="21" t="str">
        <x:v>façade involved; floors affected=48</x:v>
      </x:c>
      <x:c r="K180" s="21" t="str">
        <x:v>https://en.wikipedia.org/wiki/List_of_high-rise_fa%C3%A7ade_fires</x:v>
      </x:c>
      <x:c r="L180" s="27" t="n">
        <x:v>25.3342</x:v>
      </x:c>
      <x:c r="M180" s="27" t="n">
        <x:v>55.41221</x:v>
      </x:c>
      <x:c r="N180" s="21" t="str">
        <x:v>城市代表点（来源明确说明不是火场坐标）</x:v>
      </x:c>
      <x:c r="O180" s="21" t="str">
        <x:v>高层建筑火灾</x:v>
      </x:c>
      <x:c r="P180" s="21" t="str">
        <x:v>未检索到</x:v>
      </x:c>
      <x:c r="Q180" s="21" t="str">
        <x:v>未检索到</x:v>
      </x:c>
      <x:c r="R180" s="21" t="str">
        <x:v>floors affected=48</x:v>
      </x:c>
      <x:c r="S180" s="21" t="str">
        <x:v>未检索到</x:v>
      </x:c>
      <x:c r="T180" s="42" t="n">
        <x:v>0</x:v>
      </x:c>
      <x:c r="U180" s="42" t="n">
        <x:v>12</x:v>
      </x:c>
      <x:c r="V180" s="42"/>
      <x:c r="W180" s="33" t="str">
        <x:v>C</x:v>
      </x:c>
      <x:c r="X180" s="33" t="str">
        <x:v>candidate_list_membership_needs_individual_height_source</x:v>
      </x:c>
      <x:c r="Y180" s="33" t="str">
        <x:v>候选待核实</x:v>
      </x:c>
      <x:c r="Z180" s="21" t="str">
        <x:v>listed in high-rise façade fire table; affected floors are not total building floors；aggregate list is not sufficient for final inclusion; floors affected must not be mistaken for total building floors</x:v>
      </x:c>
      <x:c r="AA180" s="21" t="str">
        <x:v>Wikipedia high-rise façade list; derived from Bonner et al./news (candidate discovery)</x:v>
      </x:c>
      <x:c r="AB180" s="21" t="str">
        <x:v>批量来源代理</x:v>
      </x:c>
      <x:c r="AC180" s="21" t="str"/>
      <x:c r="AD180" s="21" t="n">
        <x:v>1</x:v>
      </x:c>
      <x:c r="AE180" s="21" t="str">
        <x:v>未检查</x:v>
      </x:c>
      <x:c r="AF180" s="21" t="str"/>
      <x:c r="AG180" s="24" t="n">
        <x:v>46260</x:v>
      </x:c>
      <x:c r="AH180" s="21" t="str"/>
      <x:c r="AI180" s="21" t="n">
        <x:v>1</x:v>
      </x:c>
      <x:c r="AJ180" s="21" t="str">
        <x:v>未评估（本事件表不建立热浪因果关系）</x:v>
      </x:c>
      <x:c r="AK180" s="21" t="str">
        <x:v>缺失/待核实</x:v>
      </x:c>
    </x:row>
    <x:row r="181" ht="42" customHeight="1">
      <x:c r="A181" s="33" t="n">
        <x:v>180</x:v>
      </x:c>
      <x:c r="B181" s="33" t="str">
        <x:v>RAW-0180</x:v>
      </x:c>
      <x:c r="C181" s="36" t="str">
        <x:v>欧洲</x:v>
      </x:c>
      <x:c r="D181" s="36" t="str">
        <x:v>Turkey</x:v>
      </x:c>
      <x:c r="E181" s="21" t="str">
        <x:v>Ankara</x:v>
      </x:c>
      <x:c r="F181" s="21" t="str">
        <x:v>Business Centre fire</x:v>
      </x:c>
      <x:c r="G181" s="39" t="n">
        <x:v>44039</x:v>
      </x:c>
      <x:c r="H181" s="21" t="str">
        <x:v>High-rise façade fire; reported floors affected: 1.</x:v>
      </x:c>
      <x:c r="I181" s="21" t="str">
        <x:v>未检索到/待核实</x:v>
      </x:c>
      <x:c r="J181" s="21" t="str">
        <x:v>façade involved; floors affected=1</x:v>
      </x:c>
      <x:c r="K181" s="21" t="str">
        <x:v>https://en.wikipedia.org/wiki/List_of_high-rise_fa%C3%A7ade_fires</x:v>
      </x:c>
      <x:c r="L181" s="27"/>
      <x:c r="M181" s="27"/>
      <x:c r="N181" s="21" t="str">
        <x:v>未提供坐标</x:v>
      </x:c>
      <x:c r="O181" s="21" t="str">
        <x:v>高层建筑火灾</x:v>
      </x:c>
      <x:c r="P181" s="21" t="str">
        <x:v>未检索到</x:v>
      </x:c>
      <x:c r="Q181" s="21" t="str">
        <x:v>未检索到</x:v>
      </x:c>
      <x:c r="R181" s="21" t="str">
        <x:v>floors affected=1</x:v>
      </x:c>
      <x:c r="S181" s="21" t="str">
        <x:v>未检索到</x:v>
      </x:c>
      <x:c r="T181" s="42" t="n">
        <x:v>0</x:v>
      </x:c>
      <x:c r="U181" s="42" t="n">
        <x:v>0</x:v>
      </x:c>
      <x:c r="V181" s="42"/>
      <x:c r="W181" s="33" t="str">
        <x:v>C</x:v>
      </x:c>
      <x:c r="X181" s="33" t="str">
        <x:v>candidate_list_membership_needs_individual_height_source</x:v>
      </x:c>
      <x:c r="Y181" s="33" t="str">
        <x:v>候选待核实</x:v>
      </x:c>
      <x:c r="Z181" s="21" t="str">
        <x:v>listed in high-rise façade fire table; affected floors are not total building floors；aggregate list is not sufficient for final inclusion; floors affected must not be mistaken for total building floors</x:v>
      </x:c>
      <x:c r="AA181" s="21" t="str">
        <x:v>Wikipedia high-rise façade list; derived from Bonner et al./news (candidate discovery)</x:v>
      </x:c>
      <x:c r="AB181" s="21" t="str">
        <x:v>批量来源代理</x:v>
      </x:c>
      <x:c r="AC181" s="21" t="str"/>
      <x:c r="AD181" s="21" t="n">
        <x:v>1</x:v>
      </x:c>
      <x:c r="AE181" s="21" t="str">
        <x:v>未检查</x:v>
      </x:c>
      <x:c r="AF181" s="21" t="str"/>
      <x:c r="AG181" s="24" t="n">
        <x:v>46260</x:v>
      </x:c>
      <x:c r="AH181" s="21" t="str"/>
      <x:c r="AI181" s="21" t="n">
        <x:v>1</x:v>
      </x:c>
      <x:c r="AJ181" s="21" t="str">
        <x:v>未评估（本事件表不建立热浪因果关系）</x:v>
      </x:c>
      <x:c r="AK181" s="21" t="str">
        <x:v>缺失/待核实</x:v>
      </x:c>
    </x:row>
    <x:row r="182" ht="42" customHeight="1">
      <x:c r="A182" s="33" t="n">
        <x:v>181</x:v>
      </x:c>
      <x:c r="B182" s="33" t="str">
        <x:v>RAW-0181</x:v>
      </x:c>
      <x:c r="C182" s="36" t="str">
        <x:v>欧洲</x:v>
      </x:c>
      <x:c r="D182" s="36" t="str">
        <x:v>Czech Republic</x:v>
      </x:c>
      <x:c r="E182" s="21" t="str">
        <x:v>Czech Republic</x:v>
      </x:c>
      <x:c r="F182" s="21" t="str">
        <x:v>Tower block at 1158 Nerudova street fire</x:v>
      </x:c>
      <x:c r="G182" s="39" t="n">
        <x:v>44051</x:v>
      </x:c>
      <x:c r="H182" s="21" t="str">
        <x:v>Bohumín arson attack</x:v>
      </x:c>
      <x:c r="I182" s="21" t="str">
        <x:v>arson</x:v>
      </x:c>
      <x:c r="J182" s="21" t="str">
        <x:v>Bohumín arson attack</x:v>
      </x:c>
      <x:c r="K182" s="21" t="str">
        <x:v>https://en.wikipedia.org/wiki/List_of_fires_in_high-rise_buildings</x:v>
      </x:c>
      <x:c r="L182" s="27"/>
      <x:c r="M182" s="27"/>
      <x:c r="N182" s="21" t="str">
        <x:v>未提供坐标</x:v>
      </x:c>
      <x:c r="O182" s="21" t="str">
        <x:v>高层建筑火灾</x:v>
      </x:c>
      <x:c r="P182" s="21" t="str">
        <x:v>residential</x:v>
      </x:c>
      <x:c r="Q182" s="21" t="str">
        <x:v>42.9 m</x:v>
      </x:c>
      <x:c r="R182" s="21" t="str">
        <x:v>未检索到</x:v>
      </x:c>
      <x:c r="S182" s="21" t="str">
        <x:v>未检索到</x:v>
      </x:c>
      <x:c r="T182" s="42" t="n">
        <x:v>11</x:v>
      </x:c>
      <x:c r="U182" s="42"/>
      <x:c r="V182" s="42"/>
      <x:c r="W182" s="33" t="str">
        <x:v>C</x:v>
      </x:c>
      <x:c r="X182" s="33" t="str">
        <x:v>candidate_height_or_list_membership_needs_individual_source</x:v>
      </x:c>
      <x:c r="Y182" s="33" t="str">
        <x:v>候选待核实</x:v>
      </x:c>
      <x:c r="Z182" s="21" t="str">
        <x:v>height=42.9 m; listed in high-rise fire table；aggregate list is not sufficient for final inclusion; verify height/floors and event details with cited event or building source</x:v>
      </x:c>
      <x:c r="AA182" s="21" t="str">
        <x:v>Wikipedia dynamic high-rise list (candidate discovery)</x:v>
      </x:c>
      <x:c r="AB182" s="21" t="str">
        <x:v>批量来源代理</x:v>
      </x:c>
      <x:c r="AC182" s="21" t="str"/>
      <x:c r="AD182" s="21" t="n">
        <x:v>1</x:v>
      </x:c>
      <x:c r="AE182" s="21" t="str">
        <x:v>未检查</x:v>
      </x:c>
      <x:c r="AF182" s="21" t="str"/>
      <x:c r="AG182" s="24" t="n">
        <x:v>46260</x:v>
      </x:c>
      <x:c r="AH182" s="21" t="str"/>
      <x:c r="AI182" s="21" t="n">
        <x:v>1</x:v>
      </x:c>
      <x:c r="AJ182" s="21" t="str">
        <x:v>未评估（本事件表不建立热浪因果关系）</x:v>
      </x:c>
      <x:c r="AK182" s="21" t="str">
        <x:v>已有来源描述</x:v>
      </x:c>
    </x:row>
    <x:row r="183" ht="42" customHeight="1">
      <x:c r="A183" s="33" t="n">
        <x:v>182</x:v>
      </x:c>
      <x:c r="B183" s="33" t="str">
        <x:v>RAW-0182</x:v>
      </x:c>
      <x:c r="C183" s="36" t="str">
        <x:v>欧洲</x:v>
      </x:c>
      <x:c r="D183" s="36" t="str">
        <x:v>Spain</x:v>
      </x:c>
      <x:c r="E183" s="21" t="str">
        <x:v>Madrid</x:v>
      </x:c>
      <x:c r="F183" s="21" t="str">
        <x:v>Madrid Tower Block fire</x:v>
      </x:c>
      <x:c r="G183" s="39" t="n">
        <x:v>44072</x:v>
      </x:c>
      <x:c r="H183" s="21" t="str">
        <x:v>High-rise façade fire; reported floors affected: 3.</x:v>
      </x:c>
      <x:c r="I183" s="21" t="str">
        <x:v>未检索到/待核实</x:v>
      </x:c>
      <x:c r="J183" s="21" t="str">
        <x:v>façade involved; floors affected=3</x:v>
      </x:c>
      <x:c r="K183" s="21" t="str">
        <x:v>https://en.wikipedia.org/wiki/List_of_high-rise_fa%C3%A7ade_fires</x:v>
      </x:c>
      <x:c r="L183" s="27" t="n">
        <x:v>40.4165</x:v>
      </x:c>
      <x:c r="M183" s="27" t="n">
        <x:v>-3.70256</x:v>
      </x:c>
      <x:c r="N183" s="21" t="str">
        <x:v>城市代表点（来源明确说明不是火场坐标）</x:v>
      </x:c>
      <x:c r="O183" s="21" t="str">
        <x:v>高层建筑火灾</x:v>
      </x:c>
      <x:c r="P183" s="21" t="str">
        <x:v>residential</x:v>
      </x:c>
      <x:c r="Q183" s="21" t="str">
        <x:v>未检索到</x:v>
      </x:c>
      <x:c r="R183" s="21" t="str">
        <x:v>floors affected=3</x:v>
      </x:c>
      <x:c r="S183" s="21" t="str">
        <x:v>未检索到</x:v>
      </x:c>
      <x:c r="T183" s="42" t="n">
        <x:v>0</x:v>
      </x:c>
      <x:c r="U183" s="42" t="n">
        <x:v>0</x:v>
      </x:c>
      <x:c r="V183" s="42"/>
      <x:c r="W183" s="33" t="str">
        <x:v>C</x:v>
      </x:c>
      <x:c r="X183" s="33" t="str">
        <x:v>candidate_list_membership_needs_individual_height_source</x:v>
      </x:c>
      <x:c r="Y183" s="33" t="str">
        <x:v>候选待核实</x:v>
      </x:c>
      <x:c r="Z183" s="21" t="str">
        <x:v>listed in high-rise façade fire table; affected floors are not total building floors；aggregate list is not sufficient for final inclusion; floors affected must not be mistaken for total building floors</x:v>
      </x:c>
      <x:c r="AA183" s="21" t="str">
        <x:v>Wikipedia high-rise façade list; derived from Bonner et al./news (candidate discovery)</x:v>
      </x:c>
      <x:c r="AB183" s="21" t="str">
        <x:v>批量来源代理</x:v>
      </x:c>
      <x:c r="AC183" s="21" t="str"/>
      <x:c r="AD183" s="21" t="n">
        <x:v>1</x:v>
      </x:c>
      <x:c r="AE183" s="21" t="str">
        <x:v>未检查</x:v>
      </x:c>
      <x:c r="AF183" s="21" t="str"/>
      <x:c r="AG183" s="24" t="n">
        <x:v>46260</x:v>
      </x:c>
      <x:c r="AH183" s="21" t="str"/>
      <x:c r="AI183" s="21" t="n">
        <x:v>1</x:v>
      </x:c>
      <x:c r="AJ183" s="21" t="str">
        <x:v>未评估（本事件表不建立热浪因果关系）</x:v>
      </x:c>
      <x:c r="AK183" s="21" t="str">
        <x:v>缺失/待核实</x:v>
      </x:c>
    </x:row>
    <x:row r="184" ht="42" customHeight="1">
      <x:c r="A184" s="33" t="n">
        <x:v>183</x:v>
      </x:c>
      <x:c r="B184" s="33" t="str">
        <x:v>RAW-0183</x:v>
      </x:c>
      <x:c r="C184" s="36" t="str">
        <x:v>亚洲</x:v>
      </x:c>
      <x:c r="D184" s="36" t="str">
        <x:v>South Korea</x:v>
      </x:c>
      <x:c r="E184" s="21" t="str">
        <x:v>Ulsan</x:v>
      </x:c>
      <x:c r="F184" s="21" t="str">
        <x:v>Apartment Block fire</x:v>
      </x:c>
      <x:c r="G184" s="39" t="n">
        <x:v>44112</x:v>
      </x:c>
      <x:c r="H184" s="21" t="str">
        <x:v>High-rise façade fire; reported floors affected: 33.</x:v>
      </x:c>
      <x:c r="I184" s="21" t="str">
        <x:v>未检索到/待核实</x:v>
      </x:c>
      <x:c r="J184" s="21" t="str">
        <x:v>façade involved; floors affected=33</x:v>
      </x:c>
      <x:c r="K184" s="21" t="str">
        <x:v>https://en.wikipedia.org/wiki/List_of_high-rise_fa%C3%A7ade_fires</x:v>
      </x:c>
      <x:c r="L184" s="27" t="n">
        <x:v>35.53722</x:v>
      </x:c>
      <x:c r="M184" s="27" t="n">
        <x:v>129.31667</x:v>
      </x:c>
      <x:c r="N184" s="21" t="str">
        <x:v>城市代表点（来源明确说明不是火场坐标）</x:v>
      </x:c>
      <x:c r="O184" s="21" t="str">
        <x:v>高层建筑火灾</x:v>
      </x:c>
      <x:c r="P184" s="21" t="str">
        <x:v>residential</x:v>
      </x:c>
      <x:c r="Q184" s="21" t="str">
        <x:v>未检索到</x:v>
      </x:c>
      <x:c r="R184" s="21" t="str">
        <x:v>floors affected=33</x:v>
      </x:c>
      <x:c r="S184" s="21" t="str">
        <x:v>未检索到</x:v>
      </x:c>
      <x:c r="T184" s="42" t="n">
        <x:v>0</x:v>
      </x:c>
      <x:c r="U184" s="42" t="n">
        <x:v>91</x:v>
      </x:c>
      <x:c r="V184" s="42"/>
      <x:c r="W184" s="33" t="str">
        <x:v>C</x:v>
      </x:c>
      <x:c r="X184" s="33" t="str">
        <x:v>candidate_list_membership_needs_individual_height_source</x:v>
      </x:c>
      <x:c r="Y184" s="33" t="str">
        <x:v>候选待核实</x:v>
      </x:c>
      <x:c r="Z184" s="21" t="str">
        <x:v>listed in high-rise façade fire table; affected floors are not total building floors；aggregate list is not sufficient for final inclusion; floors affected must not be mistaken for total building floors</x:v>
      </x:c>
      <x:c r="AA184" s="21" t="str">
        <x:v>Wikipedia high-rise façade list; derived from Bonner et al./news (candidate discovery)</x:v>
      </x:c>
      <x:c r="AB184" s="21" t="str">
        <x:v>批量来源代理</x:v>
      </x:c>
      <x:c r="AC184" s="21" t="str"/>
      <x:c r="AD184" s="21" t="n">
        <x:v>1</x:v>
      </x:c>
      <x:c r="AE184" s="21" t="str">
        <x:v>未检查</x:v>
      </x:c>
      <x:c r="AF184" s="21" t="str"/>
      <x:c r="AG184" s="24" t="n">
        <x:v>46260</x:v>
      </x:c>
      <x:c r="AH184" s="21" t="str"/>
      <x:c r="AI184" s="21" t="n">
        <x:v>1</x:v>
      </x:c>
      <x:c r="AJ184" s="21" t="str">
        <x:v>未评估（本事件表不建立热浪因果关系）</x:v>
      </x:c>
      <x:c r="AK184" s="21" t="str">
        <x:v>缺失/待核实</x:v>
      </x:c>
    </x:row>
    <x:row r="185" ht="42" customHeight="1">
      <x:c r="A185" s="33" t="n">
        <x:v>184</x:v>
      </x:c>
      <x:c r="B185" s="33" t="str">
        <x:v>RAW-0184</x:v>
      </x:c>
      <x:c r="C185" s="36" t="str">
        <x:v>亚洲</x:v>
      </x:c>
      <x:c r="D185" s="36" t="str">
        <x:v>South Korea</x:v>
      </x:c>
      <x:c r="E185" s="21" t="str">
        <x:v>South Korea</x:v>
      </x:c>
      <x:c r="F185" s="21" t="str">
        <x:v>Ulsan Samhwan Art Nouveau apartment building fire</x:v>
      </x:c>
      <x:c r="G185" s="39" t="n">
        <x:v>44113</x:v>
      </x:c>
      <x:c r="H185" s="21" t="str">
        <x:v>92 residents and 1 firefighter injured. Ulsan Samhwan Art Nouveau Fire [ko]</x:v>
      </x:c>
      <x:c r="I185" s="21" t="str">
        <x:v>未检索到/待核实</x:v>
      </x:c>
      <x:c r="J185" s="21" t="str">
        <x:v>92 residents and 1 firefighter injured. Ulsan Samhwan Art Nouveau Fire [ko]</x:v>
      </x:c>
      <x:c r="K185" s="21" t="str">
        <x:v>https://en.wikipedia.org/wiki/List_of_fires_in_high-rise_buildings</x:v>
      </x:c>
      <x:c r="L185" s="27" t="n">
        <x:v>36.5</x:v>
      </x:c>
      <x:c r="M185" s="27" t="n">
        <x:v>127.75</x:v>
      </x:c>
      <x:c r="N185" s="21" t="str">
        <x:v>城市代表点（来源明确说明不是火场坐标）</x:v>
      </x:c>
      <x:c r="O185" s="21" t="str">
        <x:v>高层建筑火灾</x:v>
      </x:c>
      <x:c r="P185" s="21" t="str">
        <x:v>residential</x:v>
      </x:c>
      <x:c r="Q185" s="21" t="str">
        <x:v>108.9 m</x:v>
      </x:c>
      <x:c r="R185" s="21" t="str">
        <x:v>未检索到</x:v>
      </x:c>
      <x:c r="S185" s="21" t="str">
        <x:v>未检索到</x:v>
      </x:c>
      <x:c r="T185" s="42" t="n">
        <x:v>0</x:v>
      </x:c>
      <x:c r="U185" s="42"/>
      <x:c r="V185" s="42"/>
      <x:c r="W185" s="33" t="str">
        <x:v>C</x:v>
      </x:c>
      <x:c r="X185" s="33" t="str">
        <x:v>candidate_height_or_list_membership_needs_individual_source</x:v>
      </x:c>
      <x:c r="Y185" s="33" t="str">
        <x:v>候选待核实</x:v>
      </x:c>
      <x:c r="Z185" s="21" t="str">
        <x:v>height=108.9 m; listed in high-rise fire table；aggregate list is not sufficient for final inclusion; verify height/floors and event details with cited event or building source</x:v>
      </x:c>
      <x:c r="AA185" s="21" t="str">
        <x:v>Wikipedia dynamic high-rise list (candidate discovery)</x:v>
      </x:c>
      <x:c r="AB185" s="21" t="str">
        <x:v>批量来源代理</x:v>
      </x:c>
      <x:c r="AC185" s="21" t="str"/>
      <x:c r="AD185" s="21" t="n">
        <x:v>1</x:v>
      </x:c>
      <x:c r="AE185" s="21" t="str">
        <x:v>未检查</x:v>
      </x:c>
      <x:c r="AF185" s="21" t="str"/>
      <x:c r="AG185" s="24" t="n">
        <x:v>46260</x:v>
      </x:c>
      <x:c r="AH185" s="21" t="str"/>
      <x:c r="AI185" s="21" t="n">
        <x:v>1</x:v>
      </x:c>
      <x:c r="AJ185" s="21" t="str">
        <x:v>未评估（本事件表不建立热浪因果关系）</x:v>
      </x:c>
      <x:c r="AK185" s="21" t="str">
        <x:v>缺失/待核实</x:v>
      </x:c>
    </x:row>
    <x:row r="186" ht="42" customHeight="1">
      <x:c r="A186" s="33" t="n">
        <x:v>185</x:v>
      </x:c>
      <x:c r="B186" s="33" t="str">
        <x:v>RAW-0185</x:v>
      </x:c>
      <x:c r="C186" s="36" t="str">
        <x:v>亚洲</x:v>
      </x:c>
      <x:c r="D186" s="36" t="str">
        <x:v>China</x:v>
      </x:c>
      <x:c r="E186" s="21" t="str">
        <x:v>Shijiazhuang</x:v>
      </x:c>
      <x:c r="F186" s="21" t="str">
        <x:v>Apartment Building[citation needed] fire</x:v>
      </x:c>
      <x:c r="G186" s="39" t="n">
        <x:v>44264</x:v>
      </x:c>
      <x:c r="H186" s="21" t="str">
        <x:v>High-rise façade fire; reported floors affected: 26.</x:v>
      </x:c>
      <x:c r="I186" s="21" t="str">
        <x:v>未检索到/待核实</x:v>
      </x:c>
      <x:c r="J186" s="21" t="str">
        <x:v>façade involved; floors affected=26</x:v>
      </x:c>
      <x:c r="K186" s="21" t="str">
        <x:v>https://en.wikipedia.org/wiki/List_of_high-rise_fa%C3%A7ade_fires</x:v>
      </x:c>
      <x:c r="L186" s="27" t="n">
        <x:v>38.04139</x:v>
      </x:c>
      <x:c r="M186" s="27" t="n">
        <x:v>114.47861</x:v>
      </x:c>
      <x:c r="N186" s="21" t="str">
        <x:v>城市代表点（来源明确说明不是火场坐标）</x:v>
      </x:c>
      <x:c r="O186" s="21" t="str">
        <x:v>高层建筑火灾</x:v>
      </x:c>
      <x:c r="P186" s="21" t="str">
        <x:v>residential</x:v>
      </x:c>
      <x:c r="Q186" s="21" t="str">
        <x:v>未检索到</x:v>
      </x:c>
      <x:c r="R186" s="21" t="str">
        <x:v>floors affected=26</x:v>
      </x:c>
      <x:c r="S186" s="21" t="str">
        <x:v>未检索到</x:v>
      </x:c>
      <x:c r="T186" s="42" t="n">
        <x:v>0</x:v>
      </x:c>
      <x:c r="U186" s="42" t="n">
        <x:v>0</x:v>
      </x:c>
      <x:c r="V186" s="42"/>
      <x:c r="W186" s="33" t="str">
        <x:v>C</x:v>
      </x:c>
      <x:c r="X186" s="33" t="str">
        <x:v>candidate_list_membership_needs_individual_height_source</x:v>
      </x:c>
      <x:c r="Y186" s="33" t="str">
        <x:v>候选待核实</x:v>
      </x:c>
      <x:c r="Z186" s="21" t="str">
        <x:v>listed in high-rise façade fire table; affected floors are not total building floors；aggregate list is not sufficient for final inclusion; floors affected must not be mistaken for total building floors</x:v>
      </x:c>
      <x:c r="AA186" s="21" t="str">
        <x:v>Wikipedia high-rise façade list; derived from Bonner et al./news (candidate discovery)</x:v>
      </x:c>
      <x:c r="AB186" s="21" t="str">
        <x:v>批量来源代理</x:v>
      </x:c>
      <x:c r="AC186" s="21" t="str"/>
      <x:c r="AD186" s="21" t="n">
        <x:v>1</x:v>
      </x:c>
      <x:c r="AE186" s="21" t="str">
        <x:v>未检查</x:v>
      </x:c>
      <x:c r="AF186" s="21" t="str"/>
      <x:c r="AG186" s="24" t="n">
        <x:v>46260</x:v>
      </x:c>
      <x:c r="AH186" s="21" t="str"/>
      <x:c r="AI186" s="21" t="n">
        <x:v>1</x:v>
      </x:c>
      <x:c r="AJ186" s="21" t="str">
        <x:v>未评估（本事件表不建立热浪因果关系）</x:v>
      </x:c>
      <x:c r="AK186" s="21" t="str">
        <x:v>缺失/待核实</x:v>
      </x:c>
    </x:row>
    <x:row r="187" ht="42" customHeight="1">
      <x:c r="A187" s="33" t="n">
        <x:v>186</x:v>
      </x:c>
      <x:c r="B187" s="33" t="str">
        <x:v>RAW-0186</x:v>
      </x:c>
      <x:c r="C187" s="36" t="str">
        <x:v>欧洲</x:v>
      </x:c>
      <x:c r="D187" s="36" t="str">
        <x:v>France</x:v>
      </x:c>
      <x:c r="E187" s="21" t="str">
        <x:v>Paris</x:v>
      </x:c>
      <x:c r="F187" s="21" t="str">
        <x:v>Helsinki Tower, 50 rue du Disque fire</x:v>
      </x:c>
      <x:c r="G187" s="39" t="n">
        <x:v>44421</x:v>
      </x:c>
      <x:c r="H187" s="21" t="str">
        <x:v>18th of 33 flrs, apt possibly linked to Diogenes syndrome (hoarding), spread prevented via compartmentation, contained after 2 hrs, ~70 firefighters, 2 hoses, 1 killed (carbonized body), 4 injured (2 were firefighters with heatstroke).</x:v>
      </x:c>
      <x:c r="I187" s="21" t="str">
        <x:v>未检索到/待核实</x:v>
      </x:c>
      <x:c r="J187" s="21" t="str">
        <x:v>18th of 33 flrs, apt possibly linked to Diogenes syndrome (hoarding), spread prevented via compartmentation, contained after 2 hrs, ~70 firefighters, 2 hoses, 1 killed (carbonized body), 4 injured (2 were firefighters with heatstroke).</x:v>
      </x:c>
      <x:c r="K187" s="21" t="str">
        <x:v>https://en.wikipedia.org/wiki/List_of_fires_in_high-rise_buildings</x:v>
      </x:c>
      <x:c r="L187" s="27" t="n">
        <x:v>48.85341</x:v>
      </x:c>
      <x:c r="M187" s="27" t="n">
        <x:v>2.3488</x:v>
      </x:c>
      <x:c r="N187" s="21" t="str">
        <x:v>城市代表点（来源明确说明不是火场坐标）</x:v>
      </x:c>
      <x:c r="O187" s="21" t="str">
        <x:v>高层建筑火灾</x:v>
      </x:c>
      <x:c r="P187" s="21" t="str">
        <x:v>未检索到</x:v>
      </x:c>
      <x:c r="Q187" s="21" t="str">
        <x:v>100 m</x:v>
      </x:c>
      <x:c r="R187" s="21" t="str">
        <x:v>未检索到</x:v>
      </x:c>
      <x:c r="S187" s="21" t="str">
        <x:v>未检索到</x:v>
      </x:c>
      <x:c r="T187" s="42" t="n">
        <x:v>1</x:v>
      </x:c>
      <x:c r="U187" s="42" t="n">
        <x:v>4</x:v>
      </x:c>
      <x:c r="V187" s="42"/>
      <x:c r="W187" s="33" t="str">
        <x:v>C</x:v>
      </x:c>
      <x:c r="X187" s="33" t="str">
        <x:v>candidate_height_or_list_membership_needs_individual_source</x:v>
      </x:c>
      <x:c r="Y187" s="33" t="str">
        <x:v>候选待核实</x:v>
      </x:c>
      <x:c r="Z187" s="21" t="str">
        <x:v>height=100 m; listed in high-rise fire table；aggregate list is not sufficient for final inclusion; verify height/floors and event details with cited event or building source</x:v>
      </x:c>
      <x:c r="AA187" s="21" t="str">
        <x:v>Wikipedia dynamic high-rise list (candidate discovery)</x:v>
      </x:c>
      <x:c r="AB187" s="21" t="str">
        <x:v>批量来源代理</x:v>
      </x:c>
      <x:c r="AC187" s="21" t="str"/>
      <x:c r="AD187" s="21" t="n">
        <x:v>1</x:v>
      </x:c>
      <x:c r="AE187" s="21" t="str">
        <x:v>未检查</x:v>
      </x:c>
      <x:c r="AF187" s="21" t="str"/>
      <x:c r="AG187" s="24" t="n">
        <x:v>46260</x:v>
      </x:c>
      <x:c r="AH187" s="21" t="str"/>
      <x:c r="AI187" s="21" t="n">
        <x:v>1</x:v>
      </x:c>
      <x:c r="AJ187" s="21" t="str">
        <x:v>未评估（本事件表不建立热浪因果关系）</x:v>
      </x:c>
      <x:c r="AK187" s="21" t="str">
        <x:v>缺失/待核实</x:v>
      </x:c>
    </x:row>
    <x:row r="188" ht="42" customHeight="1">
      <x:c r="A188" s="33" t="n">
        <x:v>187</x:v>
      </x:c>
      <x:c r="B188" s="33" t="str">
        <x:v>RAW-0187</x:v>
      </x:c>
      <x:c r="C188" s="36" t="str">
        <x:v>欧洲</x:v>
      </x:c>
      <x:c r="D188" s="36" t="str">
        <x:v>Italy</x:v>
      </x:c>
      <x:c r="E188" s="21" t="str">
        <x:v>Milan</x:v>
      </x:c>
      <x:c r="F188" s="21" t="str">
        <x:v>Torre dei Moro fire</x:v>
      </x:c>
      <x:c r="G188" s="39" t="n">
        <x:v>44437</x:v>
      </x:c>
      <x:c r="H188" s="21" t="str">
        <x:v>Fire event similar to the Grenfell Tower disaster</x:v>
      </x:c>
      <x:c r="I188" s="21" t="str">
        <x:v>未检索到/待核实</x:v>
      </x:c>
      <x:c r="J188" s="21" t="str">
        <x:v>Fire event similar to the Grenfell Tower disaster</x:v>
      </x:c>
      <x:c r="K188" s="21" t="str">
        <x:v>https://en.wikipedia.org/wiki/List_of_fires_in_high-rise_buildings</x:v>
      </x:c>
      <x:c r="L188" s="27" t="n">
        <x:v>45.46427</x:v>
      </x:c>
      <x:c r="M188" s="27" t="n">
        <x:v>9.18951</x:v>
      </x:c>
      <x:c r="N188" s="21" t="str">
        <x:v>城市代表点（来源明确说明不是火场坐标）</x:v>
      </x:c>
      <x:c r="O188" s="21" t="str">
        <x:v>高层建筑火灾</x:v>
      </x:c>
      <x:c r="P188" s="21" t="str">
        <x:v>未检索到</x:v>
      </x:c>
      <x:c r="Q188" s="21" t="str">
        <x:v>60 m</x:v>
      </x:c>
      <x:c r="R188" s="21" t="str">
        <x:v>未检索到</x:v>
      </x:c>
      <x:c r="S188" s="21" t="str">
        <x:v>未检索到</x:v>
      </x:c>
      <x:c r="T188" s="42" t="n">
        <x:v>0</x:v>
      </x:c>
      <x:c r="U188" s="42"/>
      <x:c r="V188" s="42"/>
      <x:c r="W188" s="33" t="str">
        <x:v>C</x:v>
      </x:c>
      <x:c r="X188" s="33" t="str">
        <x:v>candidate_height_or_list_membership_needs_individual_source</x:v>
      </x:c>
      <x:c r="Y188" s="33" t="str">
        <x:v>候选待核实</x:v>
      </x:c>
      <x:c r="Z188" s="21" t="str">
        <x:v>height=60 m; listed in high-rise fire table；aggregate list is not sufficient for final inclusion; verify height/floors and event details with cited event or building source</x:v>
      </x:c>
      <x:c r="AA188" s="21" t="str">
        <x:v>Wikipedia dynamic high-rise list (candidate discovery)</x:v>
      </x:c>
      <x:c r="AB188" s="21" t="str">
        <x:v>批量来源代理</x:v>
      </x:c>
      <x:c r="AC188" s="21" t="str"/>
      <x:c r="AD188" s="21" t="n">
        <x:v>1</x:v>
      </x:c>
      <x:c r="AE188" s="21" t="str">
        <x:v>未检查</x:v>
      </x:c>
      <x:c r="AF188" s="21" t="str"/>
      <x:c r="AG188" s="24" t="n">
        <x:v>46260</x:v>
      </x:c>
      <x:c r="AH188" s="21" t="str"/>
      <x:c r="AI188" s="21" t="n">
        <x:v>1</x:v>
      </x:c>
      <x:c r="AJ188" s="21" t="str">
        <x:v>未评估（本事件表不建立热浪因果关系）</x:v>
      </x:c>
      <x:c r="AK188" s="21" t="str">
        <x:v>缺失/待核实</x:v>
      </x:c>
    </x:row>
    <x:row r="189" ht="42" customHeight="1">
      <x:c r="A189" s="33" t="n">
        <x:v>188</x:v>
      </x:c>
      <x:c r="B189" s="33" t="str">
        <x:v>RAW-0188</x:v>
      </x:c>
      <x:c r="C189" s="36" t="str">
        <x:v>亚洲</x:v>
      </x:c>
      <x:c r="D189" s="36" t="str">
        <x:v>Taiwan</x:v>
      </x:c>
      <x:c r="E189" s="21" t="str">
        <x:v>Kaohsiung</x:v>
      </x:c>
      <x:c r="F189" s="21" t="str">
        <x:v>Cheng Chung Cheng Building fire</x:v>
      </x:c>
      <x:c r="G189" s="39" t="n">
        <x:v>44483</x:v>
      </x:c>
      <x:c r="H189" s="21" t="str">
        <x:v>2021 Kaohsiung tower fire</x:v>
      </x:c>
      <x:c r="I189" s="21" t="str">
        <x:v>未检索到/待核实</x:v>
      </x:c>
      <x:c r="J189" s="21" t="str">
        <x:v>2021 Kaohsiung tower fire</x:v>
      </x:c>
      <x:c r="K189" s="21" t="str">
        <x:v>https://en.wikipedia.org/wiki/List_of_fires_in_high-rise_buildings</x:v>
      </x:c>
      <x:c r="L189" s="27" t="n">
        <x:v>22.61626</x:v>
      </x:c>
      <x:c r="M189" s="27" t="n">
        <x:v>120.31333</x:v>
      </x:c>
      <x:c r="N189" s="21" t="str">
        <x:v>城市代表点（来源明确说明不是火场坐标）</x:v>
      </x:c>
      <x:c r="O189" s="21" t="str">
        <x:v>高层建筑火灾</x:v>
      </x:c>
      <x:c r="P189" s="21" t="str">
        <x:v>未检索到</x:v>
      </x:c>
      <x:c r="Q189" s="21" t="str">
        <x:v>未检索到</x:v>
      </x:c>
      <x:c r="R189" s="21" t="str">
        <x:v>未检索到</x:v>
      </x:c>
      <x:c r="S189" s="21" t="str">
        <x:v>未检索到</x:v>
      </x:c>
      <x:c r="T189" s="42" t="n">
        <x:v>46</x:v>
      </x:c>
      <x:c r="U189" s="42"/>
      <x:c r="V189" s="42"/>
      <x:c r="W189" s="33" t="str">
        <x:v>C</x:v>
      </x:c>
      <x:c r="X189" s="33" t="str">
        <x:v>candidate_height_or_list_membership_needs_individual_source</x:v>
      </x:c>
      <x:c r="Y189" s="33" t="str">
        <x:v>候选待核实</x:v>
      </x:c>
      <x:c r="Z189" s="21" t="str">
        <x:v>listed in high-rise fire table；aggregate list is not sufficient for final inclusion; verify height/floors and event details with cited event or building source</x:v>
      </x:c>
      <x:c r="AA189" s="21" t="str">
        <x:v>Wikipedia dynamic high-rise list (candidate discovery)</x:v>
      </x:c>
      <x:c r="AB189" s="21" t="str">
        <x:v>批量来源代理</x:v>
      </x:c>
      <x:c r="AC189" s="21" t="str"/>
      <x:c r="AD189" s="21" t="n">
        <x:v>1</x:v>
      </x:c>
      <x:c r="AE189" s="21" t="str">
        <x:v>未检查</x:v>
      </x:c>
      <x:c r="AF189" s="21" t="str"/>
      <x:c r="AG189" s="24" t="n">
        <x:v>46260</x:v>
      </x:c>
      <x:c r="AH189" s="21" t="str"/>
      <x:c r="AI189" s="21" t="n">
        <x:v>1</x:v>
      </x:c>
      <x:c r="AJ189" s="21" t="str">
        <x:v>未评估（本事件表不建立热浪因果关系）</x:v>
      </x:c>
      <x:c r="AK189" s="21" t="str">
        <x:v>缺失/待核实</x:v>
      </x:c>
    </x:row>
    <x:row r="190" ht="42" customHeight="1">
      <x:c r="A190" s="33" t="n">
        <x:v>189</x:v>
      </x:c>
      <x:c r="B190" s="33" t="str">
        <x:v>RAW-0189</x:v>
      </x:c>
      <x:c r="C190" s="36" t="str">
        <x:v>亚洲</x:v>
      </x:c>
      <x:c r="D190" s="36" t="str">
        <x:v>Hong Kong</x:v>
      </x:c>
      <x:c r="E190" s="21" t="str">
        <x:v>Hong Kong</x:v>
      </x:c>
      <x:c r="F190" s="21" t="str">
        <x:v>World Trade Centre Hong Kong fire</x:v>
      </x:c>
      <x:c r="G190" s="39" t="n">
        <x:v>44545</x:v>
      </x:c>
      <x:c r="H190" s="21" t="str">
        <x:v>13 injured, over 300 trapped on roof</x:v>
      </x:c>
      <x:c r="I190" s="21" t="str">
        <x:v>未检索到/待核实</x:v>
      </x:c>
      <x:c r="J190" s="21" t="str">
        <x:v>13 injured, over 300 trapped on roof</x:v>
      </x:c>
      <x:c r="K190" s="21" t="str">
        <x:v>https://en.wikipedia.org/wiki/List_of_fires_in_high-rise_buildings</x:v>
      </x:c>
      <x:c r="L190" s="27" t="n">
        <x:v>22.27832</x:v>
      </x:c>
      <x:c r="M190" s="27" t="n">
        <x:v>114.17469</x:v>
      </x:c>
      <x:c r="N190" s="21" t="str">
        <x:v>城市代表点（来源明确说明不是火场坐标）</x:v>
      </x:c>
      <x:c r="O190" s="21" t="str">
        <x:v>高层建筑火灾</x:v>
      </x:c>
      <x:c r="P190" s="21" t="str">
        <x:v>office/government</x:v>
      </x:c>
      <x:c r="Q190" s="21" t="str">
        <x:v>未检索到</x:v>
      </x:c>
      <x:c r="R190" s="21" t="str">
        <x:v>未检索到</x:v>
      </x:c>
      <x:c r="S190" s="21" t="str">
        <x:v>未检索到</x:v>
      </x:c>
      <x:c r="T190" s="42" t="n">
        <x:v>0</x:v>
      </x:c>
      <x:c r="U190" s="42" t="n">
        <x:v>13</x:v>
      </x:c>
      <x:c r="V190" s="42"/>
      <x:c r="W190" s="33" t="str">
        <x:v>C</x:v>
      </x:c>
      <x:c r="X190" s="33" t="str">
        <x:v>candidate_height_or_list_membership_needs_individual_source</x:v>
      </x:c>
      <x:c r="Y190" s="33" t="str">
        <x:v>候选待核实</x:v>
      </x:c>
      <x:c r="Z190" s="21" t="str">
        <x:v>listed in high-rise fire table；aggregate list is not sufficient for final inclusion; verify height/floors and event details with cited event or building source</x:v>
      </x:c>
      <x:c r="AA190" s="21" t="str">
        <x:v>Wikipedia dynamic high-rise list (candidate discovery)</x:v>
      </x:c>
      <x:c r="AB190" s="21" t="str">
        <x:v>批量来源代理</x:v>
      </x:c>
      <x:c r="AC190" s="21" t="str"/>
      <x:c r="AD190" s="21" t="n">
        <x:v>1</x:v>
      </x:c>
      <x:c r="AE190" s="21" t="str">
        <x:v>未检查</x:v>
      </x:c>
      <x:c r="AF190" s="21" t="str"/>
      <x:c r="AG190" s="24" t="n">
        <x:v>46260</x:v>
      </x:c>
      <x:c r="AH190" s="21" t="str"/>
      <x:c r="AI190" s="21" t="n">
        <x:v>1</x:v>
      </x:c>
      <x:c r="AJ190" s="21" t="str">
        <x:v>未评估（本事件表不建立热浪因果关系）</x:v>
      </x:c>
      <x:c r="AK190" s="21" t="str">
        <x:v>缺失/待核实</x:v>
      </x:c>
    </x:row>
    <x:row r="191" ht="42" customHeight="1">
      <x:c r="A191" s="33" t="n">
        <x:v>190</x:v>
      </x:c>
      <x:c r="B191" s="33" t="str">
        <x:v>RAW-0190</x:v>
      </x:c>
      <x:c r="C191" s="36" t="str">
        <x:v>北美洲</x:v>
      </x:c>
      <x:c r="D191" s="36" t="str">
        <x:v>United States</x:v>
      </x:c>
      <x:c r="E191" s="21" t="str">
        <x:v>New York City</x:v>
      </x:c>
      <x:c r="F191" s="21" t="str">
        <x:v>Twin Parks North West, Site 4 fire</x:v>
      </x:c>
      <x:c r="G191" s="39" t="n">
        <x:v>44570</x:v>
      </x:c>
      <x:c r="H191" s="21" t="str">
        <x:v>2022 Bronx apartment fire</x:v>
      </x:c>
      <x:c r="I191" s="21" t="str">
        <x:v>未检索到/待核实</x:v>
      </x:c>
      <x:c r="J191" s="21" t="str">
        <x:v>2022 Bronx apartment fire</x:v>
      </x:c>
      <x:c r="K191" s="21" t="str">
        <x:v>https://en.wikipedia.org/wiki/List_of_fires_in_high-rise_buildings</x:v>
      </x:c>
      <x:c r="L191" s="27" t="n">
        <x:v>40.71427</x:v>
      </x:c>
      <x:c r="M191" s="27" t="n">
        <x:v>-74.00597</x:v>
      </x:c>
      <x:c r="N191" s="21" t="str">
        <x:v>城市代表点（来源明确说明不是火场坐标）</x:v>
      </x:c>
      <x:c r="O191" s="21" t="str">
        <x:v>高层建筑火灾</x:v>
      </x:c>
      <x:c r="P191" s="21" t="str">
        <x:v>residential</x:v>
      </x:c>
      <x:c r="Q191" s="21" t="str">
        <x:v>未检索到</x:v>
      </x:c>
      <x:c r="R191" s="21" t="str">
        <x:v>未检索到</x:v>
      </x:c>
      <x:c r="S191" s="21" t="str">
        <x:v>未检索到</x:v>
      </x:c>
      <x:c r="T191" s="42" t="n">
        <x:v>17</x:v>
      </x:c>
      <x:c r="U191" s="42"/>
      <x:c r="V191" s="42"/>
      <x:c r="W191" s="33" t="str">
        <x:v>C</x:v>
      </x:c>
      <x:c r="X191" s="33" t="str">
        <x:v>candidate_height_or_list_membership_needs_individual_source</x:v>
      </x:c>
      <x:c r="Y191" s="33" t="str">
        <x:v>候选待核实</x:v>
      </x:c>
      <x:c r="Z191" s="21" t="str">
        <x:v>listed in high-rise fire table；aggregate list is not sufficient for final inclusion; verify height/floors and event details with cited event or building source</x:v>
      </x:c>
      <x:c r="AA191" s="21" t="str">
        <x:v>Wikipedia dynamic high-rise list (candidate discovery)</x:v>
      </x:c>
      <x:c r="AB191" s="21" t="str">
        <x:v>批量来源代理</x:v>
      </x:c>
      <x:c r="AC191" s="21" t="str"/>
      <x:c r="AD191" s="21" t="n">
        <x:v>1</x:v>
      </x:c>
      <x:c r="AE191" s="21" t="str">
        <x:v>未检查</x:v>
      </x:c>
      <x:c r="AF191" s="21" t="str"/>
      <x:c r="AG191" s="24" t="n">
        <x:v>46260</x:v>
      </x:c>
      <x:c r="AH191" s="21" t="str"/>
      <x:c r="AI191" s="21" t="n">
        <x:v>1</x:v>
      </x:c>
      <x:c r="AJ191" s="21" t="str">
        <x:v>未评估（本事件表不建立热浪因果关系）</x:v>
      </x:c>
      <x:c r="AK191" s="21" t="str">
        <x:v>缺失/待核实</x:v>
      </x:c>
    </x:row>
    <x:row r="192" ht="42" customHeight="1">
      <x:c r="A192" s="33" t="n">
        <x:v>191</x:v>
      </x:c>
      <x:c r="B192" s="33" t="str">
        <x:v>RAW-0191</x:v>
      </x:c>
      <x:c r="C192" s="36" t="str">
        <x:v>亚洲</x:v>
      </x:c>
      <x:c r="D192" s="36" t="str">
        <x:v>China</x:v>
      </x:c>
      <x:c r="E192" s="21" t="str">
        <x:v>Changsha, Hunan</x:v>
      </x:c>
      <x:c r="F192" s="21" t="str">
        <x:v>Lotus Garden China Telecom Building fire</x:v>
      </x:c>
      <x:c r="G192" s="39" t="n">
        <x:v>44820</x:v>
      </x:c>
      <x:c r="H192" s="21" t="str">
        <x:v>(fire extinguished. Under investigation.)</x:v>
      </x:c>
      <x:c r="I192" s="21" t="str">
        <x:v>unknown/under investigation</x:v>
      </x:c>
      <x:c r="J192" s="21" t="str">
        <x:v>(fire extinguished. Under investigation.)</x:v>
      </x:c>
      <x:c r="K192" s="21" t="str">
        <x:v>https://en.wikipedia.org/wiki/List_of_fires_in_high-rise_buildings</x:v>
      </x:c>
      <x:c r="L192" s="27" t="n">
        <x:v>28.19874</x:v>
      </x:c>
      <x:c r="M192" s="27" t="n">
        <x:v>112.97087</x:v>
      </x:c>
      <x:c r="N192" s="21" t="str">
        <x:v>城市代表点（来源明确说明不是火场坐标）</x:v>
      </x:c>
      <x:c r="O192" s="21" t="str">
        <x:v>高层建筑火灾</x:v>
      </x:c>
      <x:c r="P192" s="21" t="str">
        <x:v>office/government</x:v>
      </x:c>
      <x:c r="Q192" s="21" t="str">
        <x:v>218 m</x:v>
      </x:c>
      <x:c r="R192" s="21" t="str">
        <x:v>未检索到</x:v>
      </x:c>
      <x:c r="S192" s="21" t="str">
        <x:v>未检索到</x:v>
      </x:c>
      <x:c r="T192" s="42" t="n">
        <x:v>0</x:v>
      </x:c>
      <x:c r="U192" s="42"/>
      <x:c r="V192" s="42"/>
      <x:c r="W192" s="33" t="str">
        <x:v>C</x:v>
      </x:c>
      <x:c r="X192" s="33" t="str">
        <x:v>candidate_height_or_list_membership_needs_individual_source</x:v>
      </x:c>
      <x:c r="Y192" s="33" t="str">
        <x:v>候选待核实</x:v>
      </x:c>
      <x:c r="Z192" s="21" t="str">
        <x:v>height=218 m; listed in high-rise fire table；aggregate list is not sufficient for final inclusion; verify height/floors and event details with cited event or building source</x:v>
      </x:c>
      <x:c r="AA192" s="21" t="str">
        <x:v>Wikipedia dynamic high-rise list (candidate discovery)</x:v>
      </x:c>
      <x:c r="AB192" s="21" t="str">
        <x:v>批量来源代理</x:v>
      </x:c>
      <x:c r="AC192" s="21" t="str"/>
      <x:c r="AD192" s="21" t="n">
        <x:v>1</x:v>
      </x:c>
      <x:c r="AE192" s="21" t="str">
        <x:v>未检查</x:v>
      </x:c>
      <x:c r="AF192" s="21" t="str"/>
      <x:c r="AG192" s="24" t="n">
        <x:v>46260</x:v>
      </x:c>
      <x:c r="AH192" s="21" t="str"/>
      <x:c r="AI192" s="21" t="n">
        <x:v>1</x:v>
      </x:c>
      <x:c r="AJ192" s="21" t="str">
        <x:v>未评估（本事件表不建立热浪因果关系）</x:v>
      </x:c>
      <x:c r="AK192" s="21" t="str">
        <x:v>缺失/待核实</x:v>
      </x:c>
    </x:row>
    <x:row r="193" ht="42" customHeight="1">
      <x:c r="A193" s="33" t="n">
        <x:v>192</x:v>
      </x:c>
      <x:c r="B193" s="33" t="str">
        <x:v>RAW-0192</x:v>
      </x:c>
      <x:c r="C193" s="36" t="str">
        <x:v>亚洲</x:v>
      </x:c>
      <x:c r="D193" s="36" t="str">
        <x:v>Pakistan</x:v>
      </x:c>
      <x:c r="E193" s="21" t="str">
        <x:v>Islamabad</x:v>
      </x:c>
      <x:c r="F193" s="21" t="str">
        <x:v>The Centaurus fire</x:v>
      </x:c>
      <x:c r="G193" s="39" t="n">
        <x:v>44843</x:v>
      </x:c>
      <x:c r="H193" s="21" t="str">
        <x:v>2022 The Centaurus Mall Fire Incident</x:v>
      </x:c>
      <x:c r="I193" s="21" t="str">
        <x:v>未检索到/待核实</x:v>
      </x:c>
      <x:c r="J193" s="21" t="str">
        <x:v>2022 The Centaurus Mall Fire Incident</x:v>
      </x:c>
      <x:c r="K193" s="21" t="str">
        <x:v>https://en.wikipedia.org/wiki/List_of_fires_in_high-rise_buildings</x:v>
      </x:c>
      <x:c r="L193" s="27" t="n">
        <x:v>33.72148</x:v>
      </x:c>
      <x:c r="M193" s="27" t="n">
        <x:v>73.04329</x:v>
      </x:c>
      <x:c r="N193" s="21" t="str">
        <x:v>城市代表点（来源明确说明不是火场坐标）</x:v>
      </x:c>
      <x:c r="O193" s="21" t="str">
        <x:v>高层建筑火灾</x:v>
      </x:c>
      <x:c r="P193" s="21" t="str">
        <x:v>commercial/retail</x:v>
      </x:c>
      <x:c r="Q193" s="21" t="str">
        <x:v>110 m</x:v>
      </x:c>
      <x:c r="R193" s="21" t="str">
        <x:v>未检索到</x:v>
      </x:c>
      <x:c r="S193" s="21" t="str">
        <x:v>未检索到</x:v>
      </x:c>
      <x:c r="T193" s="42" t="n">
        <x:v>0</x:v>
      </x:c>
      <x:c r="U193" s="42"/>
      <x:c r="V193" s="42"/>
      <x:c r="W193" s="33" t="str">
        <x:v>C</x:v>
      </x:c>
      <x:c r="X193" s="33" t="str">
        <x:v>candidate_height_or_list_membership_needs_individual_source</x:v>
      </x:c>
      <x:c r="Y193" s="33" t="str">
        <x:v>候选待核实</x:v>
      </x:c>
      <x:c r="Z193" s="21" t="str">
        <x:v>height=110 m; listed in high-rise fire table；aggregate list is not sufficient for final inclusion; verify height/floors and event details with cited event or building source</x:v>
      </x:c>
      <x:c r="AA193" s="21" t="str">
        <x:v>Wikipedia dynamic high-rise list (candidate discovery)</x:v>
      </x:c>
      <x:c r="AB193" s="21" t="str">
        <x:v>批量来源代理</x:v>
      </x:c>
      <x:c r="AC193" s="21" t="str"/>
      <x:c r="AD193" s="21" t="n">
        <x:v>1</x:v>
      </x:c>
      <x:c r="AE193" s="21" t="str">
        <x:v>未检查</x:v>
      </x:c>
      <x:c r="AF193" s="21" t="str"/>
      <x:c r="AG193" s="24" t="n">
        <x:v>46260</x:v>
      </x:c>
      <x:c r="AH193" s="21" t="str"/>
      <x:c r="AI193" s="21" t="n">
        <x:v>1</x:v>
      </x:c>
      <x:c r="AJ193" s="21" t="str">
        <x:v>未评估（本事件表不建立热浪因果关系）</x:v>
      </x:c>
      <x:c r="AK193" s="21" t="str">
        <x:v>缺失/待核实</x:v>
      </x:c>
    </x:row>
    <x:row r="194" ht="42" customHeight="1">
      <x:c r="A194" s="33" t="n">
        <x:v>193</x:v>
      </x:c>
      <x:c r="B194" s="33" t="str">
        <x:v>RAW-0193</x:v>
      </x:c>
      <x:c r="C194" s="36" t="str">
        <x:v>欧洲</x:v>
      </x:c>
      <x:c r="D194" s="36" t="str">
        <x:v>Turkey</x:v>
      </x:c>
      <x:c r="E194" s="21" t="str">
        <x:v>İstanbul</x:v>
      </x:c>
      <x:c r="F194" s="21" t="str">
        <x:v>Elite Concept fire</x:v>
      </x:c>
      <x:c r="G194" s="39" t="n">
        <x:v>44849</x:v>
      </x:c>
      <x:c r="H194" s="21" t="str">
        <x:v>Originated from external cladding.</x:v>
      </x:c>
      <x:c r="I194" s="21" t="str">
        <x:v>external cladding involvement</x:v>
      </x:c>
      <x:c r="J194" s="21" t="str">
        <x:v>Originated from external cladding.</x:v>
      </x:c>
      <x:c r="K194" s="21" t="str">
        <x:v>https://en.wikipedia.org/wiki/List_of_fires_in_high-rise_buildings</x:v>
      </x:c>
      <x:c r="L194" s="27"/>
      <x:c r="M194" s="27"/>
      <x:c r="N194" s="21" t="str">
        <x:v>未提供坐标</x:v>
      </x:c>
      <x:c r="O194" s="21" t="str">
        <x:v>高层建筑火灾</x:v>
      </x:c>
      <x:c r="P194" s="21" t="str">
        <x:v>未检索到</x:v>
      </x:c>
      <x:c r="Q194" s="21" t="str">
        <x:v>80 m</x:v>
      </x:c>
      <x:c r="R194" s="21" t="str">
        <x:v>未检索到</x:v>
      </x:c>
      <x:c r="S194" s="21" t="str">
        <x:v>未检索到</x:v>
      </x:c>
      <x:c r="T194" s="42" t="n">
        <x:v>0</x:v>
      </x:c>
      <x:c r="U194" s="42"/>
      <x:c r="V194" s="42"/>
      <x:c r="W194" s="33" t="str">
        <x:v>C</x:v>
      </x:c>
      <x:c r="X194" s="33" t="str">
        <x:v>candidate_height_or_list_membership_needs_individual_source</x:v>
      </x:c>
      <x:c r="Y194" s="33" t="str">
        <x:v>候选待核实</x:v>
      </x:c>
      <x:c r="Z194" s="21" t="str">
        <x:v>height=80 m; listed in high-rise fire table；aggregate list is not sufficient for final inclusion; verify height/floors and event details with cited event or building source</x:v>
      </x:c>
      <x:c r="AA194" s="21" t="str">
        <x:v>Wikipedia dynamic high-rise list (candidate discovery)</x:v>
      </x:c>
      <x:c r="AB194" s="21" t="str">
        <x:v>批量来源代理</x:v>
      </x:c>
      <x:c r="AC194" s="21" t="str"/>
      <x:c r="AD194" s="21" t="n">
        <x:v>1</x:v>
      </x:c>
      <x:c r="AE194" s="21" t="str">
        <x:v>未检查</x:v>
      </x:c>
      <x:c r="AF194" s="21" t="str"/>
      <x:c r="AG194" s="24" t="n">
        <x:v>46260</x:v>
      </x:c>
      <x:c r="AH194" s="21" t="str"/>
      <x:c r="AI194" s="21" t="n">
        <x:v>1</x:v>
      </x:c>
      <x:c r="AJ194" s="21" t="str">
        <x:v>未评估（本事件表不建立热浪因果关系）</x:v>
      </x:c>
      <x:c r="AK194" s="21" t="str">
        <x:v>已有来源描述</x:v>
      </x:c>
    </x:row>
    <x:row r="195" ht="42" customHeight="1">
      <x:c r="A195" s="33" t="n">
        <x:v>194</x:v>
      </x:c>
      <x:c r="B195" s="33" t="str">
        <x:v>RAW-0194</x:v>
      </x:c>
      <x:c r="C195" s="36" t="str">
        <x:v>北美洲</x:v>
      </x:c>
      <x:c r="D195" s="36" t="str">
        <x:v>United States</x:v>
      </x:c>
      <x:c r="E195" s="21" t="str">
        <x:v>New York City</x:v>
      </x:c>
      <x:c r="F195" s="21" t="str">
        <x:v>RiverCourt fire</x:v>
      </x:c>
      <x:c r="G195" s="39" t="n">
        <x:v>44870</x:v>
      </x:c>
      <x:c r="H195" s="21" t="str"/>
      <x:c r="I195" s="21" t="str">
        <x:v>未检索到/待核实</x:v>
      </x:c>
      <x:c r="J195" s="21" t="str"/>
      <x:c r="K195" s="21" t="str">
        <x:v>https://en.wikipedia.org/wiki/List_of_fires_in_high-rise_buildings</x:v>
      </x:c>
      <x:c r="L195" s="27" t="n">
        <x:v>40.71427</x:v>
      </x:c>
      <x:c r="M195" s="27" t="n">
        <x:v>-74.00597</x:v>
      </x:c>
      <x:c r="N195" s="21" t="str">
        <x:v>城市代表点（来源明确说明不是火场坐标）</x:v>
      </x:c>
      <x:c r="O195" s="21" t="str">
        <x:v>高层建筑火灾</x:v>
      </x:c>
      <x:c r="P195" s="21" t="str">
        <x:v>未检索到</x:v>
      </x:c>
      <x:c r="Q195" s="21" t="str">
        <x:v>108.1 m</x:v>
      </x:c>
      <x:c r="R195" s="21" t="str">
        <x:v>未检索到</x:v>
      </x:c>
      <x:c r="S195" s="21" t="str">
        <x:v>未检索到</x:v>
      </x:c>
      <x:c r="T195" s="42" t="n">
        <x:v>0</x:v>
      </x:c>
      <x:c r="U195" s="42"/>
      <x:c r="V195" s="42"/>
      <x:c r="W195" s="33" t="str">
        <x:v>C</x:v>
      </x:c>
      <x:c r="X195" s="33" t="str">
        <x:v>candidate_height_or_list_membership_needs_individual_source</x:v>
      </x:c>
      <x:c r="Y195" s="33" t="str">
        <x:v>候选待核实</x:v>
      </x:c>
      <x:c r="Z195" s="21" t="str">
        <x:v>height=108.1 m; listed in high-rise fire table；aggregate list is not sufficient for final inclusion; verify height/floors and event details with cited event or building source</x:v>
      </x:c>
      <x:c r="AA195" s="21" t="str">
        <x:v>Wikipedia dynamic high-rise list (candidate discovery)</x:v>
      </x:c>
      <x:c r="AB195" s="21" t="str">
        <x:v>批量来源代理</x:v>
      </x:c>
      <x:c r="AC195" s="21" t="str"/>
      <x:c r="AD195" s="21" t="n">
        <x:v>1</x:v>
      </x:c>
      <x:c r="AE195" s="21" t="str">
        <x:v>未检查</x:v>
      </x:c>
      <x:c r="AF195" s="21" t="str"/>
      <x:c r="AG195" s="24" t="n">
        <x:v>46260</x:v>
      </x:c>
      <x:c r="AH195" s="21" t="str"/>
      <x:c r="AI195" s="21" t="n">
        <x:v>1</x:v>
      </x:c>
      <x:c r="AJ195" s="21" t="str">
        <x:v>未评估（本事件表不建立热浪因果关系）</x:v>
      </x:c>
      <x:c r="AK195" s="21" t="str">
        <x:v>缺失/待核实</x:v>
      </x:c>
    </x:row>
    <x:row r="196" ht="42" customHeight="1">
      <x:c r="A196" s="33" t="n">
        <x:v>195</x:v>
      </x:c>
      <x:c r="B196" s="33" t="str">
        <x:v>RAW-0195</x:v>
      </x:c>
      <x:c r="C196" s="36" t="str">
        <x:v>亚洲</x:v>
      </x:c>
      <x:c r="D196" s="36" t="str">
        <x:v>United Arab Emirates</x:v>
      </x:c>
      <x:c r="E196" s="21" t="str">
        <x:v>Dubai</x:v>
      </x:c>
      <x:c r="F196" s="21" t="str">
        <x:v>Apartment Building fire</x:v>
      </x:c>
      <x:c r="G196" s="39" t="n">
        <x:v>44872</x:v>
      </x:c>
      <x:c r="H196" s="21" t="str">
        <x:v>High-rise façade fire; reported floors affected: 35.</x:v>
      </x:c>
      <x:c r="I196" s="21" t="str">
        <x:v>未检索到/待核实</x:v>
      </x:c>
      <x:c r="J196" s="21" t="str">
        <x:v>façade involved; floors affected=35</x:v>
      </x:c>
      <x:c r="K196" s="21" t="str">
        <x:v>https://en.wikipedia.org/wiki/List_of_high-rise_fa%C3%A7ade_fires</x:v>
      </x:c>
      <x:c r="L196" s="27" t="n">
        <x:v>25.07725</x:v>
      </x:c>
      <x:c r="M196" s="27" t="n">
        <x:v>55.30927</x:v>
      </x:c>
      <x:c r="N196" s="21" t="str">
        <x:v>城市代表点（来源明确说明不是火场坐标）</x:v>
      </x:c>
      <x:c r="O196" s="21" t="str">
        <x:v>高层建筑火灾</x:v>
      </x:c>
      <x:c r="P196" s="21" t="str">
        <x:v>residential</x:v>
      </x:c>
      <x:c r="Q196" s="21" t="str">
        <x:v>未检索到</x:v>
      </x:c>
      <x:c r="R196" s="21" t="str">
        <x:v>floors affected=35</x:v>
      </x:c>
      <x:c r="S196" s="21" t="str">
        <x:v>未检索到</x:v>
      </x:c>
      <x:c r="T196" s="42" t="n">
        <x:v>0</x:v>
      </x:c>
      <x:c r="U196" s="42" t="n">
        <x:v>0</x:v>
      </x:c>
      <x:c r="V196" s="42"/>
      <x:c r="W196" s="33" t="str">
        <x:v>C</x:v>
      </x:c>
      <x:c r="X196" s="33" t="str">
        <x:v>candidate_list_membership_needs_individual_height_source</x:v>
      </x:c>
      <x:c r="Y196" s="33" t="str">
        <x:v>候选待核实</x:v>
      </x:c>
      <x:c r="Z196" s="21" t="str">
        <x:v>listed in high-rise façade fire table; affected floors are not total building floors；aggregate list is not sufficient for final inclusion; floors affected must not be mistaken for total building floors</x:v>
      </x:c>
      <x:c r="AA196" s="21" t="str">
        <x:v>Wikipedia high-rise façade list; derived from Bonner et al./news (candidate discovery)</x:v>
      </x:c>
      <x:c r="AB196" s="21" t="str">
        <x:v>批量来源代理</x:v>
      </x:c>
      <x:c r="AC196" s="21" t="str"/>
      <x:c r="AD196" s="21" t="n">
        <x:v>1</x:v>
      </x:c>
      <x:c r="AE196" s="21" t="str">
        <x:v>未检查</x:v>
      </x:c>
      <x:c r="AF196" s="21" t="str"/>
      <x:c r="AG196" s="24" t="n">
        <x:v>46260</x:v>
      </x:c>
      <x:c r="AH196" s="21" t="str"/>
      <x:c r="AI196" s="21" t="n">
        <x:v>1</x:v>
      </x:c>
      <x:c r="AJ196" s="21" t="str">
        <x:v>未评估（本事件表不建立热浪因果关系）</x:v>
      </x:c>
      <x:c r="AK196" s="21" t="str">
        <x:v>缺失/待核实</x:v>
      </x:c>
    </x:row>
    <x:row r="197" ht="42" customHeight="1">
      <x:c r="A197" s="33" t="n">
        <x:v>196</x:v>
      </x:c>
      <x:c r="B197" s="33" t="str">
        <x:v>RAW-0196</x:v>
      </x:c>
      <x:c r="C197" s="36" t="str">
        <x:v>亚洲</x:v>
      </x:c>
      <x:c r="D197" s="36" t="str">
        <x:v>United Arab Emirates</x:v>
      </x:c>
      <x:c r="E197" s="21" t="str">
        <x:v>Dubai</x:v>
      </x:c>
      <x:c r="F197" s="21" t="str">
        <x:v>8 Boulevard Walk fire</x:v>
      </x:c>
      <x:c r="G197" s="39" t="n">
        <x:v>44872</x:v>
      </x:c>
      <x:c r="H197" s="21" t="str"/>
      <x:c r="I197" s="21" t="str">
        <x:v>未检索到/待核实</x:v>
      </x:c>
      <x:c r="J197" s="21" t="str"/>
      <x:c r="K197" s="21" t="str">
        <x:v>https://en.wikipedia.org/wiki/List_of_fires_in_high-rise_buildings</x:v>
      </x:c>
      <x:c r="L197" s="27" t="n">
        <x:v>25.07725</x:v>
      </x:c>
      <x:c r="M197" s="27" t="n">
        <x:v>55.30927</x:v>
      </x:c>
      <x:c r="N197" s="21" t="str">
        <x:v>城市代表点（来源明确说明不是火场坐标）</x:v>
      </x:c>
      <x:c r="O197" s="21" t="str">
        <x:v>高层建筑火灾</x:v>
      </x:c>
      <x:c r="P197" s="21" t="str">
        <x:v>未检索到</x:v>
      </x:c>
      <x:c r="Q197" s="21" t="str">
        <x:v>123 m</x:v>
      </x:c>
      <x:c r="R197" s="21" t="str">
        <x:v>未检索到</x:v>
      </x:c>
      <x:c r="S197" s="21" t="str">
        <x:v>未检索到</x:v>
      </x:c>
      <x:c r="T197" s="42" t="n">
        <x:v>0</x:v>
      </x:c>
      <x:c r="U197" s="42"/>
      <x:c r="V197" s="42"/>
      <x:c r="W197" s="33" t="str">
        <x:v>C</x:v>
      </x:c>
      <x:c r="X197" s="33" t="str">
        <x:v>candidate_height_or_list_membership_needs_individual_source</x:v>
      </x:c>
      <x:c r="Y197" s="33" t="str">
        <x:v>候选待核实</x:v>
      </x:c>
      <x:c r="Z197" s="21" t="str">
        <x:v>height=123 m; listed in high-rise fire table；aggregate list is not sufficient for final inclusion; verify height/floors and event details with cited event or building source</x:v>
      </x:c>
      <x:c r="AA197" s="21" t="str">
        <x:v>Wikipedia dynamic high-rise list (candidate discovery)</x:v>
      </x:c>
      <x:c r="AB197" s="21" t="str">
        <x:v>批量来源代理</x:v>
      </x:c>
      <x:c r="AC197" s="21" t="str"/>
      <x:c r="AD197" s="21" t="n">
        <x:v>1</x:v>
      </x:c>
      <x:c r="AE197" s="21" t="str">
        <x:v>未检查</x:v>
      </x:c>
      <x:c r="AF197" s="21" t="str"/>
      <x:c r="AG197" s="24" t="n">
        <x:v>46260</x:v>
      </x:c>
      <x:c r="AH197" s="21" t="str"/>
      <x:c r="AI197" s="21" t="n">
        <x:v>1</x:v>
      </x:c>
      <x:c r="AJ197" s="21" t="str">
        <x:v>未评估（本事件表不建立热浪因果关系）</x:v>
      </x:c>
      <x:c r="AK197" s="21" t="str">
        <x:v>缺失/待核实</x:v>
      </x:c>
    </x:row>
    <x:row r="198" ht="42" customHeight="1">
      <x:c r="A198" s="33" t="n">
        <x:v>197</x:v>
      </x:c>
      <x:c r="B198" s="33" t="str">
        <x:v>RAW-0197</x:v>
      </x:c>
      <x:c r="C198" s="36" t="str">
        <x:v>亚洲</x:v>
      </x:c>
      <x:c r="D198" s="36" t="str">
        <x:v>China</x:v>
      </x:c>
      <x:c r="E198" s="21" t="str">
        <x:v>Ürümqi</x:v>
      </x:c>
      <x:c r="F198" s="21" t="str">
        <x:v>Jixiangyuan community fire</x:v>
      </x:c>
      <x:c r="G198" s="39" t="n">
        <x:v>44891</x:v>
      </x:c>
      <x:c r="H198" s="21" t="str">
        <x:v>2022 Ürümqi fire</x:v>
      </x:c>
      <x:c r="I198" s="21" t="str">
        <x:v>未检索到/待核实</x:v>
      </x:c>
      <x:c r="J198" s="21" t="str">
        <x:v>2022 Ürümqi fire</x:v>
      </x:c>
      <x:c r="K198" s="21" t="str">
        <x:v>https://en.wikipedia.org/wiki/List_of_fires_in_high-rise_buildings</x:v>
      </x:c>
      <x:c r="L198" s="27" t="n">
        <x:v>43.80096</x:v>
      </x:c>
      <x:c r="M198" s="27" t="n">
        <x:v>87.60046</x:v>
      </x:c>
      <x:c r="N198" s="21" t="str">
        <x:v>城市代表点（来源明确说明不是火场坐标）</x:v>
      </x:c>
      <x:c r="O198" s="21" t="str">
        <x:v>高层建筑火灾</x:v>
      </x:c>
      <x:c r="P198" s="21" t="str">
        <x:v>residential</x:v>
      </x:c>
      <x:c r="Q198" s="21" t="str">
        <x:v>21 floors; 60 m</x:v>
      </x:c>
      <x:c r="R198" s="21" t="str">
        <x:v>未检索到</x:v>
      </x:c>
      <x:c r="S198" s="21" t="str">
        <x:v>未检索到</x:v>
      </x:c>
      <x:c r="T198" s="42" t="n">
        <x:v>11</x:v>
      </x:c>
      <x:c r="U198" s="42"/>
      <x:c r="V198" s="42"/>
      <x:c r="W198" s="33" t="str">
        <x:v>C</x:v>
      </x:c>
      <x:c r="X198" s="33" t="str">
        <x:v>candidate_height_or_list_membership_needs_individual_source</x:v>
      </x:c>
      <x:c r="Y198" s="33" t="str">
        <x:v>候选待核实</x:v>
      </x:c>
      <x:c r="Z198" s="21" t="str">
        <x:v>height=60 m; floors=21; listed in high-rise fire table；aggregate list is not sufficient for final inclusion; verify height/floors and event details with cited event or building source</x:v>
      </x:c>
      <x:c r="AA198" s="21" t="str">
        <x:v>Wikipedia dynamic high-rise list (candidate discovery)</x:v>
      </x:c>
      <x:c r="AB198" s="21" t="str">
        <x:v>批量来源代理</x:v>
      </x:c>
      <x:c r="AC198" s="21" t="str"/>
      <x:c r="AD198" s="21" t="n">
        <x:v>1</x:v>
      </x:c>
      <x:c r="AE198" s="21" t="str">
        <x:v>未检查</x:v>
      </x:c>
      <x:c r="AF198" s="21" t="str"/>
      <x:c r="AG198" s="24" t="n">
        <x:v>46260</x:v>
      </x:c>
      <x:c r="AH198" s="21" t="str"/>
      <x:c r="AI198" s="21" t="n">
        <x:v>1</x:v>
      </x:c>
      <x:c r="AJ198" s="21" t="str">
        <x:v>未评估（本事件表不建立热浪因果关系）</x:v>
      </x:c>
      <x:c r="AK198" s="21" t="str">
        <x:v>缺失/待核实</x:v>
      </x:c>
    </x:row>
    <x:row r="199" ht="42" customHeight="1">
      <x:c r="A199" s="33" t="n">
        <x:v>198</x:v>
      </x:c>
      <x:c r="B199" s="33" t="str">
        <x:v>RAW-0198</x:v>
      </x:c>
      <x:c r="C199" s="36" t="str">
        <x:v>亚洲</x:v>
      </x:c>
      <x:c r="D199" s="36" t="str">
        <x:v>China</x:v>
      </x:c>
      <x:c r="E199" s="21" t="str">
        <x:v>Hong Kong</x:v>
      </x:c>
      <x:c r="F199" s="21" t="str">
        <x:v>The 2nd green mesh fire at the Kimpton Hotel, formerly the Mariner's Club (Tsim Sha Tsui)</x:v>
      </x:c>
      <x:c r="G199" s="39" t="n">
        <x:v>44987</x:v>
      </x:c>
      <x:c r="H199" s="21" t="str">
        <x:v>High-rise façade fire; reported floors affected: 48.</x:v>
      </x:c>
      <x:c r="I199" s="21" t="str">
        <x:v>未检索到/待核实</x:v>
      </x:c>
      <x:c r="J199" s="21" t="str">
        <x:v>façade involved; floors affected=48</x:v>
      </x:c>
      <x:c r="K199" s="21" t="str">
        <x:v>https://en.wikipedia.org/wiki/List_of_high-rise_fa%C3%A7ade_fires</x:v>
      </x:c>
      <x:c r="L199" s="27"/>
      <x:c r="M199" s="27"/>
      <x:c r="N199" s="21" t="str">
        <x:v>未提供坐标</x:v>
      </x:c>
      <x:c r="O199" s="21" t="str">
        <x:v>高层建筑火灾</x:v>
      </x:c>
      <x:c r="P199" s="21" t="str">
        <x:v>hotel</x:v>
      </x:c>
      <x:c r="Q199" s="21" t="str">
        <x:v>未检索到</x:v>
      </x:c>
      <x:c r="R199" s="21" t="str">
        <x:v>floors affected=48</x:v>
      </x:c>
      <x:c r="S199" s="21" t="str">
        <x:v>未检索到</x:v>
      </x:c>
      <x:c r="T199" s="42" t="n">
        <x:v>0</x:v>
      </x:c>
      <x:c r="U199" s="42" t="n">
        <x:v>2</x:v>
      </x:c>
      <x:c r="V199" s="42"/>
      <x:c r="W199" s="33" t="str">
        <x:v>C</x:v>
      </x:c>
      <x:c r="X199" s="33" t="str">
        <x:v>candidate_list_membership_needs_individual_height_source</x:v>
      </x:c>
      <x:c r="Y199" s="33" t="str">
        <x:v>候选待核实</x:v>
      </x:c>
      <x:c r="Z199" s="21" t="str">
        <x:v>listed in high-rise façade fire table; affected floors are not total building floors；aggregate list is not sufficient for final inclusion; floors affected must not be mistaken for total building floors</x:v>
      </x:c>
      <x:c r="AA199" s="21" t="str">
        <x:v>Wikipedia high-rise façade list; derived from Bonner et al./news (candidate discovery)</x:v>
      </x:c>
      <x:c r="AB199" s="21" t="str">
        <x:v>批量来源代理</x:v>
      </x:c>
      <x:c r="AC199" s="21" t="str"/>
      <x:c r="AD199" s="21" t="n">
        <x:v>1</x:v>
      </x:c>
      <x:c r="AE199" s="21" t="str">
        <x:v>未检查</x:v>
      </x:c>
      <x:c r="AF199" s="21" t="str"/>
      <x:c r="AG199" s="24" t="n">
        <x:v>46260</x:v>
      </x:c>
      <x:c r="AH199" s="21" t="str"/>
      <x:c r="AI199" s="21" t="n">
        <x:v>1</x:v>
      </x:c>
      <x:c r="AJ199" s="21" t="str">
        <x:v>未评估（本事件表不建立热浪因果关系）</x:v>
      </x:c>
      <x:c r="AK199" s="21" t="str">
        <x:v>缺失/待核实</x:v>
      </x:c>
    </x:row>
    <x:row r="200" ht="42" customHeight="1">
      <x:c r="A200" s="33" t="n">
        <x:v>199</x:v>
      </x:c>
      <x:c r="B200" s="33" t="str">
        <x:v>RAW-0199</x:v>
      </x:c>
      <x:c r="C200" s="36" t="str">
        <x:v>亚洲</x:v>
      </x:c>
      <x:c r="D200" s="36" t="str">
        <x:v>Hong Kong</x:v>
      </x:c>
      <x:c r="E200" s="21" t="str">
        <x:v>Hong Kong</x:v>
      </x:c>
      <x:c r="F200" s="21" t="str">
        <x:v>The Kimpton fire</x:v>
      </x:c>
      <x:c r="G200" s="39" t="n">
        <x:v>44987</x:v>
      </x:c>
      <x:c r="H200" s="21" t="str">
        <x:v>Occurred during construction</x:v>
      </x:c>
      <x:c r="I200" s="21" t="str">
        <x:v>未检索到/待核实</x:v>
      </x:c>
      <x:c r="J200" s="21" t="str">
        <x:v>Occurred during construction</x:v>
      </x:c>
      <x:c r="K200" s="21" t="str">
        <x:v>https://en.wikipedia.org/wiki/List_of_fires_in_high-rise_buildings</x:v>
      </x:c>
      <x:c r="L200" s="27" t="n">
        <x:v>22.27832</x:v>
      </x:c>
      <x:c r="M200" s="27" t="n">
        <x:v>114.17469</x:v>
      </x:c>
      <x:c r="N200" s="21" t="str">
        <x:v>城市代表点（来源明确说明不是火场坐标）</x:v>
      </x:c>
      <x:c r="O200" s="21" t="str">
        <x:v>高层建筑火灾</x:v>
      </x:c>
      <x:c r="P200" s="21" t="str">
        <x:v>未检索到</x:v>
      </x:c>
      <x:c r="Q200" s="21" t="str">
        <x:v>175 m</x:v>
      </x:c>
      <x:c r="R200" s="21" t="str">
        <x:v>未检索到</x:v>
      </x:c>
      <x:c r="S200" s="21" t="str">
        <x:v>未检索到</x:v>
      </x:c>
      <x:c r="T200" s="42" t="n">
        <x:v>0</x:v>
      </x:c>
      <x:c r="U200" s="42"/>
      <x:c r="V200" s="42"/>
      <x:c r="W200" s="33" t="str">
        <x:v>C</x:v>
      </x:c>
      <x:c r="X200" s="33" t="str">
        <x:v>candidate_height_or_list_membership_needs_individual_source</x:v>
      </x:c>
      <x:c r="Y200" s="33" t="str">
        <x:v>候选待核实</x:v>
      </x:c>
      <x:c r="Z200" s="21" t="str">
        <x:v>height=175 m; listed in high-rise fire table；aggregate list is not sufficient for final inclusion; verify height/floors and event details with cited event or building source</x:v>
      </x:c>
      <x:c r="AA200" s="21" t="str">
        <x:v>Wikipedia dynamic high-rise list (candidate discovery)</x:v>
      </x:c>
      <x:c r="AB200" s="21" t="str">
        <x:v>批量来源代理</x:v>
      </x:c>
      <x:c r="AC200" s="21" t="str"/>
      <x:c r="AD200" s="21" t="n">
        <x:v>1</x:v>
      </x:c>
      <x:c r="AE200" s="21" t="str">
        <x:v>未检查</x:v>
      </x:c>
      <x:c r="AF200" s="21" t="str"/>
      <x:c r="AG200" s="24" t="n">
        <x:v>46260</x:v>
      </x:c>
      <x:c r="AH200" s="21" t="str"/>
      <x:c r="AI200" s="21" t="n">
        <x:v>1</x:v>
      </x:c>
      <x:c r="AJ200" s="21" t="str">
        <x:v>未评估（本事件表不建立热浪因果关系）</x:v>
      </x:c>
      <x:c r="AK200" s="21" t="str">
        <x:v>缺失/待核实</x:v>
      </x:c>
    </x:row>
    <x:row r="201" ht="42" customHeight="1">
      <x:c r="A201" s="33" t="n">
        <x:v>200</x:v>
      </x:c>
      <x:c r="B201" s="33" t="str">
        <x:v>RAW-0200</x:v>
      </x:c>
      <x:c r="C201" s="36" t="str">
        <x:v>亚洲</x:v>
      </x:c>
      <x:c r="D201" s="36" t="str">
        <x:v>Vietnam</x:v>
      </x:c>
      <x:c r="E201" s="21" t="str">
        <x:v>Hanoi</x:v>
      </x:c>
      <x:c r="F201" s="21" t="str">
        <x:v>Unnamed Apartment Block fire</x:v>
      </x:c>
      <x:c r="G201" s="39" t="n">
        <x:v>45181</x:v>
      </x:c>
      <x:c r="H201" s="21" t="str">
        <x:v>2023 Hanoi building fire</x:v>
      </x:c>
      <x:c r="I201" s="21" t="str">
        <x:v>未检索到/待核实</x:v>
      </x:c>
      <x:c r="J201" s="21" t="str">
        <x:v>2023 Hanoi building fire</x:v>
      </x:c>
      <x:c r="K201" s="21" t="str">
        <x:v>https://en.wikipedia.org/wiki/List_of_fires_in_high-rise_buildings</x:v>
      </x:c>
      <x:c r="L201" s="27" t="n">
        <x:v>21.0245</x:v>
      </x:c>
      <x:c r="M201" s="27" t="n">
        <x:v>105.84117</x:v>
      </x:c>
      <x:c r="N201" s="21" t="str">
        <x:v>城市代表点（来源明确说明不是火场坐标）</x:v>
      </x:c>
      <x:c r="O201" s="21" t="str">
        <x:v>高层建筑火灾</x:v>
      </x:c>
      <x:c r="P201" s="21" t="str">
        <x:v>residential</x:v>
      </x:c>
      <x:c r="Q201" s="21" t="str">
        <x:v>未检索到</x:v>
      </x:c>
      <x:c r="R201" s="21" t="str">
        <x:v>未检索到</x:v>
      </x:c>
      <x:c r="S201" s="21" t="str">
        <x:v>未检索到</x:v>
      </x:c>
      <x:c r="T201" s="42" t="n">
        <x:v>56</x:v>
      </x:c>
      <x:c r="U201" s="42"/>
      <x:c r="V201" s="42"/>
      <x:c r="W201" s="33" t="str">
        <x:v>C</x:v>
      </x:c>
      <x:c r="X201" s="33" t="str">
        <x:v>candidate_height_or_list_membership_needs_individual_source</x:v>
      </x:c>
      <x:c r="Y201" s="33" t="str">
        <x:v>候选待核实</x:v>
      </x:c>
      <x:c r="Z201" s="21" t="str">
        <x:v>listed in high-rise fire table；aggregate list is not sufficient for final inclusion; verify height/floors and event details with cited event or building source</x:v>
      </x:c>
      <x:c r="AA201" s="21" t="str">
        <x:v>Wikipedia dynamic high-rise list (candidate discovery)</x:v>
      </x:c>
      <x:c r="AB201" s="21" t="str">
        <x:v>批量来源代理</x:v>
      </x:c>
      <x:c r="AC201" s="21" t="str"/>
      <x:c r="AD201" s="21" t="n">
        <x:v>1</x:v>
      </x:c>
      <x:c r="AE201" s="21" t="str">
        <x:v>未检查</x:v>
      </x:c>
      <x:c r="AF201" s="21" t="str"/>
      <x:c r="AG201" s="24" t="n">
        <x:v>46260</x:v>
      </x:c>
      <x:c r="AH201" s="21" t="str"/>
      <x:c r="AI201" s="21" t="n">
        <x:v>1</x:v>
      </x:c>
      <x:c r="AJ201" s="21" t="str">
        <x:v>未评估（本事件表不建立热浪因果关系）</x:v>
      </x:c>
      <x:c r="AK201" s="21" t="str">
        <x:v>缺失/待核实</x:v>
      </x:c>
    </x:row>
    <x:row r="202" ht="42" customHeight="1">
      <x:c r="A202" s="33" t="n">
        <x:v>201</x:v>
      </x:c>
      <x:c r="B202" s="33" t="str">
        <x:v>RAW-0201</x:v>
      </x:c>
      <x:c r="C202" s="36" t="str">
        <x:v>非洲</x:v>
      </x:c>
      <x:c r="D202" s="36" t="str">
        <x:v>Sudan</x:v>
      </x:c>
      <x:c r="E202" s="21" t="str">
        <x:v>Khartoum</x:v>
      </x:c>
      <x:c r="F202" s="21" t="str">
        <x:v>Greater Nile Petroleum Oil Company Tower fire</x:v>
      </x:c>
      <x:c r="G202" s="39" t="n">
        <x:v>45186</x:v>
      </x:c>
      <x:c r="H202" s="21" t="str">
        <x:v>Occurred during War in Sudan (2023)</x:v>
      </x:c>
      <x:c r="I202" s="21" t="str">
        <x:v>未检索到/待核实</x:v>
      </x:c>
      <x:c r="J202" s="21" t="str">
        <x:v>Occurred during War in Sudan (2023)</x:v>
      </x:c>
      <x:c r="K202" s="21" t="str">
        <x:v>https://en.wikipedia.org/wiki/List_of_fires_in_high-rise_buildings</x:v>
      </x:c>
      <x:c r="L202" s="27" t="n">
        <x:v>15.55177</x:v>
      </x:c>
      <x:c r="M202" s="27" t="n">
        <x:v>32.53241</x:v>
      </x:c>
      <x:c r="N202" s="21" t="str">
        <x:v>城市代表点（来源明确说明不是火场坐标）</x:v>
      </x:c>
      <x:c r="O202" s="21" t="str">
        <x:v>高层建筑火灾</x:v>
      </x:c>
      <x:c r="P202" s="21" t="str">
        <x:v>未检索到</x:v>
      </x:c>
      <x:c r="Q202" s="21" t="str">
        <x:v>65.72 m</x:v>
      </x:c>
      <x:c r="R202" s="21" t="str">
        <x:v>未检索到</x:v>
      </x:c>
      <x:c r="S202" s="21" t="str">
        <x:v>未检索到</x:v>
      </x:c>
      <x:c r="T202" s="42"/>
      <x:c r="U202" s="42"/>
      <x:c r="V202" s="42"/>
      <x:c r="W202" s="33" t="str">
        <x:v>C</x:v>
      </x:c>
      <x:c r="X202" s="33" t="str">
        <x:v>candidate_height_or_list_membership_needs_individual_source</x:v>
      </x:c>
      <x:c r="Y202" s="33" t="str">
        <x:v>候选待核实</x:v>
      </x:c>
      <x:c r="Z202" s="21" t="str">
        <x:v>height=65.72 m; listed in high-rise fire table；aggregate list is not sufficient for final inclusion; verify height/floors and event details with cited event or building source</x:v>
      </x:c>
      <x:c r="AA202" s="21" t="str">
        <x:v>Wikipedia dynamic high-rise list (candidate discovery)</x:v>
      </x:c>
      <x:c r="AB202" s="21" t="str">
        <x:v>批量来源代理</x:v>
      </x:c>
      <x:c r="AC202" s="21" t="str"/>
      <x:c r="AD202" s="21" t="n">
        <x:v>1</x:v>
      </x:c>
      <x:c r="AE202" s="21" t="str">
        <x:v>未检查</x:v>
      </x:c>
      <x:c r="AF202" s="21" t="str"/>
      <x:c r="AG202" s="24" t="n">
        <x:v>46260</x:v>
      </x:c>
      <x:c r="AH202" s="21" t="str"/>
      <x:c r="AI202" s="21" t="n">
        <x:v>1</x:v>
      </x:c>
      <x:c r="AJ202" s="21" t="str">
        <x:v>未评估（本事件表不建立热浪因果关系）</x:v>
      </x:c>
      <x:c r="AK202" s="21" t="str">
        <x:v>缺失/待核实</x:v>
      </x:c>
    </x:row>
    <x:row r="203" ht="42" customHeight="1">
      <x:c r="A203" s="33" t="n">
        <x:v>202</x:v>
      </x:c>
      <x:c r="B203" s="33" t="str">
        <x:v>RAW-0202</x:v>
      </x:c>
      <x:c r="C203" s="36" t="str">
        <x:v>亚洲</x:v>
      </x:c>
      <x:c r="D203" s="36" t="str">
        <x:v>China</x:v>
      </x:c>
      <x:c r="E203" s="21" t="str">
        <x:v>Hong Kong</x:v>
      </x:c>
      <x:c r="F203" s="21" t="str">
        <x:v>The Kimpton Hotel, formerly the Mariner's Club (Tsim Sha Tsui) fire</x:v>
      </x:c>
      <x:c r="G203" s="39" t="n">
        <x:v>45190</x:v>
      </x:c>
      <x:c r="H203" s="21" t="str">
        <x:v>High-rise façade fire; reported floors affected: 48.</x:v>
      </x:c>
      <x:c r="I203" s="21" t="str">
        <x:v>未检索到/待核实</x:v>
      </x:c>
      <x:c r="J203" s="21" t="str">
        <x:v>façade involved; floors affected=48</x:v>
      </x:c>
      <x:c r="K203" s="21" t="str">
        <x:v>https://en.wikipedia.org/wiki/List_of_high-rise_fa%C3%A7ade_fires</x:v>
      </x:c>
      <x:c r="L203" s="27"/>
      <x:c r="M203" s="27"/>
      <x:c r="N203" s="21" t="str">
        <x:v>未提供坐标</x:v>
      </x:c>
      <x:c r="O203" s="21" t="str">
        <x:v>高层建筑火灾</x:v>
      </x:c>
      <x:c r="P203" s="21" t="str">
        <x:v>hotel</x:v>
      </x:c>
      <x:c r="Q203" s="21" t="str">
        <x:v>未检索到</x:v>
      </x:c>
      <x:c r="R203" s="21" t="str">
        <x:v>floors affected=48</x:v>
      </x:c>
      <x:c r="S203" s="21" t="str">
        <x:v>未检索到</x:v>
      </x:c>
      <x:c r="T203" s="42" t="n">
        <x:v>0</x:v>
      </x:c>
      <x:c r="U203" s="42" t="n">
        <x:v>0</x:v>
      </x:c>
      <x:c r="V203" s="42"/>
      <x:c r="W203" s="33" t="str">
        <x:v>C</x:v>
      </x:c>
      <x:c r="X203" s="33" t="str">
        <x:v>candidate_list_membership_needs_individual_height_source</x:v>
      </x:c>
      <x:c r="Y203" s="33" t="str">
        <x:v>候选待核实</x:v>
      </x:c>
      <x:c r="Z203" s="21" t="str">
        <x:v>listed in high-rise façade fire table; affected floors are not total building floors；aggregate list is not sufficient for final inclusion; floors affected must not be mistaken for total building floors</x:v>
      </x:c>
      <x:c r="AA203" s="21" t="str">
        <x:v>Wikipedia high-rise façade list; derived from Bonner et al./news (candidate discovery)</x:v>
      </x:c>
      <x:c r="AB203" s="21" t="str">
        <x:v>批量来源代理</x:v>
      </x:c>
      <x:c r="AC203" s="21" t="str"/>
      <x:c r="AD203" s="21" t="n">
        <x:v>1</x:v>
      </x:c>
      <x:c r="AE203" s="21" t="str">
        <x:v>未检查</x:v>
      </x:c>
      <x:c r="AF203" s="21" t="str"/>
      <x:c r="AG203" s="24" t="n">
        <x:v>46260</x:v>
      </x:c>
      <x:c r="AH203" s="21" t="str"/>
      <x:c r="AI203" s="21" t="n">
        <x:v>1</x:v>
      </x:c>
      <x:c r="AJ203" s="21" t="str">
        <x:v>未评估（本事件表不建立热浪因果关系）</x:v>
      </x:c>
      <x:c r="AK203" s="21" t="str">
        <x:v>缺失/待核实</x:v>
      </x:c>
    </x:row>
    <x:row r="204" ht="42" customHeight="1">
      <x:c r="A204" s="33" t="n">
        <x:v>203</x:v>
      </x:c>
      <x:c r="B204" s="33" t="str">
        <x:v>RAW-0203</x:v>
      </x:c>
      <x:c r="C204" s="36" t="str">
        <x:v>欧洲</x:v>
      </x:c>
      <x:c r="D204" s="36" t="str">
        <x:v>Spain</x:v>
      </x:c>
      <x:c r="E204" s="21" t="str">
        <x:v>València</x:v>
      </x:c>
      <x:c r="F204" s="21" t="str">
        <x:v>2024 València residential complex fire</x:v>
      </x:c>
      <x:c r="G204" s="39" t="n">
        <x:v>45344</x:v>
      </x:c>
      <x:c r="H204" s="21" t="str">
        <x:v>High-rise façade fire; reported floors affected: 14.</x:v>
      </x:c>
      <x:c r="I204" s="21" t="str">
        <x:v>未检索到/待核实</x:v>
      </x:c>
      <x:c r="J204" s="21" t="str">
        <x:v>façade involved; floors affected=14</x:v>
      </x:c>
      <x:c r="K204" s="21" t="str">
        <x:v>https://en.wikipedia.org/wiki/List_of_high-rise_fa%C3%A7ade_fires</x:v>
      </x:c>
      <x:c r="L204" s="27" t="n">
        <x:v>39.47391</x:v>
      </x:c>
      <x:c r="M204" s="27" t="n">
        <x:v>-0.37966</x:v>
      </x:c>
      <x:c r="N204" s="21" t="str">
        <x:v>城市代表点（来源明确说明不是火场坐标）</x:v>
      </x:c>
      <x:c r="O204" s="21" t="str">
        <x:v>高层建筑火灾</x:v>
      </x:c>
      <x:c r="P204" s="21" t="str">
        <x:v>residential</x:v>
      </x:c>
      <x:c r="Q204" s="21" t="str">
        <x:v>未检索到</x:v>
      </x:c>
      <x:c r="R204" s="21" t="str">
        <x:v>floors affected=14</x:v>
      </x:c>
      <x:c r="S204" s="21" t="str">
        <x:v>未检索到</x:v>
      </x:c>
      <x:c r="T204" s="42" t="n">
        <x:v>10</x:v>
      </x:c>
      <x:c r="U204" s="42" t="n">
        <x:v>15</x:v>
      </x:c>
      <x:c r="V204" s="42"/>
      <x:c r="W204" s="33" t="str">
        <x:v>C</x:v>
      </x:c>
      <x:c r="X204" s="33" t="str">
        <x:v>candidate_list_membership_needs_individual_height_source</x:v>
      </x:c>
      <x:c r="Y204" s="33" t="str">
        <x:v>候选待核实</x:v>
      </x:c>
      <x:c r="Z204" s="21" t="str">
        <x:v>listed in high-rise façade fire table; affected floors are not total building floors；aggregate list is not sufficient for final inclusion; floors affected must not be mistaken for total building floors</x:v>
      </x:c>
      <x:c r="AA204" s="21" t="str">
        <x:v>Wikipedia high-rise façade list; derived from Bonner et al./news (candidate discovery)</x:v>
      </x:c>
      <x:c r="AB204" s="21" t="str">
        <x:v>批量来源代理</x:v>
      </x:c>
      <x:c r="AC204" s="21" t="str"/>
      <x:c r="AD204" s="21" t="n">
        <x:v>1</x:v>
      </x:c>
      <x:c r="AE204" s="21" t="str">
        <x:v>未检查</x:v>
      </x:c>
      <x:c r="AF204" s="21" t="str"/>
      <x:c r="AG204" s="24" t="n">
        <x:v>46260</x:v>
      </x:c>
      <x:c r="AH204" s="21" t="str"/>
      <x:c r="AI204" s="21" t="n">
        <x:v>1</x:v>
      </x:c>
      <x:c r="AJ204" s="21" t="str">
        <x:v>未评估（本事件表不建立热浪因果关系）</x:v>
      </x:c>
      <x:c r="AK204" s="21" t="str">
        <x:v>缺失/待核实</x:v>
      </x:c>
    </x:row>
    <x:row r="205" ht="42" customHeight="1">
      <x:c r="A205" s="33" t="n">
        <x:v>204</x:v>
      </x:c>
      <x:c r="B205" s="33" t="str">
        <x:v>RAW-0204</x:v>
      </x:c>
      <x:c r="C205" s="36" t="str">
        <x:v>欧洲</x:v>
      </x:c>
      <x:c r="D205" s="36" t="str">
        <x:v>Spain</x:v>
      </x:c>
      <x:c r="E205" s="21" t="str">
        <x:v>València</x:v>
      </x:c>
      <x:c r="F205" s="21" t="str">
        <x:v>Unnamed Highrise fire</x:v>
      </x:c>
      <x:c r="G205" s="39" t="n">
        <x:v>45344</x:v>
      </x:c>
      <x:c r="H205" s="21" t="str">
        <x:v>2024 València residential complex fire</x:v>
      </x:c>
      <x:c r="I205" s="21" t="str">
        <x:v>未检索到/待核实</x:v>
      </x:c>
      <x:c r="J205" s="21" t="str">
        <x:v>2024 València residential complex fire</x:v>
      </x:c>
      <x:c r="K205" s="21" t="str">
        <x:v>https://en.wikipedia.org/wiki/List_of_fires_in_high-rise_buildings</x:v>
      </x:c>
      <x:c r="L205" s="27" t="n">
        <x:v>39.47391</x:v>
      </x:c>
      <x:c r="M205" s="27" t="n">
        <x:v>-0.37966</x:v>
      </x:c>
      <x:c r="N205" s="21" t="str">
        <x:v>城市代表点（来源明确说明不是火场坐标）</x:v>
      </x:c>
      <x:c r="O205" s="21" t="str">
        <x:v>高层建筑火灾</x:v>
      </x:c>
      <x:c r="P205" s="21" t="str">
        <x:v>residential</x:v>
      </x:c>
      <x:c r="Q205" s="21" t="str">
        <x:v>未检索到</x:v>
      </x:c>
      <x:c r="R205" s="21" t="str">
        <x:v>未检索到</x:v>
      </x:c>
      <x:c r="S205" s="21" t="str">
        <x:v>未检索到</x:v>
      </x:c>
      <x:c r="T205" s="42" t="n">
        <x:v>10</x:v>
      </x:c>
      <x:c r="U205" s="42"/>
      <x:c r="V205" s="42"/>
      <x:c r="W205" s="33" t="str">
        <x:v>C</x:v>
      </x:c>
      <x:c r="X205" s="33" t="str">
        <x:v>candidate_height_or_list_membership_needs_individual_source</x:v>
      </x:c>
      <x:c r="Y205" s="33" t="str">
        <x:v>候选待核实</x:v>
      </x:c>
      <x:c r="Z205" s="21" t="str">
        <x:v>listed in high-rise fire table；aggregate list is not sufficient for final inclusion; verify height/floors and event details with cited event or building source</x:v>
      </x:c>
      <x:c r="AA205" s="21" t="str">
        <x:v>Wikipedia dynamic high-rise list (candidate discovery)</x:v>
      </x:c>
      <x:c r="AB205" s="21" t="str">
        <x:v>批量来源代理</x:v>
      </x:c>
      <x:c r="AC205" s="21" t="str"/>
      <x:c r="AD205" s="21" t="n">
        <x:v>1</x:v>
      </x:c>
      <x:c r="AE205" s="21" t="str">
        <x:v>未检查</x:v>
      </x:c>
      <x:c r="AF205" s="21" t="str"/>
      <x:c r="AG205" s="24" t="n">
        <x:v>46260</x:v>
      </x:c>
      <x:c r="AH205" s="21" t="str"/>
      <x:c r="AI205" s="21" t="n">
        <x:v>1</x:v>
      </x:c>
      <x:c r="AJ205" s="21" t="str">
        <x:v>未评估（本事件表不建立热浪因果关系）</x:v>
      </x:c>
      <x:c r="AK205" s="21" t="str">
        <x:v>缺失/待核实</x:v>
      </x:c>
    </x:row>
    <x:row r="206" ht="42" customHeight="1">
      <x:c r="A206" s="33" t="n">
        <x:v>205</x:v>
      </x:c>
      <x:c r="B206" s="33" t="str">
        <x:v>RAW-0205</x:v>
      </x:c>
      <x:c r="C206" s="36" t="str">
        <x:v>亚洲</x:v>
      </x:c>
      <x:c r="D206" s="36" t="str">
        <x:v>China</x:v>
      </x:c>
      <x:c r="E206" s="21" t="str">
        <x:v>Nanjing</x:v>
      </x:c>
      <x:c r="F206" s="21" t="str">
        <x:v>Unnamed Highrise fire</x:v>
      </x:c>
      <x:c r="G206" s="39" t="n">
        <x:v>45345</x:v>
      </x:c>
      <x:c r="H206" s="21" t="str">
        <x:v>2024 Nanjing building fire</x:v>
      </x:c>
      <x:c r="I206" s="21" t="str">
        <x:v>未检索到/待核实</x:v>
      </x:c>
      <x:c r="J206" s="21" t="str">
        <x:v>2024 Nanjing building fire</x:v>
      </x:c>
      <x:c r="K206" s="21" t="str">
        <x:v>https://en.wikipedia.org/wiki/List_of_fires_in_high-rise_buildings</x:v>
      </x:c>
      <x:c r="L206" s="27" t="n">
        <x:v>32.06167</x:v>
      </x:c>
      <x:c r="M206" s="27" t="n">
        <x:v>118.77778</x:v>
      </x:c>
      <x:c r="N206" s="21" t="str">
        <x:v>城市代表点（来源明确说明不是火场坐标）</x:v>
      </x:c>
      <x:c r="O206" s="21" t="str">
        <x:v>高层建筑火灾</x:v>
      </x:c>
      <x:c r="P206" s="21" t="str">
        <x:v>未检索到</x:v>
      </x:c>
      <x:c r="Q206" s="21" t="str">
        <x:v>未检索到</x:v>
      </x:c>
      <x:c r="R206" s="21" t="str">
        <x:v>未检索到</x:v>
      </x:c>
      <x:c r="S206" s="21" t="str">
        <x:v>未检索到</x:v>
      </x:c>
      <x:c r="T206" s="42" t="n">
        <x:v>15</x:v>
      </x:c>
      <x:c r="U206" s="42"/>
      <x:c r="V206" s="42"/>
      <x:c r="W206" s="33" t="str">
        <x:v>C</x:v>
      </x:c>
      <x:c r="X206" s="33" t="str">
        <x:v>candidate_height_or_list_membership_needs_individual_source</x:v>
      </x:c>
      <x:c r="Y206" s="33" t="str">
        <x:v>候选待核实</x:v>
      </x:c>
      <x:c r="Z206" s="21" t="str">
        <x:v>listed in high-rise fire table；aggregate list is not sufficient for final inclusion; verify height/floors and event details with cited event or building source</x:v>
      </x:c>
      <x:c r="AA206" s="21" t="str">
        <x:v>Wikipedia dynamic high-rise list (candidate discovery)</x:v>
      </x:c>
      <x:c r="AB206" s="21" t="str">
        <x:v>批量来源代理</x:v>
      </x:c>
      <x:c r="AC206" s="21" t="str"/>
      <x:c r="AD206" s="21" t="n">
        <x:v>1</x:v>
      </x:c>
      <x:c r="AE206" s="21" t="str">
        <x:v>未检查</x:v>
      </x:c>
      <x:c r="AF206" s="21" t="str"/>
      <x:c r="AG206" s="24" t="n">
        <x:v>46260</x:v>
      </x:c>
      <x:c r="AH206" s="21" t="str"/>
      <x:c r="AI206" s="21" t="n">
        <x:v>1</x:v>
      </x:c>
      <x:c r="AJ206" s="21" t="str">
        <x:v>未评估（本事件表不建立热浪因果关系）</x:v>
      </x:c>
      <x:c r="AK206" s="21" t="str">
        <x:v>缺失/待核实</x:v>
      </x:c>
    </x:row>
    <x:row r="207" ht="42" customHeight="1">
      <x:c r="A207" s="33" t="n">
        <x:v>206</x:v>
      </x:c>
      <x:c r="B207" s="33" t="str">
        <x:v>RAW-0206</x:v>
      </x:c>
      <x:c r="C207" s="36" t="str">
        <x:v>亚洲</x:v>
      </x:c>
      <x:c r="D207" s="36" t="str">
        <x:v>Bangladesh</x:v>
      </x:c>
      <x:c r="E207" s="21" t="str">
        <x:v>Dhaka</x:v>
      </x:c>
      <x:c r="F207" s="21" t="str">
        <x:v>Green Cozy Cottage Shopping Mall fire</x:v>
      </x:c>
      <x:c r="G207" s="39" t="n">
        <x:v>45351</x:v>
      </x:c>
      <x:c r="H207" s="21" t="str">
        <x:v>2024 Dhaka Bailey Road fire</x:v>
      </x:c>
      <x:c r="I207" s="21" t="str">
        <x:v>未检索到/待核实</x:v>
      </x:c>
      <x:c r="J207" s="21" t="str">
        <x:v>2024 Dhaka Bailey Road fire</x:v>
      </x:c>
      <x:c r="K207" s="21" t="str">
        <x:v>https://en.wikipedia.org/wiki/List_of_fires_in_high-rise_buildings</x:v>
      </x:c>
      <x:c r="L207" s="27" t="n">
        <x:v>23.7104</x:v>
      </x:c>
      <x:c r="M207" s="27" t="n">
        <x:v>90.40744</x:v>
      </x:c>
      <x:c r="N207" s="21" t="str">
        <x:v>城市代表点（来源明确说明不是火场坐标）</x:v>
      </x:c>
      <x:c r="O207" s="21" t="str">
        <x:v>高层建筑火灾</x:v>
      </x:c>
      <x:c r="P207" s="21" t="str">
        <x:v>commercial/retail</x:v>
      </x:c>
      <x:c r="Q207" s="21" t="str">
        <x:v>未检索到</x:v>
      </x:c>
      <x:c r="R207" s="21" t="str">
        <x:v>未检索到</x:v>
      </x:c>
      <x:c r="S207" s="21" t="str">
        <x:v>未检索到</x:v>
      </x:c>
      <x:c r="T207" s="42" t="n">
        <x:v>46</x:v>
      </x:c>
      <x:c r="U207" s="42"/>
      <x:c r="V207" s="42"/>
      <x:c r="W207" s="33" t="str">
        <x:v>C</x:v>
      </x:c>
      <x:c r="X207" s="33" t="str">
        <x:v>candidate_height_or_list_membership_needs_individual_source</x:v>
      </x:c>
      <x:c r="Y207" s="33" t="str">
        <x:v>候选待核实</x:v>
      </x:c>
      <x:c r="Z207" s="21" t="str">
        <x:v>listed in high-rise fire table；aggregate list is not sufficient for final inclusion; verify height/floors and event details with cited event or building source</x:v>
      </x:c>
      <x:c r="AA207" s="21" t="str">
        <x:v>Wikipedia dynamic high-rise list (candidate discovery)</x:v>
      </x:c>
      <x:c r="AB207" s="21" t="str">
        <x:v>批量来源代理</x:v>
      </x:c>
      <x:c r="AC207" s="21" t="str"/>
      <x:c r="AD207" s="21" t="n">
        <x:v>1</x:v>
      </x:c>
      <x:c r="AE207" s="21" t="str">
        <x:v>未检查</x:v>
      </x:c>
      <x:c r="AF207" s="21" t="str"/>
      <x:c r="AG207" s="24" t="n">
        <x:v>46260</x:v>
      </x:c>
      <x:c r="AH207" s="21" t="str"/>
      <x:c r="AI207" s="21" t="n">
        <x:v>1</x:v>
      </x:c>
      <x:c r="AJ207" s="21" t="str">
        <x:v>未评估（本事件表不建立热浪因果关系）</x:v>
      </x:c>
      <x:c r="AK207" s="21" t="str">
        <x:v>缺失/待核实</x:v>
      </x:c>
    </x:row>
    <x:row r="208" ht="42" customHeight="1">
      <x:c r="A208" s="33" t="n">
        <x:v>207</x:v>
      </x:c>
      <x:c r="B208" s="33" t="str">
        <x:v>RAW-0207</x:v>
      </x:c>
      <x:c r="C208" s="36" t="str">
        <x:v>欧洲</x:v>
      </x:c>
      <x:c r="D208" s="36" t="str">
        <x:v>Russia</x:v>
      </x:c>
      <x:c r="E208" s="21" t="str">
        <x:v>Tver</x:v>
      </x:c>
      <x:c r="F208" s="21" t="str">
        <x:v>fire</x:v>
      </x:c>
      <x:c r="G208" s="39" t="n">
        <x:v>45365</x:v>
      </x:c>
      <x:c r="H208" s="21" t="str">
        <x:v>Occurred during construction</x:v>
      </x:c>
      <x:c r="I208" s="21" t="str">
        <x:v>未检索到/待核实</x:v>
      </x:c>
      <x:c r="J208" s="21" t="str">
        <x:v>Occurred during construction</x:v>
      </x:c>
      <x:c r="K208" s="21" t="str">
        <x:v>https://en.wikipedia.org/wiki/List_of_fires_in_high-rise_buildings</x:v>
      </x:c>
      <x:c r="L208" s="27" t="n">
        <x:v>56.85836</x:v>
      </x:c>
      <x:c r="M208" s="27" t="n">
        <x:v>35.90057</x:v>
      </x:c>
      <x:c r="N208" s="21" t="str">
        <x:v>城市代表点（来源明确说明不是火场坐标）</x:v>
      </x:c>
      <x:c r="O208" s="21" t="str">
        <x:v>高层建筑火灾</x:v>
      </x:c>
      <x:c r="P208" s="21" t="str">
        <x:v>未检索到</x:v>
      </x:c>
      <x:c r="Q208" s="21" t="str">
        <x:v>未检索到</x:v>
      </x:c>
      <x:c r="R208" s="21" t="str">
        <x:v>未检索到</x:v>
      </x:c>
      <x:c r="S208" s="21" t="str">
        <x:v>未检索到</x:v>
      </x:c>
      <x:c r="T208" s="42" t="n">
        <x:v>0</x:v>
      </x:c>
      <x:c r="U208" s="42"/>
      <x:c r="V208" s="42"/>
      <x:c r="W208" s="33" t="str">
        <x:v>C</x:v>
      </x:c>
      <x:c r="X208" s="33" t="str">
        <x:v>candidate_height_or_list_membership_needs_individual_source</x:v>
      </x:c>
      <x:c r="Y208" s="33" t="str">
        <x:v>候选待核实</x:v>
      </x:c>
      <x:c r="Z208" s="21" t="str">
        <x:v>listed in high-rise fire table；aggregate list is not sufficient for final inclusion; verify height/floors and event details with cited event or building source</x:v>
      </x:c>
      <x:c r="AA208" s="21" t="str">
        <x:v>Wikipedia dynamic high-rise list (candidate discovery)</x:v>
      </x:c>
      <x:c r="AB208" s="21" t="str">
        <x:v>批量来源代理</x:v>
      </x:c>
      <x:c r="AC208" s="21" t="str"/>
      <x:c r="AD208" s="21" t="n">
        <x:v>1</x:v>
      </x:c>
      <x:c r="AE208" s="21" t="str">
        <x:v>未检查</x:v>
      </x:c>
      <x:c r="AF208" s="21" t="str"/>
      <x:c r="AG208" s="24" t="n">
        <x:v>46260</x:v>
      </x:c>
      <x:c r="AH208" s="21" t="str"/>
      <x:c r="AI208" s="21" t="n">
        <x:v>1</x:v>
      </x:c>
      <x:c r="AJ208" s="21" t="str">
        <x:v>未评估（本事件表不建立热浪因果关系）</x:v>
      </x:c>
      <x:c r="AK208" s="21" t="str">
        <x:v>缺失/待核实</x:v>
      </x:c>
    </x:row>
    <x:row r="209" ht="42" customHeight="1">
      <x:c r="A209" s="33" t="n">
        <x:v>208</x:v>
      </x:c>
      <x:c r="B209" s="33" t="str">
        <x:v>RAW-0208</x:v>
      </x:c>
      <x:c r="C209" s="36" t="str">
        <x:v>南美洲</x:v>
      </x:c>
      <x:c r="D209" s="36" t="str">
        <x:v>Brazil</x:v>
      </x:c>
      <x:c r="E209" s="21" t="str">
        <x:v>Recife</x:v>
      </x:c>
      <x:c r="F209" s="21" t="str">
        <x:v>Botanik Torre Flora fire</x:v>
      </x:c>
      <x:c r="G209" s="39" t="n">
        <x:v>45379</x:v>
      </x:c>
      <x:c r="H209" s="21" t="str">
        <x:v>Occurred during construction</x:v>
      </x:c>
      <x:c r="I209" s="21" t="str">
        <x:v>未检索到/待核实</x:v>
      </x:c>
      <x:c r="J209" s="21" t="str">
        <x:v>Occurred during construction</x:v>
      </x:c>
      <x:c r="K209" s="21" t="str">
        <x:v>https://en.wikipedia.org/wiki/List_of_fires_in_high-rise_buildings</x:v>
      </x:c>
      <x:c r="L209" s="27" t="n">
        <x:v>-8.05389</x:v>
      </x:c>
      <x:c r="M209" s="27" t="n">
        <x:v>-34.88111</x:v>
      </x:c>
      <x:c r="N209" s="21" t="str">
        <x:v>城市代表点（来源明确说明不是火场坐标）</x:v>
      </x:c>
      <x:c r="O209" s="21" t="str">
        <x:v>高层建筑火灾</x:v>
      </x:c>
      <x:c r="P209" s="21" t="str">
        <x:v>未检索到</x:v>
      </x:c>
      <x:c r="Q209" s="21" t="str">
        <x:v>未检索到</x:v>
      </x:c>
      <x:c r="R209" s="21" t="str">
        <x:v>未检索到</x:v>
      </x:c>
      <x:c r="S209" s="21" t="str">
        <x:v>未检索到</x:v>
      </x:c>
      <x:c r="T209" s="42" t="n">
        <x:v>0</x:v>
      </x:c>
      <x:c r="U209" s="42"/>
      <x:c r="V209" s="42"/>
      <x:c r="W209" s="33" t="str">
        <x:v>C</x:v>
      </x:c>
      <x:c r="X209" s="33" t="str">
        <x:v>candidate_height_or_list_membership_needs_individual_source</x:v>
      </x:c>
      <x:c r="Y209" s="33" t="str">
        <x:v>候选待核实</x:v>
      </x:c>
      <x:c r="Z209" s="21" t="str">
        <x:v>listed in high-rise fire table；aggregate list is not sufficient for final inclusion; verify height/floors and event details with cited event or building source</x:v>
      </x:c>
      <x:c r="AA209" s="21" t="str">
        <x:v>Wikipedia dynamic high-rise list (candidate discovery)</x:v>
      </x:c>
      <x:c r="AB209" s="21" t="str">
        <x:v>批量来源代理</x:v>
      </x:c>
      <x:c r="AC209" s="21" t="str"/>
      <x:c r="AD209" s="21" t="n">
        <x:v>1</x:v>
      </x:c>
      <x:c r="AE209" s="21" t="str">
        <x:v>未检查</x:v>
      </x:c>
      <x:c r="AF209" s="21" t="str"/>
      <x:c r="AG209" s="24" t="n">
        <x:v>46260</x:v>
      </x:c>
      <x:c r="AH209" s="21" t="str"/>
      <x:c r="AI209" s="21" t="n">
        <x:v>1</x:v>
      </x:c>
      <x:c r="AJ209" s="21" t="str">
        <x:v>未评估（本事件表不建立热浪因果关系）</x:v>
      </x:c>
      <x:c r="AK209" s="21" t="str">
        <x:v>缺失/待核实</x:v>
      </x:c>
    </x:row>
    <x:row r="210" ht="42" customHeight="1">
      <x:c r="A210" s="33" t="n">
        <x:v>209</x:v>
      </x:c>
      <x:c r="B210" s="33" t="str">
        <x:v>RAW-0209</x:v>
      </x:c>
      <x:c r="C210" s="36" t="str">
        <x:v>欧洲</x:v>
      </x:c>
      <x:c r="D210" s="36" t="str">
        <x:v>France</x:v>
      </x:c>
      <x:c r="E210" s="21" t="str">
        <x:v>Paris</x:v>
      </x:c>
      <x:c r="F210" s="21" t="str">
        <x:v>146 rue de Charonne fire</x:v>
      </x:c>
      <x:c r="G210" s="39" t="n">
        <x:v>45389</x:v>
      </x:c>
      <x:c r="H210" s="21" t="str">
        <x:v>High-rise façade fire; reported floors affected: 7th of 12.</x:v>
      </x:c>
      <x:c r="I210" s="21" t="str">
        <x:v>未检索到/待核实</x:v>
      </x:c>
      <x:c r="J210" s="21" t="str">
        <x:v>façade involved; floors affected=7th of 12</x:v>
      </x:c>
      <x:c r="K210" s="21" t="str">
        <x:v>https://en.wikipedia.org/wiki/List_of_high-rise_fa%C3%A7ade_fires</x:v>
      </x:c>
      <x:c r="L210" s="27" t="n">
        <x:v>48.85341</x:v>
      </x:c>
      <x:c r="M210" s="27" t="n">
        <x:v>2.3488</x:v>
      </x:c>
      <x:c r="N210" s="21" t="str">
        <x:v>城市代表点（来源明确说明不是火场坐标）</x:v>
      </x:c>
      <x:c r="O210" s="21" t="str">
        <x:v>高层建筑火灾</x:v>
      </x:c>
      <x:c r="P210" s="21" t="str">
        <x:v>未检索到</x:v>
      </x:c>
      <x:c r="Q210" s="21" t="str">
        <x:v>未检索到</x:v>
      </x:c>
      <x:c r="R210" s="21" t="str">
        <x:v>floors affected=7th of 12</x:v>
      </x:c>
      <x:c r="S210" s="21" t="str">
        <x:v>未检索到</x:v>
      </x:c>
      <x:c r="T210" s="42" t="n">
        <x:v>3</x:v>
      </x:c>
      <x:c r="U210" s="42" t="n">
        <x:v>0</x:v>
      </x:c>
      <x:c r="V210" s="42"/>
      <x:c r="W210" s="33" t="str">
        <x:v>C</x:v>
      </x:c>
      <x:c r="X210" s="33" t="str">
        <x:v>candidate_list_membership_needs_individual_height_source</x:v>
      </x:c>
      <x:c r="Y210" s="33" t="str">
        <x:v>候选待核实</x:v>
      </x:c>
      <x:c r="Z210" s="21" t="str">
        <x:v>listed in high-rise façade fire table; affected floors are not total building floors；aggregate list is not sufficient for final inclusion; floors affected must not be mistaken for total building floors</x:v>
      </x:c>
      <x:c r="AA210" s="21" t="str">
        <x:v>Wikipedia high-rise façade list; derived from Bonner et al./news (candidate discovery)</x:v>
      </x:c>
      <x:c r="AB210" s="21" t="str">
        <x:v>批量来源代理</x:v>
      </x:c>
      <x:c r="AC210" s="21" t="str"/>
      <x:c r="AD210" s="21" t="n">
        <x:v>1</x:v>
      </x:c>
      <x:c r="AE210" s="21" t="str">
        <x:v>未检查</x:v>
      </x:c>
      <x:c r="AF210" s="21" t="str"/>
      <x:c r="AG210" s="24" t="n">
        <x:v>46260</x:v>
      </x:c>
      <x:c r="AH210" s="21" t="str"/>
      <x:c r="AI210" s="21" t="n">
        <x:v>1</x:v>
      </x:c>
      <x:c r="AJ210" s="21" t="str">
        <x:v>未评估（本事件表不建立热浪因果关系）</x:v>
      </x:c>
      <x:c r="AK210" s="21" t="str">
        <x:v>缺失/待核实</x:v>
      </x:c>
    </x:row>
    <x:row r="211" ht="42" customHeight="1">
      <x:c r="A211" s="33" t="n">
        <x:v>210</x:v>
      </x:c>
      <x:c r="B211" s="33" t="str">
        <x:v>RAW-0210</x:v>
      </x:c>
      <x:c r="C211" s="36" t="str">
        <x:v>欧洲</x:v>
      </x:c>
      <x:c r="D211" s="36" t="str">
        <x:v>France</x:v>
      </x:c>
      <x:c r="E211" s="21" t="str">
        <x:v>Paris</x:v>
      </x:c>
      <x:c r="F211" s="21" t="str">
        <x:v>Asia of Ivry (fr, Asie d'Ivry) Wholesaler Chinese Pastry, 50 Av. de la Prte d'Ivry fire</x:v>
      </x:c>
      <x:c r="G211" s="39" t="n">
        <x:v>45552</x:v>
      </x:c>
      <x:c r="H211" s="21" t="str">
        <x:v>High-rise façade fire; reported floors affected: 7th (attic).</x:v>
      </x:c>
      <x:c r="I211" s="21" t="str">
        <x:v>未检索到/待核实</x:v>
      </x:c>
      <x:c r="J211" s="21" t="str">
        <x:v>façade involved; floors affected=7th (attic)</x:v>
      </x:c>
      <x:c r="K211" s="21" t="str">
        <x:v>https://en.wikipedia.org/wiki/List_of_high-rise_fa%C3%A7ade_fires</x:v>
      </x:c>
      <x:c r="L211" s="27" t="n">
        <x:v>48.85341</x:v>
      </x:c>
      <x:c r="M211" s="27" t="n">
        <x:v>2.3488</x:v>
      </x:c>
      <x:c r="N211" s="21" t="str">
        <x:v>城市代表点（来源明确说明不是火场坐标）</x:v>
      </x:c>
      <x:c r="O211" s="21" t="str">
        <x:v>高层建筑火灾</x:v>
      </x:c>
      <x:c r="P211" s="21" t="str">
        <x:v>未检索到</x:v>
      </x:c>
      <x:c r="Q211" s="21" t="str">
        <x:v>未检索到</x:v>
      </x:c>
      <x:c r="R211" s="21" t="str">
        <x:v>floors affected=7th (attic)</x:v>
      </x:c>
      <x:c r="S211" s="21" t="str">
        <x:v>未检索到</x:v>
      </x:c>
      <x:c r="T211" s="42" t="n">
        <x:v>0</x:v>
      </x:c>
      <x:c r="U211" s="42" t="n">
        <x:v>2</x:v>
      </x:c>
      <x:c r="V211" s="42"/>
      <x:c r="W211" s="33" t="str">
        <x:v>C</x:v>
      </x:c>
      <x:c r="X211" s="33" t="str">
        <x:v>candidate_list_membership_needs_individual_height_source</x:v>
      </x:c>
      <x:c r="Y211" s="33" t="str">
        <x:v>候选待核实</x:v>
      </x:c>
      <x:c r="Z211" s="21" t="str">
        <x:v>listed in high-rise façade fire table; affected floors are not total building floors；aggregate list is not sufficient for final inclusion; floors affected must not be mistaken for total building floors</x:v>
      </x:c>
      <x:c r="AA211" s="21" t="str">
        <x:v>Wikipedia high-rise façade list; derived from Bonner et al./news (candidate discovery)</x:v>
      </x:c>
      <x:c r="AB211" s="21" t="str">
        <x:v>批量来源代理</x:v>
      </x:c>
      <x:c r="AC211" s="21" t="str"/>
      <x:c r="AD211" s="21" t="n">
        <x:v>1</x:v>
      </x:c>
      <x:c r="AE211" s="21" t="str">
        <x:v>未检查</x:v>
      </x:c>
      <x:c r="AF211" s="21" t="str"/>
      <x:c r="AG211" s="24" t="n">
        <x:v>46260</x:v>
      </x:c>
      <x:c r="AH211" s="21" t="str"/>
      <x:c r="AI211" s="21" t="n">
        <x:v>1</x:v>
      </x:c>
      <x:c r="AJ211" s="21" t="str">
        <x:v>未评估（本事件表不建立热浪因果关系）</x:v>
      </x:c>
      <x:c r="AK211" s="21" t="str">
        <x:v>缺失/待核实</x:v>
      </x:c>
    </x:row>
    <x:row r="212" ht="42" customHeight="1">
      <x:c r="A212" s="33" t="n">
        <x:v>211</x:v>
      </x:c>
      <x:c r="B212" s="33" t="str">
        <x:v>RAW-0211</x:v>
      </x:c>
      <x:c r="C212" s="36" t="str">
        <x:v>欧洲</x:v>
      </x:c>
      <x:c r="D212" s="36" t="str">
        <x:v>France</x:v>
      </x:c>
      <x:c r="E212" s="21" t="str">
        <x:v>Paris</x:v>
      </x:c>
      <x:c r="F212" s="21" t="str">
        <x:v>Asia of Ivry (fr, Asie d'Ivry) fire</x:v>
      </x:c>
      <x:c r="G212" s="39" t="n">
        <x:v>45552</x:v>
      </x:c>
      <x:c r="H212" s="21" t="str">
        <x:v>Wholesaler Chinese Pastry, 50 Av. de la Prte d'Ivry, 7th flr (attic)</x:v>
      </x:c>
      <x:c r="I212" s="21" t="str">
        <x:v>未检索到/待核实</x:v>
      </x:c>
      <x:c r="J212" s="21" t="str">
        <x:v>Wholesaler Chinese Pastry, 50 Av. de la Prte d'Ivry, 7th flr (attic)</x:v>
      </x:c>
      <x:c r="K212" s="21" t="str">
        <x:v>https://en.wikipedia.org/wiki/List_of_fires_in_high-rise_buildings</x:v>
      </x:c>
      <x:c r="L212" s="27" t="n">
        <x:v>48.85341</x:v>
      </x:c>
      <x:c r="M212" s="27" t="n">
        <x:v>2.3488</x:v>
      </x:c>
      <x:c r="N212" s="21" t="str">
        <x:v>城市代表点（来源明确说明不是火场坐标）</x:v>
      </x:c>
      <x:c r="O212" s="21" t="str">
        <x:v>高层建筑火灾</x:v>
      </x:c>
      <x:c r="P212" s="21" t="str">
        <x:v>未检索到</x:v>
      </x:c>
      <x:c r="Q212" s="21" t="str">
        <x:v>21 m</x:v>
      </x:c>
      <x:c r="R212" s="21" t="str">
        <x:v>未检索到</x:v>
      </x:c>
      <x:c r="S212" s="21" t="str">
        <x:v>未检索到</x:v>
      </x:c>
      <x:c r="T212" s="42" t="n">
        <x:v>0</x:v>
      </x:c>
      <x:c r="U212" s="42"/>
      <x:c r="V212" s="42"/>
      <x:c r="W212" s="33" t="str">
        <x:v>C</x:v>
      </x:c>
      <x:c r="X212" s="33" t="str">
        <x:v>candidate_height_or_list_membership_needs_individual_source</x:v>
      </x:c>
      <x:c r="Y212" s="33" t="str">
        <x:v>候选待核实</x:v>
      </x:c>
      <x:c r="Z212" s="21" t="str">
        <x:v>height=21 m; listed in high-rise fire table；aggregate list is not sufficient for final inclusion; verify height/floors and event details with cited event or building source</x:v>
      </x:c>
      <x:c r="AA212" s="21" t="str">
        <x:v>Wikipedia dynamic high-rise list (candidate discovery)</x:v>
      </x:c>
      <x:c r="AB212" s="21" t="str">
        <x:v>批量来源代理</x:v>
      </x:c>
      <x:c r="AC212" s="21" t="str"/>
      <x:c r="AD212" s="21" t="n">
        <x:v>1</x:v>
      </x:c>
      <x:c r="AE212" s="21" t="str">
        <x:v>未检查</x:v>
      </x:c>
      <x:c r="AF212" s="21" t="str"/>
      <x:c r="AG212" s="24" t="n">
        <x:v>46260</x:v>
      </x:c>
      <x:c r="AH212" s="21" t="str"/>
      <x:c r="AI212" s="21" t="n">
        <x:v>1</x:v>
      </x:c>
      <x:c r="AJ212" s="21" t="str">
        <x:v>未评估（本事件表不建立热浪因果关系）</x:v>
      </x:c>
      <x:c r="AK212" s="21" t="str">
        <x:v>缺失/待核实</x:v>
      </x:c>
    </x:row>
    <x:row r="213" ht="42" customHeight="1">
      <x:c r="A213" s="33" t="n">
        <x:v>212</x:v>
      </x:c>
      <x:c r="B213" s="33" t="str">
        <x:v>RAW-0212</x:v>
      </x:c>
      <x:c r="C213" s="36" t="str">
        <x:v>欧洲</x:v>
      </x:c>
      <x:c r="D213" s="36" t="str">
        <x:v>France</x:v>
      </x:c>
      <x:c r="E213" s="21" t="str">
        <x:v>Paris</x:v>
      </x:c>
      <x:c r="F213" s="21" t="str">
        <x:v>26 Avenue d'Iéna fire</x:v>
      </x:c>
      <x:c r="G213" s="39" t="n">
        <x:v>45639</x:v>
      </x:c>
      <x:c r="H213" s="21" t="str">
        <x:v>High-rise façade fire; reported floors affected: 7th.</x:v>
      </x:c>
      <x:c r="I213" s="21" t="str">
        <x:v>未检索到/待核实</x:v>
      </x:c>
      <x:c r="J213" s="21" t="str">
        <x:v>façade involved; floors affected=7th</x:v>
      </x:c>
      <x:c r="K213" s="21" t="str">
        <x:v>https://en.wikipedia.org/wiki/List_of_high-rise_fa%C3%A7ade_fires</x:v>
      </x:c>
      <x:c r="L213" s="27" t="n">
        <x:v>48.85341</x:v>
      </x:c>
      <x:c r="M213" s="27" t="n">
        <x:v>2.3488</x:v>
      </x:c>
      <x:c r="N213" s="21" t="str">
        <x:v>城市代表点（来源明确说明不是火场坐标）</x:v>
      </x:c>
      <x:c r="O213" s="21" t="str">
        <x:v>高层建筑火灾</x:v>
      </x:c>
      <x:c r="P213" s="21" t="str">
        <x:v>未检索到</x:v>
      </x:c>
      <x:c r="Q213" s="21" t="str">
        <x:v>未检索到</x:v>
      </x:c>
      <x:c r="R213" s="21" t="str">
        <x:v>floors affected=7th</x:v>
      </x:c>
      <x:c r="S213" s="21" t="str">
        <x:v>未检索到</x:v>
      </x:c>
      <x:c r="T213" s="42" t="n">
        <x:v>0</x:v>
      </x:c>
      <x:c r="U213" s="42" t="n">
        <x:v>0</x:v>
      </x:c>
      <x:c r="V213" s="42"/>
      <x:c r="W213" s="33" t="str">
        <x:v>C</x:v>
      </x:c>
      <x:c r="X213" s="33" t="str">
        <x:v>candidate_list_membership_needs_individual_height_source</x:v>
      </x:c>
      <x:c r="Y213" s="33" t="str">
        <x:v>候选待核实</x:v>
      </x:c>
      <x:c r="Z213" s="21" t="str">
        <x:v>listed in high-rise façade fire table; affected floors are not total building floors；aggregate list is not sufficient for final inclusion; floors affected must not be mistaken for total building floors</x:v>
      </x:c>
      <x:c r="AA213" s="21" t="str">
        <x:v>Wikipedia high-rise façade list; derived from Bonner et al./news (candidate discovery)</x:v>
      </x:c>
      <x:c r="AB213" s="21" t="str">
        <x:v>批量来源代理</x:v>
      </x:c>
      <x:c r="AC213" s="21" t="str"/>
      <x:c r="AD213" s="21" t="n">
        <x:v>1</x:v>
      </x:c>
      <x:c r="AE213" s="21" t="str">
        <x:v>未检查</x:v>
      </x:c>
      <x:c r="AF213" s="21" t="str"/>
      <x:c r="AG213" s="24" t="n">
        <x:v>46260</x:v>
      </x:c>
      <x:c r="AH213" s="21" t="str"/>
      <x:c r="AI213" s="21" t="n">
        <x:v>1</x:v>
      </x:c>
      <x:c r="AJ213" s="21" t="str">
        <x:v>未评估（本事件表不建立热浪因果关系）</x:v>
      </x:c>
      <x:c r="AK213" s="21" t="str">
        <x:v>缺失/待核实</x:v>
      </x:c>
    </x:row>
    <x:row r="214" ht="42" customHeight="1">
      <x:c r="A214" s="33" t="n">
        <x:v>213</x:v>
      </x:c>
      <x:c r="B214" s="33" t="str">
        <x:v>RAW-0213</x:v>
      </x:c>
      <x:c r="C214" s="36" t="str">
        <x:v>欧洲</x:v>
      </x:c>
      <x:c r="D214" s="36" t="str">
        <x:v>France</x:v>
      </x:c>
      <x:c r="E214" s="21" t="str">
        <x:v>Paris</x:v>
      </x:c>
      <x:c r="F214" s="21" t="str">
        <x:v>GMF Assurances, 1 rue de la Pépinière fire</x:v>
      </x:c>
      <x:c r="G214" s="39" t="n">
        <x:v>45650</x:v>
      </x:c>
      <x:c r="H214" s="21" t="str">
        <x:v>High-rise façade fire; reported floors affected: Top flr.</x:v>
      </x:c>
      <x:c r="I214" s="21" t="str">
        <x:v>未检索到/待核实</x:v>
      </x:c>
      <x:c r="J214" s="21" t="str">
        <x:v>façade involved; floors affected=Top flr</x:v>
      </x:c>
      <x:c r="K214" s="21" t="str">
        <x:v>https://en.wikipedia.org/wiki/List_of_high-rise_fa%C3%A7ade_fires</x:v>
      </x:c>
      <x:c r="L214" s="27" t="n">
        <x:v>48.85341</x:v>
      </x:c>
      <x:c r="M214" s="27" t="n">
        <x:v>2.3488</x:v>
      </x:c>
      <x:c r="N214" s="21" t="str">
        <x:v>城市代表点（来源明确说明不是火场坐标）</x:v>
      </x:c>
      <x:c r="O214" s="21" t="str">
        <x:v>高层建筑火灾</x:v>
      </x:c>
      <x:c r="P214" s="21" t="str">
        <x:v>未检索到</x:v>
      </x:c>
      <x:c r="Q214" s="21" t="str">
        <x:v>未检索到</x:v>
      </x:c>
      <x:c r="R214" s="21" t="str">
        <x:v>floors affected=Top flr</x:v>
      </x:c>
      <x:c r="S214" s="21" t="str">
        <x:v>未检索到</x:v>
      </x:c>
      <x:c r="T214" s="42" t="n">
        <x:v>0</x:v>
      </x:c>
      <x:c r="U214" s="42" t="n">
        <x:v>1</x:v>
      </x:c>
      <x:c r="V214" s="42"/>
      <x:c r="W214" s="33" t="str">
        <x:v>C</x:v>
      </x:c>
      <x:c r="X214" s="33" t="str">
        <x:v>candidate_list_membership_needs_individual_height_source</x:v>
      </x:c>
      <x:c r="Y214" s="33" t="str">
        <x:v>候选待核实</x:v>
      </x:c>
      <x:c r="Z214" s="21" t="str">
        <x:v>listed in high-rise façade fire table; affected floors are not total building floors；aggregate list is not sufficient for final inclusion; floors affected must not be mistaken for total building floors</x:v>
      </x:c>
      <x:c r="AA214" s="21" t="str">
        <x:v>Wikipedia high-rise façade list; derived from Bonner et al./news (candidate discovery)</x:v>
      </x:c>
      <x:c r="AB214" s="21" t="str">
        <x:v>批量来源代理</x:v>
      </x:c>
      <x:c r="AC214" s="21" t="str"/>
      <x:c r="AD214" s="21" t="n">
        <x:v>1</x:v>
      </x:c>
      <x:c r="AE214" s="21" t="str">
        <x:v>未检查</x:v>
      </x:c>
      <x:c r="AF214" s="21" t="str"/>
      <x:c r="AG214" s="24" t="n">
        <x:v>46260</x:v>
      </x:c>
      <x:c r="AH214" s="21" t="str"/>
      <x:c r="AI214" s="21" t="n">
        <x:v>1</x:v>
      </x:c>
      <x:c r="AJ214" s="21" t="str">
        <x:v>未评估（本事件表不建立热浪因果关系）</x:v>
      </x:c>
      <x:c r="AK214" s="21" t="str">
        <x:v>缺失/待核实</x:v>
      </x:c>
    </x:row>
    <x:row r="215" ht="42" customHeight="1">
      <x:c r="A215" s="33" t="n">
        <x:v>214</x:v>
      </x:c>
      <x:c r="B215" s="33" t="str">
        <x:v>RAW-0214</x:v>
      </x:c>
      <x:c r="C215" s="36" t="str">
        <x:v>欧洲</x:v>
      </x:c>
      <x:c r="D215" s="36" t="str">
        <x:v>Turkey</x:v>
      </x:c>
      <x:c r="E215" s="21" t="str">
        <x:v>Bolu</x:v>
      </x:c>
      <x:c r="F215" s="21" t="str">
        <x:v>Grand Kartal Hotel fire</x:v>
      </x:c>
      <x:c r="G215" s="39" t="n">
        <x:v>45678</x:v>
      </x:c>
      <x:c r="H215" s="21" t="str">
        <x:v>2025 Kartalkaya hotel fire</x:v>
      </x:c>
      <x:c r="I215" s="21" t="str">
        <x:v>未检索到/待核实</x:v>
      </x:c>
      <x:c r="J215" s="21" t="str">
        <x:v>2025 Kartalkaya hotel fire</x:v>
      </x:c>
      <x:c r="K215" s="21" t="str">
        <x:v>https://en.wikipedia.org/wiki/List_of_fires_in_high-rise_buildings</x:v>
      </x:c>
      <x:c r="L215" s="27"/>
      <x:c r="M215" s="27"/>
      <x:c r="N215" s="21" t="str">
        <x:v>未提供坐标</x:v>
      </x:c>
      <x:c r="O215" s="21" t="str">
        <x:v>高层建筑火灾</x:v>
      </x:c>
      <x:c r="P215" s="21" t="str">
        <x:v>hotel</x:v>
      </x:c>
      <x:c r="Q215" s="21" t="str">
        <x:v>43.50 m</x:v>
      </x:c>
      <x:c r="R215" s="21" t="str">
        <x:v>未检索到</x:v>
      </x:c>
      <x:c r="S215" s="21" t="str">
        <x:v>未检索到</x:v>
      </x:c>
      <x:c r="T215" s="42" t="n">
        <x:v>79</x:v>
      </x:c>
      <x:c r="U215" s="42"/>
      <x:c r="V215" s="42"/>
      <x:c r="W215" s="33" t="str">
        <x:v>C</x:v>
      </x:c>
      <x:c r="X215" s="33" t="str">
        <x:v>candidate_height_or_list_membership_needs_individual_source</x:v>
      </x:c>
      <x:c r="Y215" s="33" t="str">
        <x:v>候选待核实</x:v>
      </x:c>
      <x:c r="Z215" s="21" t="str">
        <x:v>height=43.50 m; listed in high-rise fire table；aggregate list is not sufficient for final inclusion; verify height/floors and event details with cited event or building source</x:v>
      </x:c>
      <x:c r="AA215" s="21" t="str">
        <x:v>Wikipedia dynamic high-rise list (candidate discovery)</x:v>
      </x:c>
      <x:c r="AB215" s="21" t="str">
        <x:v>批量来源代理</x:v>
      </x:c>
      <x:c r="AC215" s="21" t="str"/>
      <x:c r="AD215" s="21" t="n">
        <x:v>1</x:v>
      </x:c>
      <x:c r="AE215" s="21" t="str">
        <x:v>未检查</x:v>
      </x:c>
      <x:c r="AF215" s="21" t="str"/>
      <x:c r="AG215" s="24" t="n">
        <x:v>46260</x:v>
      </x:c>
      <x:c r="AH215" s="21" t="str"/>
      <x:c r="AI215" s="21" t="n">
        <x:v>1</x:v>
      </x:c>
      <x:c r="AJ215" s="21" t="str">
        <x:v>未评估（本事件表不建立热浪因果关系）</x:v>
      </x:c>
      <x:c r="AK215" s="21" t="str">
        <x:v>缺失/待核实</x:v>
      </x:c>
    </x:row>
    <x:row r="216" ht="42" customHeight="1">
      <x:c r="A216" s="33" t="n">
        <x:v>215</x:v>
      </x:c>
      <x:c r="B216" s="33" t="str">
        <x:v>RAW-0215</x:v>
      </x:c>
      <x:c r="C216" s="36" t="str">
        <x:v>欧洲</x:v>
      </x:c>
      <x:c r="D216" s="36" t="str">
        <x:v>France</x:v>
      </x:c>
      <x:c r="E216" s="21" t="str">
        <x:v>Paris</x:v>
      </x:c>
      <x:c r="F216" s="21" t="str">
        <x:v>The 12th District Town Hall fire</x:v>
      </x:c>
      <x:c r="G216" s="39" t="n">
        <x:v>45684</x:v>
      </x:c>
      <x:c r="H216" s="21" t="str">
        <x:v>Top flrs, possible electrical short in attic, 150 firefighters saved main structure, tower stabilized after collapse risk.</x:v>
      </x:c>
      <x:c r="I216" s="21" t="str">
        <x:v>electrical fault/short circuit</x:v>
      </x:c>
      <x:c r="J216" s="21" t="str">
        <x:v>Top flrs, possible electrical short in attic, 150 firefighters saved main structure, tower stabilized after collapse risk.</x:v>
      </x:c>
      <x:c r="K216" s="21" t="str">
        <x:v>https://en.wikipedia.org/wiki/List_of_fires_in_high-rise_buildings</x:v>
      </x:c>
      <x:c r="L216" s="27" t="n">
        <x:v>48.85341</x:v>
      </x:c>
      <x:c r="M216" s="27" t="n">
        <x:v>2.3488</x:v>
      </x:c>
      <x:c r="N216" s="21" t="str">
        <x:v>城市代表点（来源明确说明不是火场坐标）</x:v>
      </x:c>
      <x:c r="O216" s="21" t="str">
        <x:v>高层建筑火灾</x:v>
      </x:c>
      <x:c r="P216" s="21" t="str">
        <x:v>未检索到</x:v>
      </x:c>
      <x:c r="Q216" s="21" t="str">
        <x:v>36 m</x:v>
      </x:c>
      <x:c r="R216" s="21" t="str">
        <x:v>未检索到</x:v>
      </x:c>
      <x:c r="S216" s="21" t="str">
        <x:v>未检索到</x:v>
      </x:c>
      <x:c r="T216" s="42" t="n">
        <x:v>0</x:v>
      </x:c>
      <x:c r="U216" s="42"/>
      <x:c r="V216" s="42"/>
      <x:c r="W216" s="33" t="str">
        <x:v>C</x:v>
      </x:c>
      <x:c r="X216" s="33" t="str">
        <x:v>candidate_height_or_list_membership_needs_individual_source</x:v>
      </x:c>
      <x:c r="Y216" s="33" t="str">
        <x:v>候选待核实</x:v>
      </x:c>
      <x:c r="Z216" s="21" t="str">
        <x:v>height=36 m; listed in high-rise fire table；aggregate list is not sufficient for final inclusion; verify height/floors and event details with cited event or building source</x:v>
      </x:c>
      <x:c r="AA216" s="21" t="str">
        <x:v>Wikipedia dynamic high-rise list (candidate discovery)</x:v>
      </x:c>
      <x:c r="AB216" s="21" t="str">
        <x:v>批量来源代理</x:v>
      </x:c>
      <x:c r="AC216" s="21" t="str"/>
      <x:c r="AD216" s="21" t="n">
        <x:v>1</x:v>
      </x:c>
      <x:c r="AE216" s="21" t="str">
        <x:v>未检查</x:v>
      </x:c>
      <x:c r="AF216" s="21" t="str"/>
      <x:c r="AG216" s="24" t="n">
        <x:v>46260</x:v>
      </x:c>
      <x:c r="AH216" s="21" t="str"/>
      <x:c r="AI216" s="21" t="n">
        <x:v>1</x:v>
      </x:c>
      <x:c r="AJ216" s="21" t="str">
        <x:v>未评估（本事件表不建立热浪因果关系）</x:v>
      </x:c>
      <x:c r="AK216" s="21" t="str">
        <x:v>已有来源描述</x:v>
      </x:c>
    </x:row>
    <x:row r="217" ht="42" customHeight="1">
      <x:c r="A217" s="33" t="n">
        <x:v>216</x:v>
      </x:c>
      <x:c r="B217" s="33" t="str">
        <x:v>RAW-0216</x:v>
      </x:c>
      <x:c r="C217" s="36" t="str">
        <x:v>亚洲</x:v>
      </x:c>
      <x:c r="D217" s="36" t="str">
        <x:v>United Arab Emirates</x:v>
      </x:c>
      <x:c r="E217" s="21" t="str">
        <x:v>Dubai</x:v>
      </x:c>
      <x:c r="F217" s="21" t="str">
        <x:v>Marina Pinnacle fire</x:v>
      </x:c>
      <x:c r="G217" s="39" t="n">
        <x:v>45821</x:v>
      </x:c>
      <x:c r="H217" s="21" t="str"/>
      <x:c r="I217" s="21" t="str">
        <x:v>未检索到/待核实</x:v>
      </x:c>
      <x:c r="J217" s="21" t="str"/>
      <x:c r="K217" s="21" t="str">
        <x:v>https://en.wikipedia.org/wiki/List_of_fires_in_high-rise_buildings</x:v>
      </x:c>
      <x:c r="L217" s="27" t="n">
        <x:v>25.07725</x:v>
      </x:c>
      <x:c r="M217" s="27" t="n">
        <x:v>55.30927</x:v>
      </x:c>
      <x:c r="N217" s="21" t="str">
        <x:v>城市代表点（来源明确说明不是火场坐标）</x:v>
      </x:c>
      <x:c r="O217" s="21" t="str">
        <x:v>高层建筑火灾</x:v>
      </x:c>
      <x:c r="P217" s="21" t="str">
        <x:v>未检索到</x:v>
      </x:c>
      <x:c r="Q217" s="21" t="str">
        <x:v>280 m</x:v>
      </x:c>
      <x:c r="R217" s="21" t="str">
        <x:v>未检索到</x:v>
      </x:c>
      <x:c r="S217" s="21" t="str">
        <x:v>未检索到</x:v>
      </x:c>
      <x:c r="T217" s="42" t="n">
        <x:v>0</x:v>
      </x:c>
      <x:c r="U217" s="42"/>
      <x:c r="V217" s="42"/>
      <x:c r="W217" s="33" t="str">
        <x:v>C</x:v>
      </x:c>
      <x:c r="X217" s="33" t="str">
        <x:v>candidate_height_or_list_membership_needs_individual_source</x:v>
      </x:c>
      <x:c r="Y217" s="33" t="str">
        <x:v>候选待核实</x:v>
      </x:c>
      <x:c r="Z217" s="21" t="str">
        <x:v>height=280 m; listed in high-rise fire table；aggregate list is not sufficient for final inclusion; verify height/floors and event details with cited event or building source</x:v>
      </x:c>
      <x:c r="AA217" s="21" t="str">
        <x:v>Wikipedia dynamic high-rise list (candidate discovery)</x:v>
      </x:c>
      <x:c r="AB217" s="21" t="str">
        <x:v>批量来源代理</x:v>
      </x:c>
      <x:c r="AC217" s="21" t="str"/>
      <x:c r="AD217" s="21" t="n">
        <x:v>1</x:v>
      </x:c>
      <x:c r="AE217" s="21" t="str">
        <x:v>未检查</x:v>
      </x:c>
      <x:c r="AF217" s="21" t="str"/>
      <x:c r="AG217" s="24" t="n">
        <x:v>46260</x:v>
      </x:c>
      <x:c r="AH217" s="21" t="str"/>
      <x:c r="AI217" s="21" t="n">
        <x:v>1</x:v>
      </x:c>
      <x:c r="AJ217" s="21" t="str">
        <x:v>未评估（本事件表不建立热浪因果关系）</x:v>
      </x:c>
      <x:c r="AK217" s="21" t="str">
        <x:v>缺失/待核实</x:v>
      </x:c>
    </x:row>
    <x:row r="218" ht="42" customHeight="1">
      <x:c r="A218" s="33" t="n">
        <x:v>217</x:v>
      </x:c>
      <x:c r="B218" s="33" t="str">
        <x:v>RAW-0217</x:v>
      </x:c>
      <x:c r="C218" s="36" t="str">
        <x:v>欧洲</x:v>
      </x:c>
      <x:c r="D218" s="36" t="str">
        <x:v>France</x:v>
      </x:c>
      <x:c r="E218" s="21" t="str">
        <x:v>Tours, Indre-et-Loire</x:v>
      </x:c>
      <x:c r="F218" s="21" t="str">
        <x:v>18 Jardin de Guillaume Bouzignac/18 Mail Gustave Flaubert fire</x:v>
      </x:c>
      <x:c r="G218" s="39" t="n">
        <x:v>45940</x:v>
      </x:c>
      <x:c r="H218" s="21" t="str"/>
      <x:c r="I218" s="21" t="str">
        <x:v>未检索到/待核实</x:v>
      </x:c>
      <x:c r="J218" s="21" t="str"/>
      <x:c r="K218" s="21" t="str">
        <x:v>https://en.wikipedia.org/wiki/List_of_fires_in_high-rise_buildings</x:v>
      </x:c>
      <x:c r="L218" s="27"/>
      <x:c r="M218" s="27"/>
      <x:c r="N218" s="21" t="str">
        <x:v>未提供坐标</x:v>
      </x:c>
      <x:c r="O218" s="21" t="str">
        <x:v>高层建筑火灾</x:v>
      </x:c>
      <x:c r="P218" s="21" t="str">
        <x:v>未检索到</x:v>
      </x:c>
      <x:c r="Q218" s="21" t="str">
        <x:v>60 m</x:v>
      </x:c>
      <x:c r="R218" s="21" t="str">
        <x:v>未检索到</x:v>
      </x:c>
      <x:c r="S218" s="21" t="str">
        <x:v>未检索到</x:v>
      </x:c>
      <x:c r="T218" s="42" t="n">
        <x:v>1</x:v>
      </x:c>
      <x:c r="U218" s="42"/>
      <x:c r="V218" s="42"/>
      <x:c r="W218" s="33" t="str">
        <x:v>C</x:v>
      </x:c>
      <x:c r="X218" s="33" t="str">
        <x:v>candidate_height_or_list_membership_needs_individual_source</x:v>
      </x:c>
      <x:c r="Y218" s="33" t="str">
        <x:v>候选待核实</x:v>
      </x:c>
      <x:c r="Z218" s="21" t="str">
        <x:v>height=60 m; listed in high-rise fire table；aggregate list is not sufficient for final inclusion; verify height/floors and event details with cited event or building source</x:v>
      </x:c>
      <x:c r="AA218" s="21" t="str">
        <x:v>Wikipedia dynamic high-rise list (candidate discovery)</x:v>
      </x:c>
      <x:c r="AB218" s="21" t="str">
        <x:v>批量来源代理</x:v>
      </x:c>
      <x:c r="AC218" s="21" t="str"/>
      <x:c r="AD218" s="21" t="n">
        <x:v>1</x:v>
      </x:c>
      <x:c r="AE218" s="21" t="str">
        <x:v>未检查</x:v>
      </x:c>
      <x:c r="AF218" s="21" t="str"/>
      <x:c r="AG218" s="24" t="n">
        <x:v>46260</x:v>
      </x:c>
      <x:c r="AH218" s="21" t="str"/>
      <x:c r="AI218" s="21" t="n">
        <x:v>1</x:v>
      </x:c>
      <x:c r="AJ218" s="21" t="str">
        <x:v>未评估（本事件表不建立热浪因果关系）</x:v>
      </x:c>
      <x:c r="AK218" s="21" t="str">
        <x:v>缺失/待核实</x:v>
      </x:c>
    </x:row>
    <x:row r="219" ht="42" customHeight="1">
      <x:c r="A219" s="33" t="n">
        <x:v>218</x:v>
      </x:c>
      <x:c r="B219" s="33" t="str">
        <x:v>RAW-0218</x:v>
      </x:c>
      <x:c r="C219" s="36" t="str">
        <x:v>亚洲</x:v>
      </x:c>
      <x:c r="D219" s="36" t="str">
        <x:v>China</x:v>
      </x:c>
      <x:c r="E219" s="21" t="str">
        <x:v>Central, Hong Kong</x:v>
      </x:c>
      <x:c r="F219" s="21" t="str">
        <x:v>Chinachem Tower fire</x:v>
      </x:c>
      <x:c r="G219" s="39" t="n">
        <x:v>45948</x:v>
      </x:c>
      <x:c r="H219" s="21" t="str">
        <x:v>High-rise façade fire; reported floors affected: 25.</x:v>
      </x:c>
      <x:c r="I219" s="21" t="str">
        <x:v>未检索到/待核实</x:v>
      </x:c>
      <x:c r="J219" s="21" t="str">
        <x:v>façade involved; floors affected=25</x:v>
      </x:c>
      <x:c r="K219" s="21" t="str">
        <x:v>https://en.wikipedia.org/wiki/List_of_high-rise_fa%C3%A7ade_fires</x:v>
      </x:c>
      <x:c r="L219" s="27" t="n">
        <x:v>22.28299</x:v>
      </x:c>
      <x:c r="M219" s="27" t="n">
        <x:v>114.15846</x:v>
      </x:c>
      <x:c r="N219" s="21" t="str">
        <x:v>城市代表点（来源明确说明不是火场坐标）</x:v>
      </x:c>
      <x:c r="O219" s="21" t="str">
        <x:v>高层建筑火灾</x:v>
      </x:c>
      <x:c r="P219" s="21" t="str">
        <x:v>未检索到</x:v>
      </x:c>
      <x:c r="Q219" s="21" t="str">
        <x:v>未检索到</x:v>
      </x:c>
      <x:c r="R219" s="21" t="str">
        <x:v>floors affected=25</x:v>
      </x:c>
      <x:c r="S219" s="21" t="str">
        <x:v>未检索到</x:v>
      </x:c>
      <x:c r="T219" s="42" t="n">
        <x:v>0</x:v>
      </x:c>
      <x:c r="U219" s="42" t="n">
        <x:v>4</x:v>
      </x:c>
      <x:c r="V219" s="42"/>
      <x:c r="W219" s="33" t="str">
        <x:v>C</x:v>
      </x:c>
      <x:c r="X219" s="33" t="str">
        <x:v>candidate_list_membership_needs_individual_height_source</x:v>
      </x:c>
      <x:c r="Y219" s="33" t="str">
        <x:v>候选待核实</x:v>
      </x:c>
      <x:c r="Z219" s="21" t="str">
        <x:v>listed in high-rise façade fire table; affected floors are not total building floors；aggregate list is not sufficient for final inclusion; floors affected must not be mistaken for total building floors</x:v>
      </x:c>
      <x:c r="AA219" s="21" t="str">
        <x:v>Wikipedia high-rise façade list; derived from Bonner et al./news (candidate discovery)</x:v>
      </x:c>
      <x:c r="AB219" s="21" t="str">
        <x:v>批量来源代理</x:v>
      </x:c>
      <x:c r="AC219" s="21" t="str"/>
      <x:c r="AD219" s="21" t="n">
        <x:v>1</x:v>
      </x:c>
      <x:c r="AE219" s="21" t="str">
        <x:v>未检查</x:v>
      </x:c>
      <x:c r="AF219" s="21" t="str"/>
      <x:c r="AG219" s="24" t="n">
        <x:v>46260</x:v>
      </x:c>
      <x:c r="AH219" s="21" t="str"/>
      <x:c r="AI219" s="21" t="n">
        <x:v>1</x:v>
      </x:c>
      <x:c r="AJ219" s="21" t="str">
        <x:v>未评估（本事件表不建立热浪因果关系）</x:v>
      </x:c>
      <x:c r="AK219" s="21" t="str">
        <x:v>缺失/待核实</x:v>
      </x:c>
    </x:row>
    <x:row r="220" ht="42" customHeight="1">
      <x:c r="A220" s="33" t="n">
        <x:v>219</x:v>
      </x:c>
      <x:c r="B220" s="33" t="str">
        <x:v>RAW-0219</x:v>
      </x:c>
      <x:c r="C220" s="36" t="str">
        <x:v>欧洲</x:v>
      </x:c>
      <x:c r="D220" s="36" t="str">
        <x:v>Bosnia and Herzegovina</x:v>
      </x:c>
      <x:c r="E220" s="21" t="str">
        <x:v>Tuzla</x:v>
      </x:c>
      <x:c r="F220" s="21" t="str">
        <x:v>Tuzla Retirement Home fire</x:v>
      </x:c>
      <x:c r="G220" s="39" t="n">
        <x:v>45965</x:v>
      </x:c>
      <x:c r="H220" s="21" t="str">
        <x:v>Tuzla retirement home fire</x:v>
      </x:c>
      <x:c r="I220" s="21" t="str">
        <x:v>未检索到/待核实</x:v>
      </x:c>
      <x:c r="J220" s="21" t="str">
        <x:v>Tuzla retirement home fire</x:v>
      </x:c>
      <x:c r="K220" s="21" t="str">
        <x:v>https://en.wikipedia.org/wiki/List_of_fires_in_high-rise_buildings</x:v>
      </x:c>
      <x:c r="L220" s="27" t="n">
        <x:v>44.53842</x:v>
      </x:c>
      <x:c r="M220" s="27" t="n">
        <x:v>18.66709</x:v>
      </x:c>
      <x:c r="N220" s="21" t="str">
        <x:v>城市代表点（来源明确说明不是火场坐标）</x:v>
      </x:c>
      <x:c r="O220" s="21" t="str">
        <x:v>高层建筑火灾</x:v>
      </x:c>
      <x:c r="P220" s="21" t="str">
        <x:v>healthcare/care</x:v>
      </x:c>
      <x:c r="Q220" s="21" t="str">
        <x:v>未检索到</x:v>
      </x:c>
      <x:c r="R220" s="21" t="str">
        <x:v>未检索到</x:v>
      </x:c>
      <x:c r="S220" s="21" t="str">
        <x:v>未检索到</x:v>
      </x:c>
      <x:c r="T220" s="42" t="n">
        <x:v>17</x:v>
      </x:c>
      <x:c r="U220" s="42"/>
      <x:c r="V220" s="42"/>
      <x:c r="W220" s="33" t="str">
        <x:v>C</x:v>
      </x:c>
      <x:c r="X220" s="33" t="str">
        <x:v>candidate_height_or_list_membership_needs_individual_source</x:v>
      </x:c>
      <x:c r="Y220" s="33" t="str">
        <x:v>候选待核实</x:v>
      </x:c>
      <x:c r="Z220" s="21" t="str">
        <x:v>listed in high-rise fire table；aggregate list is not sufficient for final inclusion; verify height/floors and event details with cited event or building source</x:v>
      </x:c>
      <x:c r="AA220" s="21" t="str">
        <x:v>Wikipedia dynamic high-rise list (candidate discovery)</x:v>
      </x:c>
      <x:c r="AB220" s="21" t="str">
        <x:v>批量来源代理</x:v>
      </x:c>
      <x:c r="AC220" s="21" t="str"/>
      <x:c r="AD220" s="21" t="n">
        <x:v>1</x:v>
      </x:c>
      <x:c r="AE220" s="21" t="str">
        <x:v>未检查</x:v>
      </x:c>
      <x:c r="AF220" s="21" t="str"/>
      <x:c r="AG220" s="24" t="n">
        <x:v>46260</x:v>
      </x:c>
      <x:c r="AH220" s="21" t="str"/>
      <x:c r="AI220" s="21" t="n">
        <x:v>1</x:v>
      </x:c>
      <x:c r="AJ220" s="21" t="str">
        <x:v>未评估（本事件表不建立热浪因果关系）</x:v>
      </x:c>
      <x:c r="AK220" s="21" t="str">
        <x:v>缺失/待核实</x:v>
      </x:c>
    </x:row>
    <x:row r="221" ht="42" customHeight="1">
      <x:c r="A221" s="33" t="n">
        <x:v>220</x:v>
      </x:c>
      <x:c r="B221" s="33" t="str">
        <x:v>RAW-0220</x:v>
      </x:c>
      <x:c r="C221" s="36" t="str">
        <x:v>欧洲</x:v>
      </x:c>
      <x:c r="D221" s="36" t="str">
        <x:v>Croatia</x:v>
      </x:c>
      <x:c r="E221" s="21" t="str">
        <x:v>Zagreb</x:v>
      </x:c>
      <x:c r="F221" s="21" t="str">
        <x:v>Vjesnik Building fire</x:v>
      </x:c>
      <x:c r="G221" s="39" t="n">
        <x:v>45978</x:v>
      </x:c>
      <x:c r="H221" s="21" t="str">
        <x:v>Fire started at the 15th floor by high school students. The building was vacant at the time of the fire, and will be demolished.</x:v>
      </x:c>
      <x:c r="I221" s="21" t="str">
        <x:v>未检索到/待核实</x:v>
      </x:c>
      <x:c r="J221" s="21" t="str">
        <x:v>Fire started at the 15th floor by high school students. The building was vacant at the time of the fire, and will be demolished.</x:v>
      </x:c>
      <x:c r="K221" s="21" t="str">
        <x:v>https://en.wikipedia.org/wiki/List_of_fires_in_high-rise_buildings</x:v>
      </x:c>
      <x:c r="L221" s="27" t="n">
        <x:v>45.81444</x:v>
      </x:c>
      <x:c r="M221" s="27" t="n">
        <x:v>15.97798</x:v>
      </x:c>
      <x:c r="N221" s="21" t="str">
        <x:v>城市代表点（来源明确说明不是火场坐标）</x:v>
      </x:c>
      <x:c r="O221" s="21" t="str">
        <x:v>高层建筑火灾</x:v>
      </x:c>
      <x:c r="P221" s="21" t="str">
        <x:v>education</x:v>
      </x:c>
      <x:c r="Q221" s="21" t="str">
        <x:v>未检索到</x:v>
      </x:c>
      <x:c r="R221" s="21" t="str">
        <x:v>未检索到</x:v>
      </x:c>
      <x:c r="S221" s="21" t="str">
        <x:v>vacant</x:v>
      </x:c>
      <x:c r="T221" s="42" t="n">
        <x:v>0</x:v>
      </x:c>
      <x:c r="U221" s="42"/>
      <x:c r="V221" s="42"/>
      <x:c r="W221" s="33" t="str">
        <x:v>C</x:v>
      </x:c>
      <x:c r="X221" s="33" t="str">
        <x:v>candidate_height_or_list_membership_needs_individual_source</x:v>
      </x:c>
      <x:c r="Y221" s="33" t="str">
        <x:v>候选待核实</x:v>
      </x:c>
      <x:c r="Z221" s="21" t="str">
        <x:v>listed in high-rise fire table；aggregate list is not sufficient for final inclusion; verify height/floors and event details with cited event or building source</x:v>
      </x:c>
      <x:c r="AA221" s="21" t="str">
        <x:v>Wikipedia dynamic high-rise list (candidate discovery)</x:v>
      </x:c>
      <x:c r="AB221" s="21" t="str">
        <x:v>批量来源代理</x:v>
      </x:c>
      <x:c r="AC221" s="21" t="str"/>
      <x:c r="AD221" s="21" t="n">
        <x:v>1</x:v>
      </x:c>
      <x:c r="AE221" s="21" t="str">
        <x:v>未检查</x:v>
      </x:c>
      <x:c r="AF221" s="21" t="str"/>
      <x:c r="AG221" s="24" t="n">
        <x:v>46260</x:v>
      </x:c>
      <x:c r="AH221" s="21" t="str"/>
      <x:c r="AI221" s="21" t="n">
        <x:v>1</x:v>
      </x:c>
      <x:c r="AJ221" s="21" t="str">
        <x:v>未评估（本事件表不建立热浪因果关系）</x:v>
      </x:c>
      <x:c r="AK221" s="21" t="str">
        <x:v>缺失/待核实</x:v>
      </x:c>
    </x:row>
    <x:row r="222" ht="42" customHeight="1">
      <x:c r="A222" s="33" t="n">
        <x:v>221</x:v>
      </x:c>
      <x:c r="B222" s="33" t="str">
        <x:v>RAW-0221</x:v>
      </x:c>
      <x:c r="C222" s="36" t="str">
        <x:v>亚洲</x:v>
      </x:c>
      <x:c r="D222" s="36" t="str">
        <x:v>China</x:v>
      </x:c>
      <x:c r="E222" s="21" t="str">
        <x:v>Hong Kong</x:v>
      </x:c>
      <x:c r="F222" s="21" t="str">
        <x:v>Wang Fuk Court fire</x:v>
      </x:c>
      <x:c r="G222" s="39" t="n">
        <x:v>45987</x:v>
      </x:c>
      <x:c r="H222" s="21" t="str">
        <x:v>High-rise façade fire; reported floors affected: 32.</x:v>
      </x:c>
      <x:c r="I222" s="21" t="str">
        <x:v>未检索到/待核实</x:v>
      </x:c>
      <x:c r="J222" s="21" t="str">
        <x:v>façade involved; floors affected=32</x:v>
      </x:c>
      <x:c r="K222" s="21" t="str">
        <x:v>https://en.wikipedia.org/wiki/List_of_high-rise_fa%C3%A7ade_fires</x:v>
      </x:c>
      <x:c r="L222" s="27"/>
      <x:c r="M222" s="27"/>
      <x:c r="N222" s="21" t="str">
        <x:v>未提供坐标</x:v>
      </x:c>
      <x:c r="O222" s="21" t="str">
        <x:v>高层建筑火灾</x:v>
      </x:c>
      <x:c r="P222" s="21" t="str">
        <x:v>未检索到</x:v>
      </x:c>
      <x:c r="Q222" s="21" t="str">
        <x:v>未检索到</x:v>
      </x:c>
      <x:c r="R222" s="21" t="str">
        <x:v>floors affected=32</x:v>
      </x:c>
      <x:c r="S222" s="21" t="str">
        <x:v>未检索到</x:v>
      </x:c>
      <x:c r="T222" s="42" t="n">
        <x:v>168</x:v>
      </x:c>
      <x:c r="U222" s="42" t="n">
        <x:v>79</x:v>
      </x:c>
      <x:c r="V222" s="42"/>
      <x:c r="W222" s="33" t="str">
        <x:v>C</x:v>
      </x:c>
      <x:c r="X222" s="33" t="str">
        <x:v>candidate_list_membership_needs_individual_height_source</x:v>
      </x:c>
      <x:c r="Y222" s="33" t="str">
        <x:v>候选待核实</x:v>
      </x:c>
      <x:c r="Z222" s="21" t="str">
        <x:v>listed in high-rise façade fire table; affected floors are not total building floors；aggregate list is not sufficient for final inclusion; floors affected must not be mistaken for total building floors</x:v>
      </x:c>
      <x:c r="AA222" s="21" t="str">
        <x:v>Wikipedia high-rise façade list; derived from Bonner et al./news (candidate discovery)</x:v>
      </x:c>
      <x:c r="AB222" s="21" t="str">
        <x:v>批量来源代理</x:v>
      </x:c>
      <x:c r="AC222" s="21" t="str"/>
      <x:c r="AD222" s="21" t="n">
        <x:v>1</x:v>
      </x:c>
      <x:c r="AE222" s="21" t="str">
        <x:v>未检查</x:v>
      </x:c>
      <x:c r="AF222" s="21" t="str"/>
      <x:c r="AG222" s="24" t="n">
        <x:v>46260</x:v>
      </x:c>
      <x:c r="AH222" s="21" t="str"/>
      <x:c r="AI222" s="21" t="n">
        <x:v>1</x:v>
      </x:c>
      <x:c r="AJ222" s="21" t="str">
        <x:v>未评估（本事件表不建立热浪因果关系）</x:v>
      </x:c>
      <x:c r="AK222" s="21" t="str">
        <x:v>缺失/待核实</x:v>
      </x:c>
    </x:row>
    <x:row r="223" ht="42" customHeight="1">
      <x:c r="A223" s="33" t="n">
        <x:v>222</x:v>
      </x:c>
      <x:c r="B223" s="33" t="str">
        <x:v>RAW-0222</x:v>
      </x:c>
      <x:c r="C223" s="36" t="str">
        <x:v>北美洲</x:v>
      </x:c>
      <x:c r="D223" s="36" t="str">
        <x:v>Canada</x:v>
      </x:c>
      <x:c r="E223" s="21" t="str">
        <x:v>Toronto</x:v>
      </x:c>
      <x:c r="F223" s="21" t="str">
        <x:v>11 Thorncliffe Park Drive fire</x:v>
      </x:c>
      <x:c r="G223" s="39" t="n">
        <x:v>45988</x:v>
      </x:c>
      <x:c r="H223" s="21" t="str">
        <x:v>Stubborn 5-alarm fire burning inside walls and electrical conduit. All 408 units evacuated.</x:v>
      </x:c>
      <x:c r="I223" s="21" t="str">
        <x:v>未检索到/待核实</x:v>
      </x:c>
      <x:c r="J223" s="21" t="str">
        <x:v>Stubborn 5-alarm fire burning inside walls and electrical conduit. All 408 units evacuated.</x:v>
      </x:c>
      <x:c r="K223" s="21" t="str">
        <x:v>https://en.wikipedia.org/wiki/List_of_fires_in_high-rise_buildings</x:v>
      </x:c>
      <x:c r="L223" s="27" t="n">
        <x:v>43.70643</x:v>
      </x:c>
      <x:c r="M223" s="27" t="n">
        <x:v>-79.39864</x:v>
      </x:c>
      <x:c r="N223" s="21" t="str">
        <x:v>城市代表点（来源明确说明不是火场坐标）</x:v>
      </x:c>
      <x:c r="O223" s="21" t="str">
        <x:v>高层建筑火灾</x:v>
      </x:c>
      <x:c r="P223" s="21" t="str">
        <x:v>未检索到</x:v>
      </x:c>
      <x:c r="Q223" s="21" t="str">
        <x:v>未检索到</x:v>
      </x:c>
      <x:c r="R223" s="21" t="str">
        <x:v>未检索到</x:v>
      </x:c>
      <x:c r="S223" s="21" t="str">
        <x:v>未检索到</x:v>
      </x:c>
      <x:c r="T223" s="42" t="n">
        <x:v>0</x:v>
      </x:c>
      <x:c r="U223" s="42"/>
      <x:c r="V223" s="42"/>
      <x:c r="W223" s="33" t="str">
        <x:v>C</x:v>
      </x:c>
      <x:c r="X223" s="33" t="str">
        <x:v>candidate_height_or_list_membership_needs_individual_source</x:v>
      </x:c>
      <x:c r="Y223" s="33" t="str">
        <x:v>候选待核实</x:v>
      </x:c>
      <x:c r="Z223" s="21" t="str">
        <x:v>listed in high-rise fire table；aggregate list is not sufficient for final inclusion; verify height/floors and event details with cited event or building source</x:v>
      </x:c>
      <x:c r="AA223" s="21" t="str">
        <x:v>Wikipedia dynamic high-rise list (candidate discovery)</x:v>
      </x:c>
      <x:c r="AB223" s="21" t="str">
        <x:v>批量来源代理</x:v>
      </x:c>
      <x:c r="AC223" s="21" t="str"/>
      <x:c r="AD223" s="21" t="n">
        <x:v>1</x:v>
      </x:c>
      <x:c r="AE223" s="21" t="str">
        <x:v>未检查</x:v>
      </x:c>
      <x:c r="AF223" s="21" t="str"/>
      <x:c r="AG223" s="24" t="n">
        <x:v>46260</x:v>
      </x:c>
      <x:c r="AH223" s="21" t="str"/>
      <x:c r="AI223" s="21" t="n">
        <x:v>1</x:v>
      </x:c>
      <x:c r="AJ223" s="21" t="str">
        <x:v>未评估（本事件表不建立热浪因果关系）</x:v>
      </x:c>
      <x:c r="AK223" s="21" t="str">
        <x:v>缺失/待核实</x:v>
      </x:c>
    </x:row>
    <x:row r="224" ht="42" customHeight="1">
      <x:c r="A224" s="33" t="n">
        <x:v>223</x:v>
      </x:c>
      <x:c r="B224" s="33" t="str">
        <x:v>RAW-0223</x:v>
      </x:c>
      <x:c r="C224" s="36" t="str">
        <x:v>亚洲</x:v>
      </x:c>
      <x:c r="D224" s="36" t="str">
        <x:v>Bahrain</x:v>
      </x:c>
      <x:c r="E224" s="21" t="str">
        <x:v>Manama</x:v>
      </x:c>
      <x:c r="F224" s="21" t="str">
        <x:v>Era View Tower fire</x:v>
      </x:c>
      <x:c r="G224" s="39" t="n">
        <x:v>46081</x:v>
      </x:c>
      <x:c r="H224" s="21" t="str">
        <x:v>Fire following an Iranian suicide drone attack</x:v>
      </x:c>
      <x:c r="I224" s="21" t="str">
        <x:v>conflict-related attack</x:v>
      </x:c>
      <x:c r="J224" s="21" t="str">
        <x:v>Fire following an Iranian suicide drone attack</x:v>
      </x:c>
      <x:c r="K224" s="21" t="str">
        <x:v>https://en.wikipedia.org/wiki/List_of_fires_in_high-rise_buildings</x:v>
      </x:c>
      <x:c r="L224" s="27" t="n">
        <x:v>26.22787</x:v>
      </x:c>
      <x:c r="M224" s="27" t="n">
        <x:v>50.58565</x:v>
      </x:c>
      <x:c r="N224" s="21" t="str">
        <x:v>城市代表点（来源明确说明不是火场坐标）</x:v>
      </x:c>
      <x:c r="O224" s="21" t="str">
        <x:v>高层建筑火灾</x:v>
      </x:c>
      <x:c r="P224" s="21" t="str">
        <x:v>未检索到</x:v>
      </x:c>
      <x:c r="Q224" s="21" t="str">
        <x:v>未检索到</x:v>
      </x:c>
      <x:c r="R224" s="21" t="str">
        <x:v>未检索到</x:v>
      </x:c>
      <x:c r="S224" s="21" t="str">
        <x:v>未检索到</x:v>
      </x:c>
      <x:c r="T224" s="42" t="n">
        <x:v>0</x:v>
      </x:c>
      <x:c r="U224" s="42"/>
      <x:c r="V224" s="42"/>
      <x:c r="W224" s="33" t="str">
        <x:v>C</x:v>
      </x:c>
      <x:c r="X224" s="33" t="str">
        <x:v>candidate_height_or_list_membership_needs_individual_source</x:v>
      </x:c>
      <x:c r="Y224" s="33" t="str">
        <x:v>候选待核实</x:v>
      </x:c>
      <x:c r="Z224" s="21" t="str">
        <x:v>listed in high-rise fire table；aggregate list is not sufficient for final inclusion; verify height/floors and event details with cited event or building source</x:v>
      </x:c>
      <x:c r="AA224" s="21" t="str">
        <x:v>Wikipedia dynamic high-rise list (candidate discovery)</x:v>
      </x:c>
      <x:c r="AB224" s="21" t="str">
        <x:v>批量来源代理</x:v>
      </x:c>
      <x:c r="AC224" s="21" t="str"/>
      <x:c r="AD224" s="21" t="n">
        <x:v>1</x:v>
      </x:c>
      <x:c r="AE224" s="21" t="str">
        <x:v>未检查</x:v>
      </x:c>
      <x:c r="AF224" s="21" t="str"/>
      <x:c r="AG224" s="24" t="n">
        <x:v>46260</x:v>
      </x:c>
      <x:c r="AH224" s="21" t="str"/>
      <x:c r="AI224" s="21" t="n">
        <x:v>1</x:v>
      </x:c>
      <x:c r="AJ224" s="21" t="str">
        <x:v>未评估（本事件表不建立热浪因果关系）</x:v>
      </x:c>
      <x:c r="AK224" s="21" t="str">
        <x:v>已有来源描述</x:v>
      </x:c>
    </x:row>
    <x:row r="225" ht="42" customHeight="1">
      <x:c r="A225" s="33" t="n">
        <x:v>224</x:v>
      </x:c>
      <x:c r="B225" s="33" t="str">
        <x:v>RAW-0224</x:v>
      </x:c>
      <x:c r="C225" s="36" t="str">
        <x:v>亚洲</x:v>
      </x:c>
      <x:c r="D225" s="36" t="str">
        <x:v>United Arab Emirates</x:v>
      </x:c>
      <x:c r="E225" s="21" t="str">
        <x:v>Dubai</x:v>
      </x:c>
      <x:c r="F225" s="21" t="str">
        <x:v>Burj Al Arab fire</x:v>
      </x:c>
      <x:c r="G225" s="39" t="n">
        <x:v>46082</x:v>
      </x:c>
      <x:c r="H225" s="21" t="str">
        <x:v>Fire following an Iranian suicide drone attack</x:v>
      </x:c>
      <x:c r="I225" s="21" t="str">
        <x:v>conflict-related attack</x:v>
      </x:c>
      <x:c r="J225" s="21" t="str">
        <x:v>Fire following an Iranian suicide drone attack</x:v>
      </x:c>
      <x:c r="K225" s="21" t="str">
        <x:v>https://en.wikipedia.org/wiki/List_of_fires_in_high-rise_buildings</x:v>
      </x:c>
      <x:c r="L225" s="27" t="n">
        <x:v>25.07725</x:v>
      </x:c>
      <x:c r="M225" s="27" t="n">
        <x:v>55.30927</x:v>
      </x:c>
      <x:c r="N225" s="21" t="str">
        <x:v>城市代表点（来源明确说明不是火场坐标）</x:v>
      </x:c>
      <x:c r="O225" s="21" t="str">
        <x:v>高层建筑火灾</x:v>
      </x:c>
      <x:c r="P225" s="21" t="str">
        <x:v>未检索到</x:v>
      </x:c>
      <x:c r="Q225" s="21" t="str">
        <x:v>321 m</x:v>
      </x:c>
      <x:c r="R225" s="21" t="str">
        <x:v>未检索到</x:v>
      </x:c>
      <x:c r="S225" s="21" t="str">
        <x:v>未检索到</x:v>
      </x:c>
      <x:c r="T225" s="42" t="n">
        <x:v>0</x:v>
      </x:c>
      <x:c r="U225" s="42"/>
      <x:c r="V225" s="42"/>
      <x:c r="W225" s="33" t="str">
        <x:v>C</x:v>
      </x:c>
      <x:c r="X225" s="33" t="str">
        <x:v>candidate_height_or_list_membership_needs_individual_source</x:v>
      </x:c>
      <x:c r="Y225" s="33" t="str">
        <x:v>候选待核实</x:v>
      </x:c>
      <x:c r="Z225" s="21" t="str">
        <x:v>height=321 m; listed in high-rise fire table；aggregate list is not sufficient for final inclusion; verify height/floors and event details with cited event or building source</x:v>
      </x:c>
      <x:c r="AA225" s="21" t="str">
        <x:v>Wikipedia dynamic high-rise list (candidate discovery)</x:v>
      </x:c>
      <x:c r="AB225" s="21" t="str">
        <x:v>批量来源代理</x:v>
      </x:c>
      <x:c r="AC225" s="21" t="str"/>
      <x:c r="AD225" s="21" t="n">
        <x:v>1</x:v>
      </x:c>
      <x:c r="AE225" s="21" t="str">
        <x:v>未检查</x:v>
      </x:c>
      <x:c r="AF225" s="21" t="str"/>
      <x:c r="AG225" s="24" t="n">
        <x:v>46260</x:v>
      </x:c>
      <x:c r="AH225" s="21" t="str"/>
      <x:c r="AI225" s="21" t="n">
        <x:v>1</x:v>
      </x:c>
      <x:c r="AJ225" s="21" t="str">
        <x:v>未评估（本事件表不建立热浪因果关系）</x:v>
      </x:c>
      <x:c r="AK225" s="21" t="str">
        <x:v>已有来源描述</x:v>
      </x:c>
    </x:row>
    <x:row r="226" ht="42" customHeight="1">
      <x:c r="A226" s="33" t="n">
        <x:v>225</x:v>
      </x:c>
      <x:c r="B226" s="33" t="str">
        <x:v>RAW-0225</x:v>
      </x:c>
      <x:c r="C226" s="36" t="str">
        <x:v>亚洲</x:v>
      </x:c>
      <x:c r="D226" s="36" t="str">
        <x:v>Kuwait</x:v>
      </x:c>
      <x:c r="E226" s="21" t="str">
        <x:v>Kuwait City</x:v>
      </x:c>
      <x:c r="F226" s="21" t="str">
        <x:v>PIFSS Headquarters fire</x:v>
      </x:c>
      <x:c r="G226" s="39" t="n">
        <x:v>46089</x:v>
      </x:c>
      <x:c r="H226" s="21" t="str">
        <x:v>Fire following an Iranian suicide drone attack</x:v>
      </x:c>
      <x:c r="I226" s="21" t="str">
        <x:v>conflict-related attack</x:v>
      </x:c>
      <x:c r="J226" s="21" t="str">
        <x:v>Fire following an Iranian suicide drone attack</x:v>
      </x:c>
      <x:c r="K226" s="21" t="str">
        <x:v>https://en.wikipedia.org/wiki/List_of_fires_in_high-rise_buildings</x:v>
      </x:c>
      <x:c r="L226" s="27" t="n">
        <x:v>29.367</x:v>
      </x:c>
      <x:c r="M226" s="27" t="n">
        <x:v>47.97429</x:v>
      </x:c>
      <x:c r="N226" s="21" t="str">
        <x:v>城市代表点（来源明确说明不是火场坐标）</x:v>
      </x:c>
      <x:c r="O226" s="21" t="str">
        <x:v>高层建筑火灾</x:v>
      </x:c>
      <x:c r="P226" s="21" t="str">
        <x:v>office/government</x:v>
      </x:c>
      <x:c r="Q226" s="21" t="str">
        <x:v>未检索到</x:v>
      </x:c>
      <x:c r="R226" s="21" t="str">
        <x:v>未检索到</x:v>
      </x:c>
      <x:c r="S226" s="21" t="str">
        <x:v>未检索到</x:v>
      </x:c>
      <x:c r="T226" s="42" t="n">
        <x:v>0</x:v>
      </x:c>
      <x:c r="U226" s="42"/>
      <x:c r="V226" s="42"/>
      <x:c r="W226" s="33" t="str">
        <x:v>C</x:v>
      </x:c>
      <x:c r="X226" s="33" t="str">
        <x:v>candidate_height_or_list_membership_needs_individual_source</x:v>
      </x:c>
      <x:c r="Y226" s="33" t="str">
        <x:v>候选待核实</x:v>
      </x:c>
      <x:c r="Z226" s="21" t="str">
        <x:v>listed in high-rise fire table；aggregate list is not sufficient for final inclusion; verify height/floors and event details with cited event or building source</x:v>
      </x:c>
      <x:c r="AA226" s="21" t="str">
        <x:v>Wikipedia dynamic high-rise list (candidate discovery)</x:v>
      </x:c>
      <x:c r="AB226" s="21" t="str">
        <x:v>批量来源代理</x:v>
      </x:c>
      <x:c r="AC226" s="21" t="str"/>
      <x:c r="AD226" s="21" t="n">
        <x:v>1</x:v>
      </x:c>
      <x:c r="AE226" s="21" t="str">
        <x:v>未检查</x:v>
      </x:c>
      <x:c r="AF226" s="21" t="str"/>
      <x:c r="AG226" s="24" t="n">
        <x:v>46260</x:v>
      </x:c>
      <x:c r="AH226" s="21" t="str"/>
      <x:c r="AI226" s="21" t="n">
        <x:v>1</x:v>
      </x:c>
      <x:c r="AJ226" s="21" t="str">
        <x:v>未评估（本事件表不建立热浪因果关系）</x:v>
      </x:c>
      <x:c r="AK226" s="21" t="str">
        <x:v>已有来源描述</x:v>
      </x:c>
    </x:row>
    <x:row r="227" ht="42" customHeight="1">
      <x:c r="A227" s="33" t="n">
        <x:v>226</x:v>
      </x:c>
      <x:c r="B227" s="33" t="str">
        <x:v>RAW-0226</x:v>
      </x:c>
      <x:c r="C227" s="36" t="str">
        <x:v>亚洲</x:v>
      </x:c>
      <x:c r="D227" s="36" t="str">
        <x:v>United Arab Emirates</x:v>
      </x:c>
      <x:c r="E227" s="21" t="str">
        <x:v>Dubai</x:v>
      </x:c>
      <x:c r="F227" s="21" t="str">
        <x:v>Address Grand Creek Harbour Tower 2 fire</x:v>
      </x:c>
      <x:c r="G227" s="39" t="n">
        <x:v>46092</x:v>
      </x:c>
      <x:c r="H227" s="21" t="str">
        <x:v>Fire following an Iranian suicide drone attack</x:v>
      </x:c>
      <x:c r="I227" s="21" t="str">
        <x:v>conflict-related attack</x:v>
      </x:c>
      <x:c r="J227" s="21" t="str">
        <x:v>Fire following an Iranian suicide drone attack</x:v>
      </x:c>
      <x:c r="K227" s="21" t="str">
        <x:v>https://en.wikipedia.org/wiki/List_of_fires_in_high-rise_buildings</x:v>
      </x:c>
      <x:c r="L227" s="27" t="n">
        <x:v>25.07725</x:v>
      </x:c>
      <x:c r="M227" s="27" t="n">
        <x:v>55.30927</x:v>
      </x:c>
      <x:c r="N227" s="21" t="str">
        <x:v>城市代表点（来源明确说明不是火场坐标）</x:v>
      </x:c>
      <x:c r="O227" s="21" t="str">
        <x:v>高层建筑火灾</x:v>
      </x:c>
      <x:c r="P227" s="21" t="str">
        <x:v>未检索到</x:v>
      </x:c>
      <x:c r="Q227" s="21" t="str">
        <x:v>266 m</x:v>
      </x:c>
      <x:c r="R227" s="21" t="str">
        <x:v>未检索到</x:v>
      </x:c>
      <x:c r="S227" s="21" t="str">
        <x:v>未检索到</x:v>
      </x:c>
      <x:c r="T227" s="42" t="n">
        <x:v>0</x:v>
      </x:c>
      <x:c r="U227" s="42"/>
      <x:c r="V227" s="42"/>
      <x:c r="W227" s="33" t="str">
        <x:v>C</x:v>
      </x:c>
      <x:c r="X227" s="33" t="str">
        <x:v>candidate_height_or_list_membership_needs_individual_source</x:v>
      </x:c>
      <x:c r="Y227" s="33" t="str">
        <x:v>候选待核实</x:v>
      </x:c>
      <x:c r="Z227" s="21" t="str">
        <x:v>height=266 m; listed in high-rise fire table；aggregate list is not sufficient for final inclusion; verify height/floors and event details with cited event or building source</x:v>
      </x:c>
      <x:c r="AA227" s="21" t="str">
        <x:v>Wikipedia dynamic high-rise list (candidate discovery)</x:v>
      </x:c>
      <x:c r="AB227" s="21" t="str">
        <x:v>批量来源代理</x:v>
      </x:c>
      <x:c r="AC227" s="21" t="str"/>
      <x:c r="AD227" s="21" t="n">
        <x:v>1</x:v>
      </x:c>
      <x:c r="AE227" s="21" t="str">
        <x:v>未检查</x:v>
      </x:c>
      <x:c r="AF227" s="21" t="str"/>
      <x:c r="AG227" s="24" t="n">
        <x:v>46260</x:v>
      </x:c>
      <x:c r="AH227" s="21" t="str"/>
      <x:c r="AI227" s="21" t="n">
        <x:v>1</x:v>
      </x:c>
      <x:c r="AJ227" s="21" t="str">
        <x:v>未评估（本事件表不建立热浪因果关系）</x:v>
      </x:c>
      <x:c r="AK227" s="21" t="str">
        <x:v>已有来源描述</x:v>
      </x:c>
    </x:row>
    <x:row r="228" ht="42" customHeight="1">
      <x:c r="A228" s="33" t="n">
        <x:v>227</x:v>
      </x:c>
      <x:c r="B228" s="33" t="str">
        <x:v>RAW-0227</x:v>
      </x:c>
      <x:c r="C228" s="36" t="str">
        <x:v>北美洲</x:v>
      </x:c>
      <x:c r="D228" s="36" t="str">
        <x:v>United States</x:v>
      </x:c>
      <x:c r="E228" s="21" t="str">
        <x:v>New York City</x:v>
      </x:c>
      <x:c r="F228" s="21" t="str">
        <x:v>6 East 43rd Street fire</x:v>
      </x:c>
      <x:c r="G228" s="39" t="n">
        <x:v>46098</x:v>
      </x:c>
      <x:c r="H228" s="21" t="str">
        <x:v>Fire started in an HVAC system on the roof. Building was in the New York City St. Patrick's Day Parade's route.</x:v>
      </x:c>
      <x:c r="I228" s="21" t="str">
        <x:v>HVAC system fire</x:v>
      </x:c>
      <x:c r="J228" s="21" t="str">
        <x:v>Fire started in an HVAC system on the roof. Building was in the New York City St. Patrick's Day Parade's route.</x:v>
      </x:c>
      <x:c r="K228" s="21" t="str">
        <x:v>https://en.wikipedia.org/wiki/List_of_fires_in_high-rise_buildings</x:v>
      </x:c>
      <x:c r="L228" s="27" t="n">
        <x:v>40.71427</x:v>
      </x:c>
      <x:c r="M228" s="27" t="n">
        <x:v>-74.00597</x:v>
      </x:c>
      <x:c r="N228" s="21" t="str">
        <x:v>城市代表点（来源明确说明不是火场坐标）</x:v>
      </x:c>
      <x:c r="O228" s="21" t="str">
        <x:v>高层建筑火灾</x:v>
      </x:c>
      <x:c r="P228" s="21" t="str">
        <x:v>未检索到</x:v>
      </x:c>
      <x:c r="Q228" s="21" t="str">
        <x:v>未检索到</x:v>
      </x:c>
      <x:c r="R228" s="21" t="str">
        <x:v>未检索到</x:v>
      </x:c>
      <x:c r="S228" s="21" t="str">
        <x:v>未检索到</x:v>
      </x:c>
      <x:c r="T228" s="42" t="n">
        <x:v>0</x:v>
      </x:c>
      <x:c r="U228" s="42"/>
      <x:c r="V228" s="42"/>
      <x:c r="W228" s="33" t="str">
        <x:v>C</x:v>
      </x:c>
      <x:c r="X228" s="33" t="str">
        <x:v>candidate_height_or_list_membership_needs_individual_source</x:v>
      </x:c>
      <x:c r="Y228" s="33" t="str">
        <x:v>候选待核实</x:v>
      </x:c>
      <x:c r="Z228" s="21" t="str">
        <x:v>listed in high-rise fire table；aggregate list is not sufficient for final inclusion; verify height/floors and event details with cited event or building source</x:v>
      </x:c>
      <x:c r="AA228" s="21" t="str">
        <x:v>Wikipedia dynamic high-rise list (candidate discovery)</x:v>
      </x:c>
      <x:c r="AB228" s="21" t="str">
        <x:v>批量来源代理</x:v>
      </x:c>
      <x:c r="AC228" s="21" t="str"/>
      <x:c r="AD228" s="21" t="n">
        <x:v>1</x:v>
      </x:c>
      <x:c r="AE228" s="21" t="str">
        <x:v>未检查</x:v>
      </x:c>
      <x:c r="AF228" s="21" t="str"/>
      <x:c r="AG228" s="24" t="n">
        <x:v>46260</x:v>
      </x:c>
      <x:c r="AH228" s="21" t="str"/>
      <x:c r="AI228" s="21" t="n">
        <x:v>1</x:v>
      </x:c>
      <x:c r="AJ228" s="21" t="str">
        <x:v>未评估（本事件表不建立热浪因果关系）</x:v>
      </x:c>
      <x:c r="AK228" s="21" t="str">
        <x:v>已有来源描述</x:v>
      </x:c>
    </x:row>
    <x:row r="229" ht="42" customHeight="1">
      <x:c r="A229" s="33" t="n">
        <x:v>228</x:v>
      </x:c>
      <x:c r="B229" s="33" t="str">
        <x:v>RAW-0228</x:v>
      </x:c>
      <x:c r="C229" s="36" t="str">
        <x:v>未判定</x:v>
      </x:c>
      <x:c r="D229" s="36" t="str">
        <x:v>未判定</x:v>
      </x:c>
      <x:c r="E229" s="21" t="str">
        <x:v>未检索到</x:v>
      </x:c>
      <x:c r="F229" s="21" t="str">
        <x:v>2009 Lakanal House tower block fire</x:v>
      </x:c>
      <x:c r="G229" s="39" t="n">
        <x:v>39997</x:v>
      </x:c>
      <x:c r="H229" s="21" t="str">
        <x:v>July 3 – 2009 Lakanal House tower block fire in Camberwell, London, killed six.</x:v>
      </x:c>
      <x:c r="I229" s="21" t="str">
        <x:v>未检索到/待核实</x:v>
      </x:c>
      <x:c r="J229" s="21" t="str">
        <x:v>July 3 – 2009 Lakanal House tower block fire in Camberwell, London, killed six.</x:v>
      </x:c>
      <x:c r="K229" s="21" t="str">
        <x:v>https://en.wikipedia.org/wiki/2009_Lakanal_House_tower_block_fire</x:v>
      </x:c>
      <x:c r="L229" s="27"/>
      <x:c r="M229" s="27"/>
      <x:c r="N229" s="21" t="str">
        <x:v>未提供坐标</x:v>
      </x:c>
      <x:c r="O229" s="21" t="str">
        <x:v>建筑/结构火灾</x:v>
      </x:c>
      <x:c r="P229" s="21" t="str">
        <x:v>未检索到</x:v>
      </x:c>
      <x:c r="Q229" s="21" t="str">
        <x:v>未检索到</x:v>
      </x:c>
      <x:c r="R229" s="21" t="str">
        <x:v>未检索到</x:v>
      </x:c>
      <x:c r="S229" s="21" t="str">
        <x:v>未检索到</x:v>
      </x:c>
      <x:c r="T229" s="42"/>
      <x:c r="U229" s="42"/>
      <x:c r="V229" s="42"/>
      <x:c r="W229" s="33" t="str">
        <x:v>B</x:v>
      </x:c>
      <x:c r="X229" s="33" t="str">
        <x:v>candidate_needs_highrise_confirmation</x:v>
      </x:c>
      <x:c r="Y229" s="33" t="str">
        <x:v>候选待核实</x:v>
      </x:c>
      <x:c r="Z229" s="21" t="str">
        <x:v>候选：Wikipedia具名事件页；仍需确认高层属性</x:v>
      </x:c>
      <x:c r="AA229" s="21" t="str">
        <x:v>List of building or structure fires</x:v>
      </x:c>
      <x:c r="AB229" s="21" t="str">
        <x:v>Wikipedia专题列表</x:v>
      </x:c>
      <x:c r="AC229" s="21" t="str"/>
      <x:c r="AD229" s="21" t="n">
        <x:v>1</x:v>
      </x:c>
      <x:c r="AE229" s="21" t="str">
        <x:v>未检查</x:v>
      </x:c>
      <x:c r="AF229" s="21" t="str"/>
      <x:c r="AG229" s="24" t="n">
        <x:v>46260</x:v>
      </x:c>
      <x:c r="AH229" s="21" t="str"/>
      <x:c r="AI229" s="21" t="n">
        <x:v>1</x:v>
      </x:c>
      <x:c r="AJ229" s="21" t="str">
        <x:v>未评估（本事件表不建立热浪因果关系）</x:v>
      </x:c>
      <x:c r="AK229" s="21" t="str">
        <x:v>缺失/待核实</x:v>
      </x:c>
    </x:row>
    <x:row r="230" ht="42" customHeight="1">
      <x:c r="A230" s="33" t="n">
        <x:v>229</x:v>
      </x:c>
      <x:c r="B230" s="33" t="str">
        <x:v>RAW-0229</x:v>
      </x:c>
      <x:c r="C230" s="36" t="str">
        <x:v>亚洲</x:v>
      </x:c>
      <x:c r="D230" s="36" t="str">
        <x:v>China</x:v>
      </x:c>
      <x:c r="E230" s="21" t="str">
        <x:v>未检索到</x:v>
      </x:c>
      <x:c r="F230" s="21" t="str">
        <x:v>2010 Shanghai fire</x:v>
      </x:c>
      <x:c r="G230" s="39" t="n">
        <x:v>40497</x:v>
      </x:c>
      <x:c r="H230" s="21" t="str">
        <x:v>November 15 – 2010 Shanghai fire, China, high-rise apartment building fire killed at least 53.</x:v>
      </x:c>
      <x:c r="I230" s="21" t="str">
        <x:v>未检索到/待核实</x:v>
      </x:c>
      <x:c r="J230" s="21" t="str">
        <x:v>November 15 – 2010 Shanghai fire, China, high-rise apartment building fire killed at least 53.</x:v>
      </x:c>
      <x:c r="K230" s="21" t="str">
        <x:v>https://en.wikipedia.org/wiki/2010_Shanghai_fire</x:v>
      </x:c>
      <x:c r="L230" s="27"/>
      <x:c r="M230" s="27"/>
      <x:c r="N230" s="21" t="str">
        <x:v>未提供坐标</x:v>
      </x:c>
      <x:c r="O230" s="21" t="str">
        <x:v>建筑/结构火灾</x:v>
      </x:c>
      <x:c r="P230" s="21" t="str">
        <x:v>未检索到</x:v>
      </x:c>
      <x:c r="Q230" s="21" t="str">
        <x:v>未检索到</x:v>
      </x:c>
      <x:c r="R230" s="21" t="str">
        <x:v>未检索到</x:v>
      </x:c>
      <x:c r="S230" s="21" t="str">
        <x:v>未检索到</x:v>
      </x:c>
      <x:c r="T230" s="42" t="n">
        <x:v>53</x:v>
      </x:c>
      <x:c r="U230" s="42"/>
      <x:c r="V230" s="42"/>
      <x:c r="W230" s="33" t="str">
        <x:v>B</x:v>
      </x:c>
      <x:c r="X230" s="33" t="str">
        <x:v>candidate_needs_highrise_confirmation</x:v>
      </x:c>
      <x:c r="Y230" s="33" t="str">
        <x:v>候选待核实</x:v>
      </x:c>
      <x:c r="Z230" s="21" t="str">
        <x:v>候选：Wikipedia具名事件页；仍需确认高层属性</x:v>
      </x:c>
      <x:c r="AA230" s="21" t="str">
        <x:v>List of building or structure fires</x:v>
      </x:c>
      <x:c r="AB230" s="21" t="str">
        <x:v>Wikipedia专题列表</x:v>
      </x:c>
      <x:c r="AC230" s="21" t="str"/>
      <x:c r="AD230" s="21" t="n">
        <x:v>1</x:v>
      </x:c>
      <x:c r="AE230" s="21" t="str">
        <x:v>未检查</x:v>
      </x:c>
      <x:c r="AF230" s="21" t="str"/>
      <x:c r="AG230" s="24" t="n">
        <x:v>46260</x:v>
      </x:c>
      <x:c r="AH230" s="21" t="str"/>
      <x:c r="AI230" s="21" t="n">
        <x:v>1</x:v>
      </x:c>
      <x:c r="AJ230" s="21" t="str">
        <x:v>未评估（本事件表不建立热浪因果关系）</x:v>
      </x:c>
      <x:c r="AK230" s="21" t="str">
        <x:v>缺失/待核实</x:v>
      </x:c>
    </x:row>
    <x:row r="231" ht="42" customHeight="1">
      <x:c r="A231" s="33" t="n">
        <x:v>230</x:v>
      </x:c>
      <x:c r="B231" s="33" t="str">
        <x:v>RAW-0230</x:v>
      </x:c>
      <x:c r="C231" s="36" t="str">
        <x:v>未判定</x:v>
      </x:c>
      <x:c r="D231" s="36" t="str">
        <x:v>未判定</x:v>
      </x:c>
      <x:c r="E231" s="21" t="str">
        <x:v>未检索到</x:v>
      </x:c>
      <x:c r="F231" s="21" t="str">
        <x:v>Grenfell Tower fire</x:v>
      </x:c>
      <x:c r="G231" s="39" t="n">
        <x:v>42900</x:v>
      </x:c>
      <x:c r="H231" s="21" t="str">
        <x:v>June 14 – Grenfell Tower fire. A fire at Grenfell Tower, a 24-storey, 220-foot (67 m) high tower block of public housing flats in North Kensington, London, England. It killed 72.</x:v>
      </x:c>
      <x:c r="I231" s="21" t="str">
        <x:v>未检索到/待核实</x:v>
      </x:c>
      <x:c r="J231" s="21" t="str">
        <x:v>June 14 – Grenfell Tower fire. A fire at Grenfell Tower, a 24-storey, 220-foot (67 m) high tower block of public housing flats in North Kensington, London, England. It killed 72.</x:v>
      </x:c>
      <x:c r="K231" s="21" t="str">
        <x:v>https://en.wikipedia.org/wiki/Grenfell_Tower_fire</x:v>
      </x:c>
      <x:c r="L231" s="27"/>
      <x:c r="M231" s="27"/>
      <x:c r="N231" s="21" t="str">
        <x:v>未提供坐标</x:v>
      </x:c>
      <x:c r="O231" s="21" t="str">
        <x:v>建筑/结构火灾</x:v>
      </x:c>
      <x:c r="P231" s="21" t="str">
        <x:v>未检索到</x:v>
      </x:c>
      <x:c r="Q231" s="21" t="str">
        <x:v>24-storey</x:v>
      </x:c>
      <x:c r="R231" s="21" t="str">
        <x:v>未检索到</x:v>
      </x:c>
      <x:c r="S231" s="21" t="str">
        <x:v>未检索到</x:v>
      </x:c>
      <x:c r="T231" s="42" t="n">
        <x:v>72</x:v>
      </x:c>
      <x:c r="U231" s="42"/>
      <x:c r="V231" s="42"/>
      <x:c r="W231" s="33" t="str">
        <x:v>B</x:v>
      </x:c>
      <x:c r="X231" s="33" t="str">
        <x:v>candidate_needs_highrise_confirmation</x:v>
      </x:c>
      <x:c r="Y231" s="33" t="str">
        <x:v>候选待核实</x:v>
      </x:c>
      <x:c r="Z231" s="21" t="str">
        <x:v>候选：Wikipedia具名事件页；仍需确认高层属性</x:v>
      </x:c>
      <x:c r="AA231" s="21" t="str">
        <x:v>List of building or structure fires</x:v>
      </x:c>
      <x:c r="AB231" s="21" t="str">
        <x:v>Wikipedia专题列表</x:v>
      </x:c>
      <x:c r="AC231" s="21" t="str"/>
      <x:c r="AD231" s="21" t="n">
        <x:v>1</x:v>
      </x:c>
      <x:c r="AE231" s="21" t="str">
        <x:v>未检查</x:v>
      </x:c>
      <x:c r="AF231" s="21" t="str"/>
      <x:c r="AG231" s="24" t="n">
        <x:v>46260</x:v>
      </x:c>
      <x:c r="AH231" s="21" t="str"/>
      <x:c r="AI231" s="21" t="n">
        <x:v>1</x:v>
      </x:c>
      <x:c r="AJ231" s="21" t="str">
        <x:v>未评估（本事件表不建立热浪因果关系）</x:v>
      </x:c>
      <x:c r="AK231" s="21" t="str">
        <x:v>缺失/待核实</x:v>
      </x:c>
    </x:row>
    <x:row r="232" ht="42" customHeight="1">
      <x:c r="A232" s="33" t="n">
        <x:v>231</x:v>
      </x:c>
      <x:c r="B232" s="33" t="str">
        <x:v>RAW-0231</x:v>
      </x:c>
      <x:c r="C232" s="36" t="str">
        <x:v>亚洲</x:v>
      </x:c>
      <x:c r="D232" s="36" t="str">
        <x:v>United Arab Emirates</x:v>
      </x:c>
      <x:c r="E232" s="21" t="str">
        <x:v>未检索到</x:v>
      </x:c>
      <x:c r="F232" s="21" t="str">
        <x:v>4 April – A fire at a 39-story residential apartment building in Sharjah, United Arab Emirates, killed five people and i</x:v>
      </x:c>
      <x:c r="G232" s="39" t="n">
        <x:v>45386</x:v>
      </x:c>
      <x:c r="H232" s="21" t="str">
        <x:v>4 April – A fire at a 39-story residential apartment building in Sharjah, United Arab Emirates, killed five people and injured 44 others.</x:v>
      </x:c>
      <x:c r="I232" s="21" t="str">
        <x:v>未检索到/待核实</x:v>
      </x:c>
      <x:c r="J232" s="21" t="str">
        <x:v>4 April – A fire at a 39-story residential apartment building in Sharjah, United Arab Emirates, killed five people and injured 44 others.</x:v>
      </x:c>
      <x:c r="K232" s="21" t="str">
        <x:v>https://english.alarabiya.net/News/gulf/2024/04/06/sharjah-building-fire-leaves-5-dead-dozens-hospitalized</x:v>
      </x:c>
      <x:c r="L232" s="27"/>
      <x:c r="M232" s="27"/>
      <x:c r="N232" s="21" t="str">
        <x:v>未提供坐标</x:v>
      </x:c>
      <x:c r="O232" s="21" t="str">
        <x:v>建筑/结构火灾</x:v>
      </x:c>
      <x:c r="P232" s="21" t="str">
        <x:v>未检索到</x:v>
      </x:c>
      <x:c r="Q232" s="21" t="str">
        <x:v>39-story</x:v>
      </x:c>
      <x:c r="R232" s="21" t="str">
        <x:v>未检索到</x:v>
      </x:c>
      <x:c r="S232" s="21" t="str">
        <x:v>未检索到</x:v>
      </x:c>
      <x:c r="T232" s="42"/>
      <x:c r="U232" s="42"/>
      <x:c r="V232" s="42"/>
      <x:c r="W232" s="33" t="str">
        <x:v>C</x:v>
      </x:c>
      <x:c r="X232" s="33" t="str">
        <x:v>candidate_needs_highrise_confirmation</x:v>
      </x:c>
      <x:c r="Y232" s="33" t="str">
        <x:v>候选待核实</x:v>
      </x:c>
      <x:c r="Z232" s="21" t="str">
        <x:v>候选：Wikipedia列表条目；需确认高层属性及独立来源</x:v>
      </x:c>
      <x:c r="AA232" s="21" t="str">
        <x:v>List of building or structure fires</x:v>
      </x:c>
      <x:c r="AB232" s="21" t="str">
        <x:v>Wikipedia专题列表</x:v>
      </x:c>
      <x:c r="AC232" s="21" t="str"/>
      <x:c r="AD232" s="21" t="n">
        <x:v>1</x:v>
      </x:c>
      <x:c r="AE232" s="21" t="str">
        <x:v>未检查</x:v>
      </x:c>
      <x:c r="AF232" s="21" t="str"/>
      <x:c r="AG232" s="24" t="n">
        <x:v>46260</x:v>
      </x:c>
      <x:c r="AH232" s="21" t="str"/>
      <x:c r="AI232" s="21" t="n">
        <x:v>1</x:v>
      </x:c>
      <x:c r="AJ232" s="21" t="str">
        <x:v>未评估（本事件表不建立热浪因果关系）</x:v>
      </x:c>
      <x:c r="AK232" s="21" t="str">
        <x:v>缺失/待核实</x:v>
      </x:c>
    </x:row>
    <x:row r="233" ht="42" customHeight="1">
      <x:c r="A233" s="33" t="n">
        <x:v>232</x:v>
      </x:c>
      <x:c r="B233" s="33" t="str">
        <x:v>RAW-0232</x:v>
      </x:c>
      <x:c r="C233" s="36" t="str">
        <x:v>大洋洲</x:v>
      </x:c>
      <x:c r="D233" s="36" t="str">
        <x:v>Australia</x:v>
      </x:c>
      <x:c r="E233" s="21" t="str">
        <x:v>Fairfield</x:v>
      </x:c>
      <x:c r="F233" s="21" t="str">
        <x:v>Tip Top Bakery fire</x:v>
      </x:c>
      <x:c r="G233" s="39" t="n">
        <x:v>37409</x:v>
      </x:c>
      <x:c r="H233" s="21" t="str">
        <x:v>Tip Top Bakery高层建筑外立面火灾。死亡 0，受伤 1；表中记录的受影响楼层为 1。</x:v>
      </x:c>
      <x:c r="I233" s="21" t="str">
        <x:v>未检索到/待核实</x:v>
      </x:c>
      <x:c r="J233" s="21" t="str">
        <x:v>死亡 0，受伤 1；表中记录的受影响楼层为 1。</x:v>
      </x:c>
      <x:c r="K233" s="21" t="str">
        <x:v>https://doi.org/10.1007%2F978-1-4939-2898-9_4</x:v>
      </x:c>
      <x:c r="L233" s="27"/>
      <x:c r="M233" s="27"/>
      <x:c r="N233" s="21" t="str">
        <x:v>未提供坐标</x:v>
      </x:c>
      <x:c r="O233" s="21" t="str">
        <x:v>高层建筑外立面火灾</x:v>
      </x:c>
      <x:c r="P233" s="21" t="str">
        <x:v>未检索到</x:v>
      </x:c>
      <x:c r="Q233" s="21" t="str">
        <x:v>未检索到</x:v>
      </x:c>
      <x:c r="R233" s="21" t="str">
        <x:v>1</x:v>
      </x:c>
      <x:c r="S233" s="21" t="str">
        <x:v>未检索到</x:v>
      </x:c>
      <x:c r="T233" s="42" t="n">
        <x:v>0</x:v>
      </x:c>
      <x:c r="U233" s="42"/>
      <x:c r="V233" s="42"/>
      <x:c r="W233" s="33" t="str">
        <x:v>C</x:v>
      </x:c>
      <x:c r="X233" s="33" t="str">
        <x:v>compendium_needs_independent_verification</x:v>
      </x:c>
      <x:c r="Y233" s="33" t="str">
        <x:v>候选待核实</x:v>
      </x:c>
      <x:c r="Z233" s="21" t="str">
        <x:v>Wikipedia高层专题表；需补充独立来源核验</x:v>
      </x:c>
      <x:c r="AA233" s="21" t="str">
        <x:v>List of high-rise façade fires</x:v>
      </x:c>
      <x:c r="AB233" s="21" t="str">
        <x:v>Wikipedia专题列表</x:v>
      </x:c>
      <x:c r="AC233" s="21" t="str"/>
      <x:c r="AD233" s="21" t="n">
        <x:v>1</x:v>
      </x:c>
      <x:c r="AE233" s="21" t="str">
        <x:v>未检查</x:v>
      </x:c>
      <x:c r="AF233" s="21" t="str"/>
      <x:c r="AG233" s="24" t="n">
        <x:v>46260</x:v>
      </x:c>
      <x:c r="AH233" s="21" t="str"/>
      <x:c r="AI233" s="21" t="n">
        <x:v>1</x:v>
      </x:c>
      <x:c r="AJ233" s="21" t="str">
        <x:v>未评估（本事件表不建立热浪因果关系）</x:v>
      </x:c>
      <x:c r="AK233" s="21" t="str">
        <x:v>缺失/待核实</x:v>
      </x:c>
    </x:row>
    <x:row r="234" ht="42" customHeight="1">
      <x:c r="A234" s="33" t="n">
        <x:v>233</x:v>
      </x:c>
      <x:c r="B234" s="33" t="str">
        <x:v>RAW-0233</x:v>
      </x:c>
      <x:c r="C234" s="36" t="str">
        <x:v>欧洲</x:v>
      </x:c>
      <x:c r="D234" s="36" t="str">
        <x:v>United Kingdom</x:v>
      </x:c>
      <x:c r="E234" s="21" t="str">
        <x:v>London</x:v>
      </x:c>
      <x:c r="F234" s="21" t="str">
        <x:v>Telstar House fire</x:v>
      </x:c>
      <x:c r="G234" s="39" t="n">
        <x:v>37831</x:v>
      </x:c>
      <x:c r="H234" s="21" t="str">
        <x:v>Telstar House高层建筑外立面火灾。死亡 0，受伤 3；表中记录的受影响楼层为 4。</x:v>
      </x:c>
      <x:c r="I234" s="21" t="str">
        <x:v>未检索到/待核实</x:v>
      </x:c>
      <x:c r="J234" s="21" t="str">
        <x:v>死亡 0，受伤 3；表中记录的受影响楼层为 4。</x:v>
      </x:c>
      <x:c r="K234" s="21" t="str">
        <x:v>https://www.highrisefirefighting.co.uk/cstelstar.html</x:v>
      </x:c>
      <x:c r="L234" s="27"/>
      <x:c r="M234" s="27"/>
      <x:c r="N234" s="21" t="str">
        <x:v>未提供坐标</x:v>
      </x:c>
      <x:c r="O234" s="21" t="str">
        <x:v>高层建筑外立面火灾</x:v>
      </x:c>
      <x:c r="P234" s="21" t="str">
        <x:v>未检索到</x:v>
      </x:c>
      <x:c r="Q234" s="21" t="str">
        <x:v>未检索到</x:v>
      </x:c>
      <x:c r="R234" s="21" t="str">
        <x:v>4</x:v>
      </x:c>
      <x:c r="S234" s="21" t="str">
        <x:v>未检索到</x:v>
      </x:c>
      <x:c r="T234" s="42" t="n">
        <x:v>0</x:v>
      </x:c>
      <x:c r="U234" s="42"/>
      <x:c r="V234" s="42"/>
      <x:c r="W234" s="33" t="str">
        <x:v>C</x:v>
      </x:c>
      <x:c r="X234" s="33" t="str">
        <x:v>compendium_needs_independent_verification</x:v>
      </x:c>
      <x:c r="Y234" s="33" t="str">
        <x:v>候选待核实</x:v>
      </x:c>
      <x:c r="Z234" s="21" t="str">
        <x:v>Wikipedia高层专题表；需补充独立来源核验</x:v>
      </x:c>
      <x:c r="AA234" s="21" t="str">
        <x:v>List of high-rise façade fires</x:v>
      </x:c>
      <x:c r="AB234" s="21" t="str">
        <x:v>Wikipedia专题列表</x:v>
      </x:c>
      <x:c r="AC234" s="21" t="str"/>
      <x:c r="AD234" s="21" t="n">
        <x:v>1</x:v>
      </x:c>
      <x:c r="AE234" s="21" t="str">
        <x:v>未检查</x:v>
      </x:c>
      <x:c r="AF234" s="21" t="str"/>
      <x:c r="AG234" s="24" t="n">
        <x:v>46260</x:v>
      </x:c>
      <x:c r="AH234" s="21" t="str"/>
      <x:c r="AI234" s="21" t="n">
        <x:v>1</x:v>
      </x:c>
      <x:c r="AJ234" s="21" t="str">
        <x:v>未评估（本事件表不建立热浪因果关系）</x:v>
      </x:c>
      <x:c r="AK234" s="21" t="str">
        <x:v>缺失/待核实</x:v>
      </x:c>
    </x:row>
    <x:row r="235" ht="42" customHeight="1">
      <x:c r="A235" s="33" t="n">
        <x:v>234</x:v>
      </x:c>
      <x:c r="B235" s="33" t="str">
        <x:v>RAW-0234</x:v>
      </x:c>
      <x:c r="C235" s="36" t="str">
        <x:v>南美洲</x:v>
      </x:c>
      <x:c r="D235" s="36" t="str">
        <x:v>Venezuela</x:v>
      </x:c>
      <x:c r="E235" s="21" t="str">
        <x:v>Caracas</x:v>
      </x:c>
      <x:c r="F235" s="21" t="str">
        <x:v>Parque Central Complex fire</x:v>
      </x:c>
      <x:c r="G235" s="39" t="n">
        <x:v>38277</x:v>
      </x:c>
      <x:c r="H235" s="21" t="str">
        <x:v>Parque Central Complex高层建筑外立面火灾。死亡 0，受伤 25；表中记录的受影响楼层为 17。</x:v>
      </x:c>
      <x:c r="I235" s="21" t="str">
        <x:v>未检索到/待核实</x:v>
      </x:c>
      <x:c r="J235" s="21" t="str">
        <x:v>死亡 0，受伤 25；表中记录的受影响楼层为 17。</x:v>
      </x:c>
      <x:c r="K235" s="21" t="str">
        <x:v>https://news.bbc.co.uk/2/hi/americas/3751790.stm</x:v>
      </x:c>
      <x:c r="L235" s="27"/>
      <x:c r="M235" s="27"/>
      <x:c r="N235" s="21" t="str">
        <x:v>未提供坐标</x:v>
      </x:c>
      <x:c r="O235" s="21" t="str">
        <x:v>高层建筑外立面火灾</x:v>
      </x:c>
      <x:c r="P235" s="21" t="str">
        <x:v>未检索到</x:v>
      </x:c>
      <x:c r="Q235" s="21" t="str">
        <x:v>未检索到</x:v>
      </x:c>
      <x:c r="R235" s="21" t="str">
        <x:v>17</x:v>
      </x:c>
      <x:c r="S235" s="21" t="str">
        <x:v>未检索到</x:v>
      </x:c>
      <x:c r="T235" s="42" t="n">
        <x:v>0</x:v>
      </x:c>
      <x:c r="U235" s="42"/>
      <x:c r="V235" s="42"/>
      <x:c r="W235" s="33" t="str">
        <x:v>C</x:v>
      </x:c>
      <x:c r="X235" s="33" t="str">
        <x:v>compendium_needs_independent_verification</x:v>
      </x:c>
      <x:c r="Y235" s="33" t="str">
        <x:v>候选待核实</x:v>
      </x:c>
      <x:c r="Z235" s="21" t="str">
        <x:v>Wikipedia高层专题表；需补充独立来源核验</x:v>
      </x:c>
      <x:c r="AA235" s="21" t="str">
        <x:v>List of high-rise façade fires</x:v>
      </x:c>
      <x:c r="AB235" s="21" t="str">
        <x:v>Wikipedia专题列表</x:v>
      </x:c>
      <x:c r="AC235" s="21" t="str"/>
      <x:c r="AD235" s="21" t="n">
        <x:v>1</x:v>
      </x:c>
      <x:c r="AE235" s="21" t="str">
        <x:v>未检查</x:v>
      </x:c>
      <x:c r="AF235" s="21" t="str"/>
      <x:c r="AG235" s="24" t="n">
        <x:v>46260</x:v>
      </x:c>
      <x:c r="AH235" s="21" t="str"/>
      <x:c r="AI235" s="21" t="n">
        <x:v>1</x:v>
      </x:c>
      <x:c r="AJ235" s="21" t="str">
        <x:v>未评估（本事件表不建立热浪因果关系）</x:v>
      </x:c>
      <x:c r="AK235" s="21" t="str">
        <x:v>缺失/待核实</x:v>
      </x:c>
    </x:row>
    <x:row r="236" ht="42" customHeight="1">
      <x:c r="A236" s="33" t="n">
        <x:v>235</x:v>
      </x:c>
      <x:c r="B236" s="33" t="str">
        <x:v>RAW-0235</x:v>
      </x:c>
      <x:c r="C236" s="36" t="str">
        <x:v>欧洲</x:v>
      </x:c>
      <x:c r="D236" s="36" t="str">
        <x:v>Spain</x:v>
      </x:c>
      <x:c r="E236" s="21" t="str">
        <x:v>Madrid</x:v>
      </x:c>
      <x:c r="F236" s="21" t="str">
        <x:v>Windsor Tower (Madrid) fire</x:v>
      </x:c>
      <x:c r="G236" s="39" t="n">
        <x:v>38395</x:v>
      </x:c>
      <x:c r="H236" s="21" t="str">
        <x:v>Windsor Tower (Madrid)高层建筑外立面火灾。死亡 0，受伤 7；表中记录的受影响楼层为 32。</x:v>
      </x:c>
      <x:c r="I236" s="21" t="str">
        <x:v>未检索到/待核实</x:v>
      </x:c>
      <x:c r="J236" s="21" t="str">
        <x:v>死亡 0，受伤 7；表中记录的受影响楼层为 32。</x:v>
      </x:c>
      <x:c r="K236" s="21" t="str">
        <x:v>https://911research.wtc7.net/wtc/analysis/compare/windsor.html</x:v>
      </x:c>
      <x:c r="L236" s="27"/>
      <x:c r="M236" s="27"/>
      <x:c r="N236" s="21" t="str">
        <x:v>未提供坐标</x:v>
      </x:c>
      <x:c r="O236" s="21" t="str">
        <x:v>高层建筑外立面火灾</x:v>
      </x:c>
      <x:c r="P236" s="21" t="str">
        <x:v>未检索到</x:v>
      </x:c>
      <x:c r="Q236" s="21" t="str">
        <x:v>未检索到</x:v>
      </x:c>
      <x:c r="R236" s="21" t="str">
        <x:v>32</x:v>
      </x:c>
      <x:c r="S236" s="21" t="str">
        <x:v>未检索到</x:v>
      </x:c>
      <x:c r="T236" s="42" t="n">
        <x:v>0</x:v>
      </x:c>
      <x:c r="U236" s="42"/>
      <x:c r="V236" s="42"/>
      <x:c r="W236" s="33" t="str">
        <x:v>C</x:v>
      </x:c>
      <x:c r="X236" s="33" t="str">
        <x:v>compendium_needs_independent_verification</x:v>
      </x:c>
      <x:c r="Y236" s="33" t="str">
        <x:v>候选待核实</x:v>
      </x:c>
      <x:c r="Z236" s="21" t="str">
        <x:v>Wikipedia高层专题表；需补充独立来源核验</x:v>
      </x:c>
      <x:c r="AA236" s="21" t="str">
        <x:v>List of high-rise façade fires</x:v>
      </x:c>
      <x:c r="AB236" s="21" t="str">
        <x:v>Wikipedia专题列表</x:v>
      </x:c>
      <x:c r="AC236" s="21" t="str"/>
      <x:c r="AD236" s="21" t="n">
        <x:v>1</x:v>
      </x:c>
      <x:c r="AE236" s="21" t="str">
        <x:v>未检查</x:v>
      </x:c>
      <x:c r="AF236" s="21" t="str"/>
      <x:c r="AG236" s="24" t="n">
        <x:v>46260</x:v>
      </x:c>
      <x:c r="AH236" s="21" t="str"/>
      <x:c r="AI236" s="21" t="n">
        <x:v>1</x:v>
      </x:c>
      <x:c r="AJ236" s="21" t="str">
        <x:v>未评估（本事件表不建立热浪因果关系）</x:v>
      </x:c>
      <x:c r="AK236" s="21" t="str">
        <x:v>缺失/待核实</x:v>
      </x:c>
    </x:row>
    <x:row r="237" ht="42" customHeight="1">
      <x:c r="A237" s="33" t="n">
        <x:v>236</x:v>
      </x:c>
      <x:c r="B237" s="33" t="str">
        <x:v>RAW-0236</x:v>
      </x:c>
      <x:c r="C237" s="36" t="str">
        <x:v>欧洲</x:v>
      </x:c>
      <x:c r="D237" s="36" t="str">
        <x:v>Germany</x:v>
      </x:c>
      <x:c r="E237" s="21" t="str">
        <x:v>Berlin</x:v>
      </x:c>
      <x:c r="F237" s="21" t="str">
        <x:v>Treskowstrasse Pankow Flats fire</x:v>
      </x:c>
      <x:c r="G237" s="39" t="n">
        <x:v>38463</x:v>
      </x:c>
      <x:c r="H237" s="21" t="str">
        <x:v>Treskowstrasse Pankow Flats高层建筑外立面火灾。死亡 2，受伤 3；表中记录的受影响楼层为 5。</x:v>
      </x:c>
      <x:c r="I237" s="21" t="str">
        <x:v>未检索到/待核实</x:v>
      </x:c>
      <x:c r="J237" s="21" t="str">
        <x:v>死亡 2，受伤 3；表中记录的受影响楼层为 5。</x:v>
      </x:c>
      <x:c r="K237" s="21" t="str">
        <x:v>https://doi.org/10.1007%2F978-1-4939-2898-9_4</x:v>
      </x:c>
      <x:c r="L237" s="27"/>
      <x:c r="M237" s="27"/>
      <x:c r="N237" s="21" t="str">
        <x:v>未提供坐标</x:v>
      </x:c>
      <x:c r="O237" s="21" t="str">
        <x:v>高层建筑外立面火灾</x:v>
      </x:c>
      <x:c r="P237" s="21" t="str">
        <x:v>未检索到</x:v>
      </x:c>
      <x:c r="Q237" s="21" t="str">
        <x:v>未检索到</x:v>
      </x:c>
      <x:c r="R237" s="21" t="str">
        <x:v>5</x:v>
      </x:c>
      <x:c r="S237" s="21" t="str">
        <x:v>未检索到</x:v>
      </x:c>
      <x:c r="T237" s="42" t="n">
        <x:v>2</x:v>
      </x:c>
      <x:c r="U237" s="42"/>
      <x:c r="V237" s="42"/>
      <x:c r="W237" s="33" t="str">
        <x:v>C</x:v>
      </x:c>
      <x:c r="X237" s="33" t="str">
        <x:v>compendium_needs_independent_verification</x:v>
      </x:c>
      <x:c r="Y237" s="33" t="str">
        <x:v>候选待核实</x:v>
      </x:c>
      <x:c r="Z237" s="21" t="str">
        <x:v>Wikipedia高层专题表；需补充独立来源核验</x:v>
      </x:c>
      <x:c r="AA237" s="21" t="str">
        <x:v>List of high-rise façade fires</x:v>
      </x:c>
      <x:c r="AB237" s="21" t="str">
        <x:v>Wikipedia专题列表</x:v>
      </x:c>
      <x:c r="AC237" s="21" t="str"/>
      <x:c r="AD237" s="21" t="n">
        <x:v>1</x:v>
      </x:c>
      <x:c r="AE237" s="21" t="str">
        <x:v>未检查</x:v>
      </x:c>
      <x:c r="AF237" s="21" t="str"/>
      <x:c r="AG237" s="24" t="n">
        <x:v>46260</x:v>
      </x:c>
      <x:c r="AH237" s="21" t="str"/>
      <x:c r="AI237" s="21" t="n">
        <x:v>1</x:v>
      </x:c>
      <x:c r="AJ237" s="21" t="str">
        <x:v>未评估（本事件表不建立热浪因果关系）</x:v>
      </x:c>
      <x:c r="AK237" s="21" t="str">
        <x:v>缺失/待核实</x:v>
      </x:c>
    </x:row>
    <x:row r="238" ht="42" customHeight="1">
      <x:c r="A238" s="33" t="n">
        <x:v>237</x:v>
      </x:c>
      <x:c r="B238" s="33" t="str">
        <x:v>RAW-0237</x:v>
      </x:c>
      <x:c r="C238" s="36" t="str">
        <x:v>北美洲</x:v>
      </x:c>
      <x:c r="D238" s="36" t="str">
        <x:v>United States</x:v>
      </x:c>
      <x:c r="E238" s="21" t="str">
        <x:v>Atlantic City</x:v>
      </x:c>
      <x:c r="F238" s="21" t="str">
        <x:v>Water Club Tower, Borgata Casino Hotel fire</x:v>
      </x:c>
      <x:c r="G238" s="39" t="n">
        <x:v>39348</x:v>
      </x:c>
      <x:c r="H238" s="21" t="str">
        <x:v>Water Club Tower, Borgata Casino Hotel高层建筑外立面火灾。死亡 0，受伤 0；表中记录的受影响楼层为 39。</x:v>
      </x:c>
      <x:c r="I238" s="21" t="str">
        <x:v>未检索到/待核实</x:v>
      </x:c>
      <x:c r="J238" s="21" t="str">
        <x:v>死亡 0，受伤 0；表中记录的受影响楼层为 39。</x:v>
      </x:c>
      <x:c r="K238" s="21" t="str">
        <x:v>https://doi.org/10.1007%2F978-1-4939-2898-9_4</x:v>
      </x:c>
      <x:c r="L238" s="27"/>
      <x:c r="M238" s="27"/>
      <x:c r="N238" s="21" t="str">
        <x:v>未提供坐标</x:v>
      </x:c>
      <x:c r="O238" s="21" t="str">
        <x:v>高层建筑外立面火灾</x:v>
      </x:c>
      <x:c r="P238" s="21" t="str">
        <x:v>未检索到</x:v>
      </x:c>
      <x:c r="Q238" s="21" t="str">
        <x:v>未检索到</x:v>
      </x:c>
      <x:c r="R238" s="21" t="str">
        <x:v>39</x:v>
      </x:c>
      <x:c r="S238" s="21" t="str">
        <x:v>未检索到</x:v>
      </x:c>
      <x:c r="T238" s="42" t="n">
        <x:v>0</x:v>
      </x:c>
      <x:c r="U238" s="42"/>
      <x:c r="V238" s="42"/>
      <x:c r="W238" s="33" t="str">
        <x:v>C</x:v>
      </x:c>
      <x:c r="X238" s="33" t="str">
        <x:v>compendium_needs_independent_verification</x:v>
      </x:c>
      <x:c r="Y238" s="33" t="str">
        <x:v>候选待核实</x:v>
      </x:c>
      <x:c r="Z238" s="21" t="str">
        <x:v>Wikipedia高层专题表；需补充独立来源核验</x:v>
      </x:c>
      <x:c r="AA238" s="21" t="str">
        <x:v>List of high-rise façade fires</x:v>
      </x:c>
      <x:c r="AB238" s="21" t="str">
        <x:v>Wikipedia专题列表</x:v>
      </x:c>
      <x:c r="AC238" s="21" t="str"/>
      <x:c r="AD238" s="21" t="n">
        <x:v>1</x:v>
      </x:c>
      <x:c r="AE238" s="21" t="str">
        <x:v>未检查</x:v>
      </x:c>
      <x:c r="AF238" s="21" t="str"/>
      <x:c r="AG238" s="24" t="n">
        <x:v>46260</x:v>
      </x:c>
      <x:c r="AH238" s="21" t="str"/>
      <x:c r="AI238" s="21" t="n">
        <x:v>1</x:v>
      </x:c>
      <x:c r="AJ238" s="21" t="str">
        <x:v>未评估（本事件表不建立热浪因果关系）</x:v>
      </x:c>
      <x:c r="AK238" s="21" t="str">
        <x:v>缺失/待核实</x:v>
      </x:c>
    </x:row>
    <x:row r="239" ht="42" customHeight="1">
      <x:c r="A239" s="33" t="n">
        <x:v>238</x:v>
      </x:c>
      <x:c r="B239" s="33" t="str">
        <x:v>RAW-0238</x:v>
      </x:c>
      <x:c r="C239" s="36" t="str">
        <x:v>北美洲</x:v>
      </x:c>
      <x:c r="D239" s="36" t="str">
        <x:v>United States</x:v>
      </x:c>
      <x:c r="E239" s="21" t="str">
        <x:v>Las Vegas</x:v>
      </x:c>
      <x:c r="F239" s="21" t="str">
        <x:v>MGM Monte Carlo Hotel fire</x:v>
      </x:c>
      <x:c r="G239" s="39" t="n">
        <x:v>39472</x:v>
      </x:c>
      <x:c r="H239" s="21" t="str">
        <x:v>MGM Monte Carlo Hotel高层建筑外立面火灾。死亡 0，受伤 0；表中记录的受影响楼层为 4。</x:v>
      </x:c>
      <x:c r="I239" s="21" t="str">
        <x:v>未检索到/待核实</x:v>
      </x:c>
      <x:c r="J239" s="21" t="str">
        <x:v>死亡 0，受伤 0；表中记录的受影响楼层为 4。</x:v>
      </x:c>
      <x:c r="K239" s="21" t="str">
        <x:v>https://doi.org/10.1007%2F978-1-4939-2898-9_4</x:v>
      </x:c>
      <x:c r="L239" s="27"/>
      <x:c r="M239" s="27"/>
      <x:c r="N239" s="21" t="str">
        <x:v>未提供坐标</x:v>
      </x:c>
      <x:c r="O239" s="21" t="str">
        <x:v>高层建筑外立面火灾</x:v>
      </x:c>
      <x:c r="P239" s="21" t="str">
        <x:v>未检索到</x:v>
      </x:c>
      <x:c r="Q239" s="21" t="str">
        <x:v>未检索到</x:v>
      </x:c>
      <x:c r="R239" s="21" t="str">
        <x:v>4</x:v>
      </x:c>
      <x:c r="S239" s="21" t="str">
        <x:v>未检索到</x:v>
      </x:c>
      <x:c r="T239" s="42" t="n">
        <x:v>0</x:v>
      </x:c>
      <x:c r="U239" s="42"/>
      <x:c r="V239" s="42"/>
      <x:c r="W239" s="33" t="str">
        <x:v>C</x:v>
      </x:c>
      <x:c r="X239" s="33" t="str">
        <x:v>compendium_needs_independent_verification</x:v>
      </x:c>
      <x:c r="Y239" s="33" t="str">
        <x:v>候选待核实</x:v>
      </x:c>
      <x:c r="Z239" s="21" t="str">
        <x:v>Wikipedia高层专题表；需补充独立来源核验</x:v>
      </x:c>
      <x:c r="AA239" s="21" t="str">
        <x:v>List of high-rise façade fires</x:v>
      </x:c>
      <x:c r="AB239" s="21" t="str">
        <x:v>Wikipedia专题列表</x:v>
      </x:c>
      <x:c r="AC239" s="21" t="str"/>
      <x:c r="AD239" s="21" t="n">
        <x:v>1</x:v>
      </x:c>
      <x:c r="AE239" s="21" t="str">
        <x:v>未检查</x:v>
      </x:c>
      <x:c r="AF239" s="21" t="str"/>
      <x:c r="AG239" s="24" t="n">
        <x:v>46260</x:v>
      </x:c>
      <x:c r="AH239" s="21" t="str"/>
      <x:c r="AI239" s="21" t="n">
        <x:v>1</x:v>
      </x:c>
      <x:c r="AJ239" s="21" t="str">
        <x:v>未评估（本事件表不建立热浪因果关系）</x:v>
      </x:c>
      <x:c r="AK239" s="21" t="str">
        <x:v>缺失/待核实</x:v>
      </x:c>
    </x:row>
    <x:row r="240" ht="42" customHeight="1">
      <x:c r="A240" s="33" t="n">
        <x:v>239</x:v>
      </x:c>
      <x:c r="B240" s="33" t="str">
        <x:v>RAW-0239</x:v>
      </x:c>
      <x:c r="C240" s="36" t="str">
        <x:v>欧洲</x:v>
      </x:c>
      <x:c r="D240" s="36" t="str">
        <x:v>Netherlands</x:v>
      </x:c>
      <x:c r="E240" s="21" t="str">
        <x:v>De Punt</x:v>
      </x:c>
      <x:c r="F240" s="21" t="str">
        <x:v>De Punt fire</x:v>
      </x:c>
      <x:c r="G240" s="39" t="n">
        <x:v>39577</x:v>
      </x:c>
      <x:c r="H240" s="21" t="str">
        <x:v>De Punt fire高层建筑外立面火灾。死亡 3，受伤 0；表中记录的受影响楼层为 1。</x:v>
      </x:c>
      <x:c r="I240" s="21" t="str">
        <x:v>未检索到/待核实</x:v>
      </x:c>
      <x:c r="J240" s="21" t="str">
        <x:v>死亡 3，受伤 0；表中记录的受影响楼层为 1。</x:v>
      </x:c>
      <x:c r="K240" s="21" t="str">
        <x:v>https://en.wikipedia.org/wiki/De_Punt_fire</x:v>
      </x:c>
      <x:c r="L240" s="27"/>
      <x:c r="M240" s="27"/>
      <x:c r="N240" s="21" t="str">
        <x:v>未提供坐标</x:v>
      </x:c>
      <x:c r="O240" s="21" t="str">
        <x:v>高层建筑外立面火灾</x:v>
      </x:c>
      <x:c r="P240" s="21" t="str">
        <x:v>未检索到</x:v>
      </x:c>
      <x:c r="Q240" s="21" t="str">
        <x:v>未检索到</x:v>
      </x:c>
      <x:c r="R240" s="21" t="str">
        <x:v>1</x:v>
      </x:c>
      <x:c r="S240" s="21" t="str">
        <x:v>未检索到</x:v>
      </x:c>
      <x:c r="T240" s="42" t="n">
        <x:v>3</x:v>
      </x:c>
      <x:c r="U240" s="42"/>
      <x:c r="V240" s="42"/>
      <x:c r="W240" s="33" t="str">
        <x:v>B</x:v>
      </x:c>
      <x:c r="X240" s="33" t="str">
        <x:v>compendium_needs_independent_verification</x:v>
      </x:c>
      <x:c r="Y240" s="33" t="str">
        <x:v>候选待核实</x:v>
      </x:c>
      <x:c r="Z240" s="21" t="str">
        <x:v>Wikipedia具名事件页+高层专题表</x:v>
      </x:c>
      <x:c r="AA240" s="21" t="str">
        <x:v>List of high-rise façade fires</x:v>
      </x:c>
      <x:c r="AB240" s="21" t="str">
        <x:v>Wikipedia专题列表</x:v>
      </x:c>
      <x:c r="AC240" s="21" t="str"/>
      <x:c r="AD240" s="21" t="n">
        <x:v>1</x:v>
      </x:c>
      <x:c r="AE240" s="21" t="str">
        <x:v>未检查</x:v>
      </x:c>
      <x:c r="AF240" s="21" t="str"/>
      <x:c r="AG240" s="24" t="n">
        <x:v>46260</x:v>
      </x:c>
      <x:c r="AH240" s="21" t="str"/>
      <x:c r="AI240" s="21" t="n">
        <x:v>1</x:v>
      </x:c>
      <x:c r="AJ240" s="21" t="str">
        <x:v>未评估（本事件表不建立热浪因果关系）</x:v>
      </x:c>
      <x:c r="AK240" s="21" t="str">
        <x:v>缺失/待核实</x:v>
      </x:c>
    </x:row>
    <x:row r="241" ht="42" customHeight="1">
      <x:c r="A241" s="33" t="n">
        <x:v>240</x:v>
      </x:c>
      <x:c r="B241" s="33" t="str">
        <x:v>RAW-0240</x:v>
      </x:c>
      <x:c r="C241" s="36" t="str">
        <x:v>亚洲</x:v>
      </x:c>
      <x:c r="D241" s="36" t="str">
        <x:v>China</x:v>
      </x:c>
      <x:c r="E241" s="21" t="str">
        <x:v>Beijing</x:v>
      </x:c>
      <x:c r="F241" s="21" t="str">
        <x:v>Beijing Television Cultural Center fire</x:v>
      </x:c>
      <x:c r="G241" s="39" t="n">
        <x:v>39853</x:v>
      </x:c>
      <x:c r="H241" s="21" t="str">
        <x:v>Beijing Television Cultural Center fire高层建筑外立面火灾。死亡 1，受伤 7；表中记录的受影响楼层为 44。</x:v>
      </x:c>
      <x:c r="I241" s="21" t="str">
        <x:v>未检索到/待核实</x:v>
      </x:c>
      <x:c r="J241" s="21" t="str">
        <x:v>死亡 1，受伤 7；表中记录的受影响楼层为 44。</x:v>
      </x:c>
      <x:c r="K241" s="21" t="str">
        <x:v>https://en.wikipedia.org/wiki/Beijing_Television_Cultural_Center_fire</x:v>
      </x:c>
      <x:c r="L241" s="27"/>
      <x:c r="M241" s="27"/>
      <x:c r="N241" s="21" t="str">
        <x:v>未提供坐标</x:v>
      </x:c>
      <x:c r="O241" s="21" t="str">
        <x:v>高层建筑外立面火灾</x:v>
      </x:c>
      <x:c r="P241" s="21" t="str">
        <x:v>未检索到</x:v>
      </x:c>
      <x:c r="Q241" s="21" t="str">
        <x:v>未检索到</x:v>
      </x:c>
      <x:c r="R241" s="21" t="str">
        <x:v>44</x:v>
      </x:c>
      <x:c r="S241" s="21" t="str">
        <x:v>未检索到</x:v>
      </x:c>
      <x:c r="T241" s="42" t="n">
        <x:v>1</x:v>
      </x:c>
      <x:c r="U241" s="42"/>
      <x:c r="V241" s="42"/>
      <x:c r="W241" s="33" t="str">
        <x:v>B</x:v>
      </x:c>
      <x:c r="X241" s="33" t="str">
        <x:v>compendium_needs_independent_verification</x:v>
      </x:c>
      <x:c r="Y241" s="33" t="str">
        <x:v>候选待核实</x:v>
      </x:c>
      <x:c r="Z241" s="21" t="str">
        <x:v>Wikipedia具名事件页+高层专题表</x:v>
      </x:c>
      <x:c r="AA241" s="21" t="str">
        <x:v>List of high-rise façade fires</x:v>
      </x:c>
      <x:c r="AB241" s="21" t="str">
        <x:v>Wikipedia专题列表</x:v>
      </x:c>
      <x:c r="AC241" s="21" t="str"/>
      <x:c r="AD241" s="21" t="n">
        <x:v>1</x:v>
      </x:c>
      <x:c r="AE241" s="21" t="str">
        <x:v>未检查</x:v>
      </x:c>
      <x:c r="AF241" s="21" t="str"/>
      <x:c r="AG241" s="24" t="n">
        <x:v>46260</x:v>
      </x:c>
      <x:c r="AH241" s="21" t="str"/>
      <x:c r="AI241" s="21" t="n">
        <x:v>1</x:v>
      </x:c>
      <x:c r="AJ241" s="21" t="str">
        <x:v>未评估（本事件表不建立热浪因果关系）</x:v>
      </x:c>
      <x:c r="AK241" s="21" t="str">
        <x:v>缺失/待核实</x:v>
      </x:c>
    </x:row>
    <x:row r="242" ht="42" customHeight="1">
      <x:c r="A242" s="33" t="n">
        <x:v>241</x:v>
      </x:c>
      <x:c r="B242" s="33" t="str">
        <x:v>RAW-0241</x:v>
      </x:c>
      <x:c r="C242" s="36" t="str">
        <x:v>欧洲</x:v>
      </x:c>
      <x:c r="D242" s="36" t="str">
        <x:v>United Kingdom</x:v>
      </x:c>
      <x:c r="E242" s="21" t="str">
        <x:v>London</x:v>
      </x:c>
      <x:c r="F242" s="21" t="str">
        <x:v>Lakanal House fire</x:v>
      </x:c>
      <x:c r="G242" s="39" t="n">
        <x:v>39997</x:v>
      </x:c>
      <x:c r="H242" s="21" t="str">
        <x:v>Lakanal House fire高层建筑外立面火灾。死亡 6，受伤 20；表中记录的受影响楼层为 0。</x:v>
      </x:c>
      <x:c r="I242" s="21" t="str">
        <x:v>未检索到/待核实</x:v>
      </x:c>
      <x:c r="J242" s="21" t="str">
        <x:v>死亡 6，受伤 20；表中记录的受影响楼层为 0。</x:v>
      </x:c>
      <x:c r="K242" s="21" t="str">
        <x:v>https://en.wikipedia.org/wiki/Lakanal_House_fire</x:v>
      </x:c>
      <x:c r="L242" s="27"/>
      <x:c r="M242" s="27"/>
      <x:c r="N242" s="21" t="str">
        <x:v>未提供坐标</x:v>
      </x:c>
      <x:c r="O242" s="21" t="str">
        <x:v>高层建筑外立面火灾</x:v>
      </x:c>
      <x:c r="P242" s="21" t="str">
        <x:v>未检索到</x:v>
      </x:c>
      <x:c r="Q242" s="21" t="str">
        <x:v>未检索到</x:v>
      </x:c>
      <x:c r="R242" s="21" t="str">
        <x:v>0</x:v>
      </x:c>
      <x:c r="S242" s="21" t="str">
        <x:v>未检索到</x:v>
      </x:c>
      <x:c r="T242" s="42" t="n">
        <x:v>6</x:v>
      </x:c>
      <x:c r="U242" s="42"/>
      <x:c r="V242" s="42"/>
      <x:c r="W242" s="33" t="str">
        <x:v>B</x:v>
      </x:c>
      <x:c r="X242" s="33" t="str">
        <x:v>compendium_needs_independent_verification</x:v>
      </x:c>
      <x:c r="Y242" s="33" t="str">
        <x:v>候选待核实</x:v>
      </x:c>
      <x:c r="Z242" s="21" t="str">
        <x:v>Wikipedia具名事件页+高层专题表</x:v>
      </x:c>
      <x:c r="AA242" s="21" t="str">
        <x:v>List of high-rise façade fires</x:v>
      </x:c>
      <x:c r="AB242" s="21" t="str">
        <x:v>Wikipedia专题列表</x:v>
      </x:c>
      <x:c r="AC242" s="21" t="str"/>
      <x:c r="AD242" s="21" t="n">
        <x:v>1</x:v>
      </x:c>
      <x:c r="AE242" s="21" t="str">
        <x:v>未检查</x:v>
      </x:c>
      <x:c r="AF242" s="21" t="str"/>
      <x:c r="AG242" s="24" t="n">
        <x:v>46260</x:v>
      </x:c>
      <x:c r="AH242" s="21" t="str"/>
      <x:c r="AI242" s="21" t="n">
        <x:v>1</x:v>
      </x:c>
      <x:c r="AJ242" s="21" t="str">
        <x:v>未评估（本事件表不建立热浪因果关系）</x:v>
      </x:c>
      <x:c r="AK242" s="21" t="str">
        <x:v>缺失/待核实</x:v>
      </x:c>
    </x:row>
    <x:row r="243" ht="42" customHeight="1">
      <x:c r="A243" s="33" t="n">
        <x:v>242</x:v>
      </x:c>
      <x:c r="B243" s="33" t="str">
        <x:v>RAW-0242</x:v>
      </x:c>
      <x:c r="C243" s="36" t="str">
        <x:v>欧洲</x:v>
      </x:c>
      <x:c r="D243" s="36" t="str">
        <x:v>Hungary</x:v>
      </x:c>
      <x:c r="E243" s="21" t="str">
        <x:v>Miskolc</x:v>
      </x:c>
      <x:c r="F243" s="21" t="str">
        <x:v>Kozepszer Street Flats fire</x:v>
      </x:c>
      <x:c r="G243" s="39" t="n">
        <x:v>40040</x:v>
      </x:c>
      <x:c r="H243" s="21" t="str">
        <x:v>Kozepszer Street Flats高层建筑外立面火灾。死亡 3，受伤 0；表中记录的受影响楼层为 6。</x:v>
      </x:c>
      <x:c r="I243" s="21" t="str">
        <x:v>未检索到/待核实</x:v>
      </x:c>
      <x:c r="J243" s="21" t="str">
        <x:v>死亡 3，受伤 0；表中记录的受影响楼层为 6。</x:v>
      </x:c>
      <x:c r="K243" s="21" t="str">
        <x:v>https://doi.org/10.1007%2F978-1-4939-2898-9_4</x:v>
      </x:c>
      <x:c r="L243" s="27"/>
      <x:c r="M243" s="27"/>
      <x:c r="N243" s="21" t="str">
        <x:v>未提供坐标</x:v>
      </x:c>
      <x:c r="O243" s="21" t="str">
        <x:v>高层建筑外立面火灾</x:v>
      </x:c>
      <x:c r="P243" s="21" t="str">
        <x:v>未检索到</x:v>
      </x:c>
      <x:c r="Q243" s="21" t="str">
        <x:v>未检索到</x:v>
      </x:c>
      <x:c r="R243" s="21" t="str">
        <x:v>6</x:v>
      </x:c>
      <x:c r="S243" s="21" t="str">
        <x:v>未检索到</x:v>
      </x:c>
      <x:c r="T243" s="42" t="n">
        <x:v>3</x:v>
      </x:c>
      <x:c r="U243" s="42"/>
      <x:c r="V243" s="42"/>
      <x:c r="W243" s="33" t="str">
        <x:v>C</x:v>
      </x:c>
      <x:c r="X243" s="33" t="str">
        <x:v>compendium_needs_independent_verification</x:v>
      </x:c>
      <x:c r="Y243" s="33" t="str">
        <x:v>候选待核实</x:v>
      </x:c>
      <x:c r="Z243" s="21" t="str">
        <x:v>Wikipedia高层专题表；需补充独立来源核验</x:v>
      </x:c>
      <x:c r="AA243" s="21" t="str">
        <x:v>List of high-rise façade fires</x:v>
      </x:c>
      <x:c r="AB243" s="21" t="str">
        <x:v>Wikipedia专题列表</x:v>
      </x:c>
      <x:c r="AC243" s="21" t="str"/>
      <x:c r="AD243" s="21" t="n">
        <x:v>1</x:v>
      </x:c>
      <x:c r="AE243" s="21" t="str">
        <x:v>未检查</x:v>
      </x:c>
      <x:c r="AF243" s="21" t="str"/>
      <x:c r="AG243" s="24" t="n">
        <x:v>46260</x:v>
      </x:c>
      <x:c r="AH243" s="21" t="str"/>
      <x:c r="AI243" s="21" t="n">
        <x:v>1</x:v>
      </x:c>
      <x:c r="AJ243" s="21" t="str">
        <x:v>未评估（本事件表不建立热浪因果关系）</x:v>
      </x:c>
      <x:c r="AK243" s="21" t="str">
        <x:v>缺失/待核实</x:v>
      </x:c>
    </x:row>
    <x:row r="244" ht="42" customHeight="1">
      <x:c r="A244" s="33" t="n">
        <x:v>243</x:v>
      </x:c>
      <x:c r="B244" s="33" t="str">
        <x:v>RAW-0243</x:v>
      </x:c>
      <x:c r="C244" s="36" t="str">
        <x:v>亚洲</x:v>
      </x:c>
      <x:c r="D244" s="36" t="str">
        <x:v>United Arab Emirates</x:v>
      </x:c>
      <x:c r="E244" s="21" t="str">
        <x:v>Sharjah</x:v>
      </x:c>
      <x:c r="F244" s="21" t="str">
        <x:v>Al Kuwait Tower fire</x:v>
      </x:c>
      <x:c r="G244" s="39" t="n">
        <x:v>40365</x:v>
      </x:c>
      <x:c r="H244" s="21" t="str">
        <x:v>Al Kuwait Tower高层建筑外立面火灾。死亡 0，受伤 0；表中记录的受影响楼层为 10。</x:v>
      </x:c>
      <x:c r="I244" s="21" t="str">
        <x:v>未检索到/待核实</x:v>
      </x:c>
      <x:c r="J244" s="21" t="str">
        <x:v>死亡 0，受伤 0；表中记录的受影响楼层为 10。</x:v>
      </x:c>
      <x:c r="K244" s="21" t="str">
        <x:v>https://doi.org/10.26616%2Fnioshfffacef201711</x:v>
      </x:c>
      <x:c r="L244" s="27"/>
      <x:c r="M244" s="27"/>
      <x:c r="N244" s="21" t="str">
        <x:v>未提供坐标</x:v>
      </x:c>
      <x:c r="O244" s="21" t="str">
        <x:v>高层建筑外立面火灾</x:v>
      </x:c>
      <x:c r="P244" s="21" t="str">
        <x:v>未检索到</x:v>
      </x:c>
      <x:c r="Q244" s="21" t="str">
        <x:v>未检索到</x:v>
      </x:c>
      <x:c r="R244" s="21" t="str">
        <x:v>10</x:v>
      </x:c>
      <x:c r="S244" s="21" t="str">
        <x:v>未检索到</x:v>
      </x:c>
      <x:c r="T244" s="42" t="n">
        <x:v>0</x:v>
      </x:c>
      <x:c r="U244" s="42"/>
      <x:c r="V244" s="42"/>
      <x:c r="W244" s="33" t="str">
        <x:v>C</x:v>
      </x:c>
      <x:c r="X244" s="33" t="str">
        <x:v>compendium_needs_independent_verification</x:v>
      </x:c>
      <x:c r="Y244" s="33" t="str">
        <x:v>候选待核实</x:v>
      </x:c>
      <x:c r="Z244" s="21" t="str">
        <x:v>Wikipedia高层专题表；需补充独立来源核验</x:v>
      </x:c>
      <x:c r="AA244" s="21" t="str">
        <x:v>List of high-rise façade fires</x:v>
      </x:c>
      <x:c r="AB244" s="21" t="str">
        <x:v>Wikipedia专题列表</x:v>
      </x:c>
      <x:c r="AC244" s="21" t="str"/>
      <x:c r="AD244" s="21" t="n">
        <x:v>1</x:v>
      </x:c>
      <x:c r="AE244" s="21" t="str">
        <x:v>未检查</x:v>
      </x:c>
      <x:c r="AF244" s="21" t="str"/>
      <x:c r="AG244" s="24" t="n">
        <x:v>46260</x:v>
      </x:c>
      <x:c r="AH244" s="21" t="str"/>
      <x:c r="AI244" s="21" t="n">
        <x:v>1</x:v>
      </x:c>
      <x:c r="AJ244" s="21" t="str">
        <x:v>未评估（本事件表不建立热浪因果关系）</x:v>
      </x:c>
      <x:c r="AK244" s="21" t="str">
        <x:v>缺失/待核实</x:v>
      </x:c>
    </x:row>
    <x:row r="245" ht="42" customHeight="1">
      <x:c r="A245" s="33" t="n">
        <x:v>244</x:v>
      </x:c>
      <x:c r="B245" s="33" t="str">
        <x:v>RAW-0244</x:v>
      </x:c>
      <x:c r="C245" s="36" t="str">
        <x:v>亚洲</x:v>
      </x:c>
      <x:c r="D245" s="36" t="str">
        <x:v>South Korea</x:v>
      </x:c>
      <x:c r="E245" s="21" t="str">
        <x:v>Busan</x:v>
      </x:c>
      <x:c r="F245" s="21" t="str">
        <x:v>Wooshin Golden Suites fire</x:v>
      </x:c>
      <x:c r="G245" s="39" t="n">
        <x:v>40422</x:v>
      </x:c>
      <x:c r="H245" s="21" t="str">
        <x:v>Wooshin Golden Suites fire高层建筑外立面火灾。死亡 0，受伤 5；表中记录的受影响楼层为 35。</x:v>
      </x:c>
      <x:c r="I245" s="21" t="str">
        <x:v>未检索到/待核实</x:v>
      </x:c>
      <x:c r="J245" s="21" t="str">
        <x:v>死亡 0，受伤 5；表中记录的受影响楼层为 35。</x:v>
      </x:c>
      <x:c r="K245" s="21" t="str">
        <x:v>https://en.wikipedia.org/wiki/Wooshin_Golden_Suites_fire</x:v>
      </x:c>
      <x:c r="L245" s="27"/>
      <x:c r="M245" s="27"/>
      <x:c r="N245" s="21" t="str">
        <x:v>未提供坐标</x:v>
      </x:c>
      <x:c r="O245" s="21" t="str">
        <x:v>高层建筑外立面火灾</x:v>
      </x:c>
      <x:c r="P245" s="21" t="str">
        <x:v>未检索到</x:v>
      </x:c>
      <x:c r="Q245" s="21" t="str">
        <x:v>未检索到</x:v>
      </x:c>
      <x:c r="R245" s="21" t="str">
        <x:v>35</x:v>
      </x:c>
      <x:c r="S245" s="21" t="str">
        <x:v>未检索到</x:v>
      </x:c>
      <x:c r="T245" s="42" t="n">
        <x:v>0</x:v>
      </x:c>
      <x:c r="U245" s="42"/>
      <x:c r="V245" s="42"/>
      <x:c r="W245" s="33" t="str">
        <x:v>B</x:v>
      </x:c>
      <x:c r="X245" s="33" t="str">
        <x:v>compendium_needs_independent_verification</x:v>
      </x:c>
      <x:c r="Y245" s="33" t="str">
        <x:v>候选待核实</x:v>
      </x:c>
      <x:c r="Z245" s="21" t="str">
        <x:v>Wikipedia具名事件页+高层专题表</x:v>
      </x:c>
      <x:c r="AA245" s="21" t="str">
        <x:v>List of high-rise façade fires</x:v>
      </x:c>
      <x:c r="AB245" s="21" t="str">
        <x:v>Wikipedia专题列表</x:v>
      </x:c>
      <x:c r="AC245" s="21" t="str"/>
      <x:c r="AD245" s="21" t="n">
        <x:v>1</x:v>
      </x:c>
      <x:c r="AE245" s="21" t="str">
        <x:v>未检查</x:v>
      </x:c>
      <x:c r="AF245" s="21" t="str"/>
      <x:c r="AG245" s="24" t="n">
        <x:v>46260</x:v>
      </x:c>
      <x:c r="AH245" s="21" t="str"/>
      <x:c r="AI245" s="21" t="n">
        <x:v>1</x:v>
      </x:c>
      <x:c r="AJ245" s="21" t="str">
        <x:v>未评估（本事件表不建立热浪因果关系）</x:v>
      </x:c>
      <x:c r="AK245" s="21" t="str">
        <x:v>缺失/待核实</x:v>
      </x:c>
    </x:row>
    <x:row r="246" ht="42" customHeight="1">
      <x:c r="A246" s="33" t="n">
        <x:v>245</x:v>
      </x:c>
      <x:c r="B246" s="33" t="str">
        <x:v>RAW-0245</x:v>
      </x:c>
      <x:c r="C246" s="36" t="str">
        <x:v>欧洲</x:v>
      </x:c>
      <x:c r="D246" s="36" t="str">
        <x:v>France</x:v>
      </x:c>
      <x:c r="E246" s="21" t="str">
        <x:v>Dijon</x:v>
      </x:c>
      <x:c r="F246" s="21" t="str">
        <x:v>4 Rue du Lac Flats fire</x:v>
      </x:c>
      <x:c r="G246" s="39" t="n">
        <x:v>40496</x:v>
      </x:c>
      <x:c r="H246" s="21" t="str">
        <x:v>4 Rue du Lac Flats高层建筑外立面火灾。死亡 7，受伤 11；表中记录的受影响楼层为 1。</x:v>
      </x:c>
      <x:c r="I246" s="21" t="str">
        <x:v>未检索到/待核实</x:v>
      </x:c>
      <x:c r="J246" s="21" t="str">
        <x:v>死亡 7，受伤 11；表中记录的受影响楼层为 1。</x:v>
      </x:c>
      <x:c r="K246" s="21" t="str">
        <x:v>https://doi.org/10.1007%2F978-1-4939-2898-9_4</x:v>
      </x:c>
      <x:c r="L246" s="27"/>
      <x:c r="M246" s="27"/>
      <x:c r="N246" s="21" t="str">
        <x:v>未提供坐标</x:v>
      </x:c>
      <x:c r="O246" s="21" t="str">
        <x:v>高层建筑外立面火灾</x:v>
      </x:c>
      <x:c r="P246" s="21" t="str">
        <x:v>未检索到</x:v>
      </x:c>
      <x:c r="Q246" s="21" t="str">
        <x:v>未检索到</x:v>
      </x:c>
      <x:c r="R246" s="21" t="str">
        <x:v>1</x:v>
      </x:c>
      <x:c r="S246" s="21" t="str">
        <x:v>未检索到</x:v>
      </x:c>
      <x:c r="T246" s="42" t="n">
        <x:v>7</x:v>
      </x:c>
      <x:c r="U246" s="42"/>
      <x:c r="V246" s="42"/>
      <x:c r="W246" s="33" t="str">
        <x:v>C</x:v>
      </x:c>
      <x:c r="X246" s="33" t="str">
        <x:v>compendium_needs_independent_verification</x:v>
      </x:c>
      <x:c r="Y246" s="33" t="str">
        <x:v>候选待核实</x:v>
      </x:c>
      <x:c r="Z246" s="21" t="str">
        <x:v>Wikipedia高层专题表；需补充独立来源核验</x:v>
      </x:c>
      <x:c r="AA246" s="21" t="str">
        <x:v>List of high-rise façade fires</x:v>
      </x:c>
      <x:c r="AB246" s="21" t="str">
        <x:v>Wikipedia专题列表</x:v>
      </x:c>
      <x:c r="AC246" s="21" t="str"/>
      <x:c r="AD246" s="21" t="n">
        <x:v>1</x:v>
      </x:c>
      <x:c r="AE246" s="21" t="str">
        <x:v>未检查</x:v>
      </x:c>
      <x:c r="AF246" s="21" t="str"/>
      <x:c r="AG246" s="24" t="n">
        <x:v>46260</x:v>
      </x:c>
      <x:c r="AH246" s="21" t="str"/>
      <x:c r="AI246" s="21" t="n">
        <x:v>1</x:v>
      </x:c>
      <x:c r="AJ246" s="21" t="str">
        <x:v>未评估（本事件表不建立热浪因果关系）</x:v>
      </x:c>
      <x:c r="AK246" s="21" t="str">
        <x:v>缺失/待核实</x:v>
      </x:c>
    </x:row>
    <x:row r="247" ht="42" customHeight="1">
      <x:c r="A247" s="33" t="n">
        <x:v>246</x:v>
      </x:c>
      <x:c r="B247" s="33" t="str">
        <x:v>RAW-0246</x:v>
      </x:c>
      <x:c r="C247" s="36" t="str">
        <x:v>亚洲</x:v>
      </x:c>
      <x:c r="D247" s="36" t="str">
        <x:v>China</x:v>
      </x:c>
      <x:c r="E247" s="21" t="str">
        <x:v>Shanghai</x:v>
      </x:c>
      <x:c r="F247" s="21" t="str">
        <x:v>Jiaozhou Road</x:v>
      </x:c>
      <x:c r="G247" s="39" t="n">
        <x:v>40497</x:v>
      </x:c>
      <x:c r="H247" s="21" t="str">
        <x:v>Jiaozhou Road高层建筑外立面火灾。死亡 58，受伤 71；表中记录的受影响楼层为 28。</x:v>
      </x:c>
      <x:c r="I247" s="21" t="str">
        <x:v>未检索到/待核实</x:v>
      </x:c>
      <x:c r="J247" s="21" t="str">
        <x:v>死亡 58，受伤 71；表中记录的受影响楼层为 28。</x:v>
      </x:c>
      <x:c r="K247" s="21" t="str">
        <x:v>https://en.wikipedia.org/wiki/2010_Shanghai_fire</x:v>
      </x:c>
      <x:c r="L247" s="27"/>
      <x:c r="M247" s="27"/>
      <x:c r="N247" s="21" t="str">
        <x:v>未提供坐标</x:v>
      </x:c>
      <x:c r="O247" s="21" t="str">
        <x:v>高层建筑外立面火灾</x:v>
      </x:c>
      <x:c r="P247" s="21" t="str">
        <x:v>未检索到</x:v>
      </x:c>
      <x:c r="Q247" s="21" t="str">
        <x:v>未检索到</x:v>
      </x:c>
      <x:c r="R247" s="21" t="str">
        <x:v>28</x:v>
      </x:c>
      <x:c r="S247" s="21" t="str">
        <x:v>未检索到</x:v>
      </x:c>
      <x:c r="T247" s="42" t="n">
        <x:v>58</x:v>
      </x:c>
      <x:c r="U247" s="42"/>
      <x:c r="V247" s="42"/>
      <x:c r="W247" s="33" t="str">
        <x:v>B</x:v>
      </x:c>
      <x:c r="X247" s="33" t="str">
        <x:v>compendium_needs_independent_verification</x:v>
      </x:c>
      <x:c r="Y247" s="33" t="str">
        <x:v>候选待核实</x:v>
      </x:c>
      <x:c r="Z247" s="21" t="str">
        <x:v>Wikipedia具名事件页+高层专题表</x:v>
      </x:c>
      <x:c r="AA247" s="21" t="str">
        <x:v>List of high-rise façade fires</x:v>
      </x:c>
      <x:c r="AB247" s="21" t="str">
        <x:v>Wikipedia专题列表</x:v>
      </x:c>
      <x:c r="AC247" s="21" t="str"/>
      <x:c r="AD247" s="21" t="n">
        <x:v>1</x:v>
      </x:c>
      <x:c r="AE247" s="21" t="str">
        <x:v>未检查</x:v>
      </x:c>
      <x:c r="AF247" s="21" t="str"/>
      <x:c r="AG247" s="24" t="n">
        <x:v>46260</x:v>
      </x:c>
      <x:c r="AH247" s="21" t="str"/>
      <x:c r="AI247" s="21" t="n">
        <x:v>1</x:v>
      </x:c>
      <x:c r="AJ247" s="21" t="str">
        <x:v>未评估（本事件表不建立热浪因果关系）</x:v>
      </x:c>
      <x:c r="AK247" s="21" t="str">
        <x:v>缺失/待核实</x:v>
      </x:c>
    </x:row>
    <x:row r="248" ht="42" customHeight="1">
      <x:c r="A248" s="33" t="n">
        <x:v>247</x:v>
      </x:c>
      <x:c r="B248" s="33" t="str">
        <x:v>RAW-0247</x:v>
      </x:c>
      <x:c r="C248" s="36" t="str">
        <x:v>亚洲</x:v>
      </x:c>
      <x:c r="D248" s="36" t="str">
        <x:v>China</x:v>
      </x:c>
      <x:c r="E248" s="21" t="str">
        <x:v>Shenyang</x:v>
      </x:c>
      <x:c r="F248" s="21" t="str">
        <x:v>Royal Wanxin Hotel fire</x:v>
      </x:c>
      <x:c r="G248" s="39" t="n">
        <x:v>40577</x:v>
      </x:c>
      <x:c r="H248" s="21" t="str">
        <x:v>Royal Wanxin Hotel高层建筑外立面火灾。死亡 0，受伤 0；表中记录的受影响楼层为 1。</x:v>
      </x:c>
      <x:c r="I248" s="21" t="str">
        <x:v>未检索到/待核实</x:v>
      </x:c>
      <x:c r="J248" s="21" t="str">
        <x:v>死亡 0，受伤 0；表中记录的受影响楼层为 1。</x:v>
      </x:c>
      <x:c r="K248" s="21" t="str">
        <x:v>https://www.wsj.com/articles/SB10001424052748703437304576121110358201974</x:v>
      </x:c>
      <x:c r="L248" s="27"/>
      <x:c r="M248" s="27"/>
      <x:c r="N248" s="21" t="str">
        <x:v>未提供坐标</x:v>
      </x:c>
      <x:c r="O248" s="21" t="str">
        <x:v>高层建筑外立面火灾</x:v>
      </x:c>
      <x:c r="P248" s="21" t="str">
        <x:v>未检索到</x:v>
      </x:c>
      <x:c r="Q248" s="21" t="str">
        <x:v>未检索到</x:v>
      </x:c>
      <x:c r="R248" s="21" t="str">
        <x:v>1</x:v>
      </x:c>
      <x:c r="S248" s="21" t="str">
        <x:v>未检索到</x:v>
      </x:c>
      <x:c r="T248" s="42" t="n">
        <x:v>0</x:v>
      </x:c>
      <x:c r="U248" s="42"/>
      <x:c r="V248" s="42"/>
      <x:c r="W248" s="33" t="str">
        <x:v>C</x:v>
      </x:c>
      <x:c r="X248" s="33" t="str">
        <x:v>compendium_needs_independent_verification</x:v>
      </x:c>
      <x:c r="Y248" s="33" t="str">
        <x:v>候选待核实</x:v>
      </x:c>
      <x:c r="Z248" s="21" t="str">
        <x:v>Wikipedia高层专题表；需补充独立来源核验</x:v>
      </x:c>
      <x:c r="AA248" s="21" t="str">
        <x:v>List of high-rise façade fires</x:v>
      </x:c>
      <x:c r="AB248" s="21" t="str">
        <x:v>Wikipedia专题列表</x:v>
      </x:c>
      <x:c r="AC248" s="21" t="str"/>
      <x:c r="AD248" s="21" t="n">
        <x:v>1</x:v>
      </x:c>
      <x:c r="AE248" s="21" t="str">
        <x:v>未检查</x:v>
      </x:c>
      <x:c r="AF248" s="21" t="str"/>
      <x:c r="AG248" s="24" t="n">
        <x:v>46260</x:v>
      </x:c>
      <x:c r="AH248" s="21" t="str"/>
      <x:c r="AI248" s="21" t="n">
        <x:v>1</x:v>
      </x:c>
      <x:c r="AJ248" s="21" t="str">
        <x:v>未评估（本事件表不建立热浪因果关系）</x:v>
      </x:c>
      <x:c r="AK248" s="21" t="str">
        <x:v>缺失/待核实</x:v>
      </x:c>
    </x:row>
    <x:row r="249" ht="42" customHeight="1">
      <x:c r="A249" s="33" t="n">
        <x:v>248</x:v>
      </x:c>
      <x:c r="B249" s="33" t="str">
        <x:v>RAW-0248</x:v>
      </x:c>
      <x:c r="C249" s="36" t="str">
        <x:v>亚洲</x:v>
      </x:c>
      <x:c r="D249" s="36" t="str">
        <x:v>United Arab Emirates</x:v>
      </x:c>
      <x:c r="E249" s="21" t="str">
        <x:v>Sharjah</x:v>
      </x:c>
      <x:c r="F249" s="21" t="str">
        <x:v>Al Baker Tower fire</x:v>
      </x:c>
      <x:c r="G249" s="39" t="n">
        <x:v>40926</x:v>
      </x:c>
      <x:c r="H249" s="21" t="str">
        <x:v>Al Baker Tower高层建筑外立面火灾。死亡 0，受伤 0；表中记录的受影响楼层为 1。</x:v>
      </x:c>
      <x:c r="I249" s="21" t="str">
        <x:v>未检索到/待核实</x:v>
      </x:c>
      <x:c r="J249" s="21" t="str">
        <x:v>死亡 0，受伤 0；表中记录的受影响楼层为 1。</x:v>
      </x:c>
      <x:c r="K249" s="21" t="str">
        <x:v>https://gulfnews.com/uae/tossed-lighted-cigarette-caused-fire-in-al-baker-tower-1.1012778</x:v>
      </x:c>
      <x:c r="L249" s="27"/>
      <x:c r="M249" s="27"/>
      <x:c r="N249" s="21" t="str">
        <x:v>未提供坐标</x:v>
      </x:c>
      <x:c r="O249" s="21" t="str">
        <x:v>高层建筑外立面火灾</x:v>
      </x:c>
      <x:c r="P249" s="21" t="str">
        <x:v>未检索到</x:v>
      </x:c>
      <x:c r="Q249" s="21" t="str">
        <x:v>未检索到</x:v>
      </x:c>
      <x:c r="R249" s="21" t="str">
        <x:v>1</x:v>
      </x:c>
      <x:c r="S249" s="21" t="str">
        <x:v>未检索到</x:v>
      </x:c>
      <x:c r="T249" s="42" t="n">
        <x:v>0</x:v>
      </x:c>
      <x:c r="U249" s="42"/>
      <x:c r="V249" s="42"/>
      <x:c r="W249" s="33" t="str">
        <x:v>C</x:v>
      </x:c>
      <x:c r="X249" s="33" t="str">
        <x:v>compendium_needs_independent_verification</x:v>
      </x:c>
      <x:c r="Y249" s="33" t="str">
        <x:v>候选待核实</x:v>
      </x:c>
      <x:c r="Z249" s="21" t="str">
        <x:v>Wikipedia高层专题表；需补充独立来源核验</x:v>
      </x:c>
      <x:c r="AA249" s="21" t="str">
        <x:v>List of high-rise façade fires</x:v>
      </x:c>
      <x:c r="AB249" s="21" t="str">
        <x:v>Wikipedia专题列表</x:v>
      </x:c>
      <x:c r="AC249" s="21" t="str"/>
      <x:c r="AD249" s="21" t="n">
        <x:v>1</x:v>
      </x:c>
      <x:c r="AE249" s="21" t="str">
        <x:v>未检查</x:v>
      </x:c>
      <x:c r="AF249" s="21" t="str"/>
      <x:c r="AG249" s="24" t="n">
        <x:v>46260</x:v>
      </x:c>
      <x:c r="AH249" s="21" t="str"/>
      <x:c r="AI249" s="21" t="n">
        <x:v>1</x:v>
      </x:c>
      <x:c r="AJ249" s="21" t="str">
        <x:v>未评估（本事件表不建立热浪因果关系）</x:v>
      </x:c>
      <x:c r="AK249" s="21" t="str">
        <x:v>缺失/待核实</x:v>
      </x:c>
    </x:row>
    <x:row r="250" ht="42" customHeight="1">
      <x:c r="A250" s="33" t="n">
        <x:v>249</x:v>
      </x:c>
      <x:c r="B250" s="33" t="str">
        <x:v>RAW-0249</x:v>
      </x:c>
      <x:c r="C250" s="36" t="str">
        <x:v>亚洲</x:v>
      </x:c>
      <x:c r="D250" s="36" t="str">
        <x:v>United Arab Emirates</x:v>
      </x:c>
      <x:c r="E250" s="21" t="str">
        <x:v>Sharjah</x:v>
      </x:c>
      <x:c r="F250" s="21" t="str">
        <x:v>Al Tayer Tower fire</x:v>
      </x:c>
      <x:c r="G250" s="39" t="n">
        <x:v>41027</x:v>
      </x:c>
      <x:c r="H250" s="21" t="str">
        <x:v>Al Tayer Tower高层建筑外立面火灾。死亡 0，受伤 0；表中记录的受影响楼层为 1。</x:v>
      </x:c>
      <x:c r="I250" s="21" t="str">
        <x:v>未检索到/待核实</x:v>
      </x:c>
      <x:c r="J250" s="21" t="str">
        <x:v>死亡 0，受伤 0；表中记录的受影响楼层为 1。</x:v>
      </x:c>
      <x:c r="K250" s="21" t="str">
        <x:v>https://doi.org/10.1007%2F978-1-4939-2898-9_4</x:v>
      </x:c>
      <x:c r="L250" s="27"/>
      <x:c r="M250" s="27"/>
      <x:c r="N250" s="21" t="str">
        <x:v>未提供坐标</x:v>
      </x:c>
      <x:c r="O250" s="21" t="str">
        <x:v>高层建筑外立面火灾</x:v>
      </x:c>
      <x:c r="P250" s="21" t="str">
        <x:v>未检索到</x:v>
      </x:c>
      <x:c r="Q250" s="21" t="str">
        <x:v>未检索到</x:v>
      </x:c>
      <x:c r="R250" s="21" t="str">
        <x:v>1</x:v>
      </x:c>
      <x:c r="S250" s="21" t="str">
        <x:v>未检索到</x:v>
      </x:c>
      <x:c r="T250" s="42" t="n">
        <x:v>0</x:v>
      </x:c>
      <x:c r="U250" s="42"/>
      <x:c r="V250" s="42"/>
      <x:c r="W250" s="33" t="str">
        <x:v>C</x:v>
      </x:c>
      <x:c r="X250" s="33" t="str">
        <x:v>compendium_needs_independent_verification</x:v>
      </x:c>
      <x:c r="Y250" s="33" t="str">
        <x:v>候选待核实</x:v>
      </x:c>
      <x:c r="Z250" s="21" t="str">
        <x:v>Wikipedia高层专题表；需补充独立来源核验</x:v>
      </x:c>
      <x:c r="AA250" s="21" t="str">
        <x:v>List of high-rise façade fires</x:v>
      </x:c>
      <x:c r="AB250" s="21" t="str">
        <x:v>Wikipedia专题列表</x:v>
      </x:c>
      <x:c r="AC250" s="21" t="str"/>
      <x:c r="AD250" s="21" t="n">
        <x:v>1</x:v>
      </x:c>
      <x:c r="AE250" s="21" t="str">
        <x:v>未检查</x:v>
      </x:c>
      <x:c r="AF250" s="21" t="str"/>
      <x:c r="AG250" s="24" t="n">
        <x:v>46260</x:v>
      </x:c>
      <x:c r="AH250" s="21" t="str"/>
      <x:c r="AI250" s="21" t="n">
        <x:v>1</x:v>
      </x:c>
      <x:c r="AJ250" s="21" t="str">
        <x:v>未评估（本事件表不建立热浪因果关系）</x:v>
      </x:c>
      <x:c r="AK250" s="21" t="str">
        <x:v>缺失/待核实</x:v>
      </x:c>
    </x:row>
    <x:row r="251" ht="42" customHeight="1">
      <x:c r="A251" s="33" t="n">
        <x:v>250</x:v>
      </x:c>
      <x:c r="B251" s="33" t="str">
        <x:v>RAW-0250</x:v>
      </x:c>
      <x:c r="C251" s="36" t="str">
        <x:v>欧洲</x:v>
      </x:c>
      <x:c r="D251" s="36" t="str">
        <x:v>France</x:v>
      </x:c>
      <x:c r="E251" s="21" t="str">
        <x:v>Roubaix</x:v>
      </x:c>
      <x:c r="F251" s="21" t="str">
        <x:v>Mermoz Tower fire</x:v>
      </x:c>
      <x:c r="G251" s="39" t="n">
        <x:v>41043</x:v>
      </x:c>
      <x:c r="H251" s="21" t="str">
        <x:v>Mermoz Tower高层建筑外立面火灾。死亡 1，受伤 6；表中记录的受影响楼层为 17。</x:v>
      </x:c>
      <x:c r="I251" s="21" t="str">
        <x:v>未检索到/待核实</x:v>
      </x:c>
      <x:c r="J251" s="21" t="str">
        <x:v>死亡 1，受伤 6；表中记录的受影响楼层为 17。</x:v>
      </x:c>
      <x:c r="K251" s="21" t="str">
        <x:v>https://doi.org/10.1007%2F978-1-4939-2898-9_4</x:v>
      </x:c>
      <x:c r="L251" s="27"/>
      <x:c r="M251" s="27"/>
      <x:c r="N251" s="21" t="str">
        <x:v>未提供坐标</x:v>
      </x:c>
      <x:c r="O251" s="21" t="str">
        <x:v>高层建筑外立面火灾</x:v>
      </x:c>
      <x:c r="P251" s="21" t="str">
        <x:v>未检索到</x:v>
      </x:c>
      <x:c r="Q251" s="21" t="str">
        <x:v>未检索到</x:v>
      </x:c>
      <x:c r="R251" s="21" t="str">
        <x:v>17</x:v>
      </x:c>
      <x:c r="S251" s="21" t="str">
        <x:v>未检索到</x:v>
      </x:c>
      <x:c r="T251" s="42" t="n">
        <x:v>1</x:v>
      </x:c>
      <x:c r="U251" s="42"/>
      <x:c r="V251" s="42"/>
      <x:c r="W251" s="33" t="str">
        <x:v>C</x:v>
      </x:c>
      <x:c r="X251" s="33" t="str">
        <x:v>compendium_needs_independent_verification</x:v>
      </x:c>
      <x:c r="Y251" s="33" t="str">
        <x:v>候选待核实</x:v>
      </x:c>
      <x:c r="Z251" s="21" t="str">
        <x:v>Wikipedia高层专题表；需补充独立来源核验</x:v>
      </x:c>
      <x:c r="AA251" s="21" t="str">
        <x:v>List of high-rise façade fires</x:v>
      </x:c>
      <x:c r="AB251" s="21" t="str">
        <x:v>Wikipedia专题列表</x:v>
      </x:c>
      <x:c r="AC251" s="21" t="str"/>
      <x:c r="AD251" s="21" t="n">
        <x:v>1</x:v>
      </x:c>
      <x:c r="AE251" s="21" t="str">
        <x:v>未检查</x:v>
      </x:c>
      <x:c r="AF251" s="21" t="str"/>
      <x:c r="AG251" s="24" t="n">
        <x:v>46260</x:v>
      </x:c>
      <x:c r="AH251" s="21" t="str"/>
      <x:c r="AI251" s="21" t="n">
        <x:v>1</x:v>
      </x:c>
      <x:c r="AJ251" s="21" t="str">
        <x:v>未评估（本事件表不建立热浪因果关系）</x:v>
      </x:c>
      <x:c r="AK251" s="21" t="str">
        <x:v>缺失/待核实</x:v>
      </x:c>
    </x:row>
    <x:row r="252" ht="42" customHeight="1">
      <x:c r="A252" s="33" t="n">
        <x:v>251</x:v>
      </x:c>
      <x:c r="B252" s="33" t="str">
        <x:v>RAW-0251</x:v>
      </x:c>
      <x:c r="C252" s="36" t="str">
        <x:v>亚洲</x:v>
      </x:c>
      <x:c r="D252" s="36" t="str">
        <x:v>Turkey</x:v>
      </x:c>
      <x:c r="E252" s="21" t="str">
        <x:v>Istanbul</x:v>
      </x:c>
      <x:c r="F252" s="21" t="str">
        <x:v>Polat Tower fire</x:v>
      </x:c>
      <x:c r="G252" s="39" t="n">
        <x:v>41107</x:v>
      </x:c>
      <x:c r="H252" s="21" t="str">
        <x:v>Polat Tower高层建筑外立面火灾。死亡 0，受伤 0；表中记录的受影响楼层为 1。</x:v>
      </x:c>
      <x:c r="I252" s="21" t="str">
        <x:v>未检索到/待核实</x:v>
      </x:c>
      <x:c r="J252" s="21" t="str">
        <x:v>死亡 0，受伤 0；表中记录的受影响楼层为 1。</x:v>
      </x:c>
      <x:c r="K252" s="21" t="str">
        <x:v>https://news.sky.com/story/fire-tears-through-istanbul-tower-block-10475629</x:v>
      </x:c>
      <x:c r="L252" s="27"/>
      <x:c r="M252" s="27"/>
      <x:c r="N252" s="21" t="str">
        <x:v>未提供坐标</x:v>
      </x:c>
      <x:c r="O252" s="21" t="str">
        <x:v>高层建筑外立面火灾</x:v>
      </x:c>
      <x:c r="P252" s="21" t="str">
        <x:v>未检索到</x:v>
      </x:c>
      <x:c r="Q252" s="21" t="str">
        <x:v>未检索到</x:v>
      </x:c>
      <x:c r="R252" s="21" t="str">
        <x:v>1</x:v>
      </x:c>
      <x:c r="S252" s="21" t="str">
        <x:v>未检索到</x:v>
      </x:c>
      <x:c r="T252" s="42" t="n">
        <x:v>0</x:v>
      </x:c>
      <x:c r="U252" s="42"/>
      <x:c r="V252" s="42"/>
      <x:c r="W252" s="33" t="str">
        <x:v>C</x:v>
      </x:c>
      <x:c r="X252" s="33" t="str">
        <x:v>compendium_needs_independent_verification</x:v>
      </x:c>
      <x:c r="Y252" s="33" t="str">
        <x:v>候选待核实</x:v>
      </x:c>
      <x:c r="Z252" s="21" t="str">
        <x:v>Wikipedia高层专题表；需补充独立来源核验</x:v>
      </x:c>
      <x:c r="AA252" s="21" t="str">
        <x:v>List of high-rise façade fires</x:v>
      </x:c>
      <x:c r="AB252" s="21" t="str">
        <x:v>Wikipedia专题列表</x:v>
      </x:c>
      <x:c r="AC252" s="21" t="str"/>
      <x:c r="AD252" s="21" t="n">
        <x:v>1</x:v>
      </x:c>
      <x:c r="AE252" s="21" t="str">
        <x:v>未检查</x:v>
      </x:c>
      <x:c r="AF252" s="21" t="str"/>
      <x:c r="AG252" s="24" t="n">
        <x:v>46260</x:v>
      </x:c>
      <x:c r="AH252" s="21" t="str"/>
      <x:c r="AI252" s="21" t="n">
        <x:v>1</x:v>
      </x:c>
      <x:c r="AJ252" s="21" t="str">
        <x:v>未评估（本事件表不建立热浪因果关系）</x:v>
      </x:c>
      <x:c r="AK252" s="21" t="str">
        <x:v>缺失/待核实</x:v>
      </x:c>
    </x:row>
    <x:row r="253" ht="42" customHeight="1">
      <x:c r="A253" s="33" t="n">
        <x:v>252</x:v>
      </x:c>
      <x:c r="B253" s="33" t="str">
        <x:v>RAW-0252</x:v>
      </x:c>
      <x:c r="C253" s="36" t="str">
        <x:v>亚洲</x:v>
      </x:c>
      <x:c r="D253" s="36" t="str">
        <x:v>United Arab Emirates</x:v>
      </x:c>
      <x:c r="E253" s="21" t="str">
        <x:v>Dubai</x:v>
      </x:c>
      <x:c r="F253" s="21" t="str">
        <x:v>Saif Belhasa Building fire</x:v>
      </x:c>
      <x:c r="G253" s="39" t="n">
        <x:v>41188</x:v>
      </x:c>
      <x:c r="H253" s="21" t="str">
        <x:v>Saif Belhasa Building高层建筑外立面火灾。死亡 0，受伤 2+；表中记录的受影响楼层为 9。</x:v>
      </x:c>
      <x:c r="I253" s="21" t="str">
        <x:v>未检索到/待核实</x:v>
      </x:c>
      <x:c r="J253" s="21" t="str">
        <x:v>死亡 0，受伤 2+；表中记录的受影响楼层为 9。</x:v>
      </x:c>
      <x:c r="K253" s="21" t="str">
        <x:v>https://doi.org/10.1007%2F978-1-4939-2898-9_4</x:v>
      </x:c>
      <x:c r="L253" s="27"/>
      <x:c r="M253" s="27"/>
      <x:c r="N253" s="21" t="str">
        <x:v>未提供坐标</x:v>
      </x:c>
      <x:c r="O253" s="21" t="str">
        <x:v>高层建筑外立面火灾</x:v>
      </x:c>
      <x:c r="P253" s="21" t="str">
        <x:v>未检索到</x:v>
      </x:c>
      <x:c r="Q253" s="21" t="str">
        <x:v>未检索到</x:v>
      </x:c>
      <x:c r="R253" s="21" t="str">
        <x:v>9</x:v>
      </x:c>
      <x:c r="S253" s="21" t="str">
        <x:v>未检索到</x:v>
      </x:c>
      <x:c r="T253" s="42" t="n">
        <x:v>0</x:v>
      </x:c>
      <x:c r="U253" s="42"/>
      <x:c r="V253" s="42"/>
      <x:c r="W253" s="33" t="str">
        <x:v>C</x:v>
      </x:c>
      <x:c r="X253" s="33" t="str">
        <x:v>compendium_needs_independent_verification</x:v>
      </x:c>
      <x:c r="Y253" s="33" t="str">
        <x:v>候选待核实</x:v>
      </x:c>
      <x:c r="Z253" s="21" t="str">
        <x:v>Wikipedia高层专题表；需补充独立来源核验</x:v>
      </x:c>
      <x:c r="AA253" s="21" t="str">
        <x:v>List of high-rise façade fires</x:v>
      </x:c>
      <x:c r="AB253" s="21" t="str">
        <x:v>Wikipedia专题列表</x:v>
      </x:c>
      <x:c r="AC253" s="21" t="str"/>
      <x:c r="AD253" s="21" t="n">
        <x:v>1</x:v>
      </x:c>
      <x:c r="AE253" s="21" t="str">
        <x:v>未检查</x:v>
      </x:c>
      <x:c r="AF253" s="21" t="str"/>
      <x:c r="AG253" s="24" t="n">
        <x:v>46260</x:v>
      </x:c>
      <x:c r="AH253" s="21" t="str"/>
      <x:c r="AI253" s="21" t="n">
        <x:v>1</x:v>
      </x:c>
      <x:c r="AJ253" s="21" t="str">
        <x:v>未评估（本事件表不建立热浪因果关系）</x:v>
      </x:c>
      <x:c r="AK253" s="21" t="str">
        <x:v>缺失/待核实</x:v>
      </x:c>
    </x:row>
    <x:row r="254" ht="42" customHeight="1">
      <x:c r="A254" s="33" t="n">
        <x:v>253</x:v>
      </x:c>
      <x:c r="B254" s="33" t="str">
        <x:v>RAW-0253</x:v>
      </x:c>
      <x:c r="C254" s="36" t="str">
        <x:v>亚洲</x:v>
      </x:c>
      <x:c r="D254" s="36" t="str">
        <x:v>United Arab Emirates</x:v>
      </x:c>
      <x:c r="E254" s="21" t="str">
        <x:v>Dubai</x:v>
      </x:c>
      <x:c r="F254" s="21" t="str">
        <x:v>Tamweel Tower fire</x:v>
      </x:c>
      <x:c r="G254" s="39" t="n">
        <x:v>41231</x:v>
      </x:c>
      <x:c r="H254" s="21" t="str">
        <x:v>Tamweel Tower高层建筑外立面火灾。死亡 0，受伤 0；表中记录的受影响楼层为 1。</x:v>
      </x:c>
      <x:c r="I254" s="21" t="str">
        <x:v>未检索到/待核实</x:v>
      </x:c>
      <x:c r="J254" s="21" t="str">
        <x:v>死亡 0，受伤 0；表中记录的受影响楼层为 1。</x:v>
      </x:c>
      <x:c r="K254" s="21" t="str">
        <x:v>https://doi.org/10.1007%2F978-1-4939-2898-9_4</x:v>
      </x:c>
      <x:c r="L254" s="27"/>
      <x:c r="M254" s="27"/>
      <x:c r="N254" s="21" t="str">
        <x:v>未提供坐标</x:v>
      </x:c>
      <x:c r="O254" s="21" t="str">
        <x:v>高层建筑外立面火灾</x:v>
      </x:c>
      <x:c r="P254" s="21" t="str">
        <x:v>未检索到</x:v>
      </x:c>
      <x:c r="Q254" s="21" t="str">
        <x:v>未检索到</x:v>
      </x:c>
      <x:c r="R254" s="21" t="str">
        <x:v>1</x:v>
      </x:c>
      <x:c r="S254" s="21" t="str">
        <x:v>未检索到</x:v>
      </x:c>
      <x:c r="T254" s="42" t="n">
        <x:v>0</x:v>
      </x:c>
      <x:c r="U254" s="42"/>
      <x:c r="V254" s="42"/>
      <x:c r="W254" s="33" t="str">
        <x:v>C</x:v>
      </x:c>
      <x:c r="X254" s="33" t="str">
        <x:v>compendium_needs_independent_verification</x:v>
      </x:c>
      <x:c r="Y254" s="33" t="str">
        <x:v>候选待核实</x:v>
      </x:c>
      <x:c r="Z254" s="21" t="str">
        <x:v>Wikipedia高层专题表；需补充独立来源核验</x:v>
      </x:c>
      <x:c r="AA254" s="21" t="str">
        <x:v>List of high-rise façade fires</x:v>
      </x:c>
      <x:c r="AB254" s="21" t="str">
        <x:v>Wikipedia专题列表</x:v>
      </x:c>
      <x:c r="AC254" s="21" t="str"/>
      <x:c r="AD254" s="21" t="n">
        <x:v>1</x:v>
      </x:c>
      <x:c r="AE254" s="21" t="str">
        <x:v>未检查</x:v>
      </x:c>
      <x:c r="AF254" s="21" t="str"/>
      <x:c r="AG254" s="24" t="n">
        <x:v>46260</x:v>
      </x:c>
      <x:c r="AH254" s="21" t="str"/>
      <x:c r="AI254" s="21" t="n">
        <x:v>1</x:v>
      </x:c>
      <x:c r="AJ254" s="21" t="str">
        <x:v>未评估（本事件表不建立热浪因果关系）</x:v>
      </x:c>
      <x:c r="AK254" s="21" t="str">
        <x:v>缺失/待核实</x:v>
      </x:c>
    </x:row>
    <x:row r="255" ht="42" customHeight="1">
      <x:c r="A255" s="33" t="n">
        <x:v>254</x:v>
      </x:c>
      <x:c r="B255" s="33" t="str">
        <x:v>RAW-0254</x:v>
      </x:c>
      <x:c r="C255" s="36" t="str">
        <x:v>欧洲</x:v>
      </x:c>
      <x:c r="D255" s="36" t="str">
        <x:v>Russia</x:v>
      </x:c>
      <x:c r="E255" s="21" t="str">
        <x:v>Chechnya</x:v>
      </x:c>
      <x:c r="F255" s="21" t="str">
        <x:v>Grozny-City Towers fire</x:v>
      </x:c>
      <x:c r="G255" s="39" t="n">
        <x:v>41367</x:v>
      </x:c>
      <x:c r="H255" s="21" t="str">
        <x:v>Grozny-City Towers高层建筑外立面火灾。死亡 0，受伤 0；表中记录的受影响楼层为 40。</x:v>
      </x:c>
      <x:c r="I255" s="21" t="str">
        <x:v>未检索到/待核实</x:v>
      </x:c>
      <x:c r="J255" s="21" t="str">
        <x:v>死亡 0，受伤 0；表中记录的受影响楼层为 40。</x:v>
      </x:c>
      <x:c r="K255" s="21" t="str">
        <x:v>https://doi.org/10.1007%2F978-1-4939-2898-9_4</x:v>
      </x:c>
      <x:c r="L255" s="27"/>
      <x:c r="M255" s="27"/>
      <x:c r="N255" s="21" t="str">
        <x:v>未提供坐标</x:v>
      </x:c>
      <x:c r="O255" s="21" t="str">
        <x:v>高层建筑外立面火灾</x:v>
      </x:c>
      <x:c r="P255" s="21" t="str">
        <x:v>未检索到</x:v>
      </x:c>
      <x:c r="Q255" s="21" t="str">
        <x:v>未检索到</x:v>
      </x:c>
      <x:c r="R255" s="21" t="str">
        <x:v>40</x:v>
      </x:c>
      <x:c r="S255" s="21" t="str">
        <x:v>未检索到</x:v>
      </x:c>
      <x:c r="T255" s="42" t="n">
        <x:v>0</x:v>
      </x:c>
      <x:c r="U255" s="42"/>
      <x:c r="V255" s="42"/>
      <x:c r="W255" s="33" t="str">
        <x:v>C</x:v>
      </x:c>
      <x:c r="X255" s="33" t="str">
        <x:v>compendium_needs_independent_verification</x:v>
      </x:c>
      <x:c r="Y255" s="33" t="str">
        <x:v>候选待核实</x:v>
      </x:c>
      <x:c r="Z255" s="21" t="str">
        <x:v>Wikipedia高层专题表；需补充独立来源核验</x:v>
      </x:c>
      <x:c r="AA255" s="21" t="str">
        <x:v>List of high-rise façade fires</x:v>
      </x:c>
      <x:c r="AB255" s="21" t="str">
        <x:v>Wikipedia专题列表</x:v>
      </x:c>
      <x:c r="AC255" s="21" t="str"/>
      <x:c r="AD255" s="21" t="n">
        <x:v>1</x:v>
      </x:c>
      <x:c r="AE255" s="21" t="str">
        <x:v>未检查</x:v>
      </x:c>
      <x:c r="AF255" s="21" t="str"/>
      <x:c r="AG255" s="24" t="n">
        <x:v>46260</x:v>
      </x:c>
      <x:c r="AH255" s="21" t="str"/>
      <x:c r="AI255" s="21" t="n">
        <x:v>1</x:v>
      </x:c>
      <x:c r="AJ255" s="21" t="str">
        <x:v>未评估（本事件表不建立热浪因果关系）</x:v>
      </x:c>
      <x:c r="AK255" s="21" t="str">
        <x:v>缺失/待核实</x:v>
      </x:c>
    </x:row>
    <x:row r="256" ht="42" customHeight="1">
      <x:c r="A256" s="33" t="n">
        <x:v>255</x:v>
      </x:c>
      <x:c r="B256" s="33" t="str">
        <x:v>RAW-0255</x:v>
      </x:c>
      <x:c r="C256" s="36" t="str">
        <x:v>亚洲</x:v>
      </x:c>
      <x:c r="D256" s="36" t="str">
        <x:v>United Arab Emirates</x:v>
      </x:c>
      <x:c r="E256" s="21" t="str">
        <x:v>Sharjah</x:v>
      </x:c>
      <x:c r="F256" s="21" t="str">
        <x:v>Al Hafeet Tower 2 fire</x:v>
      </x:c>
      <x:c r="G256" s="39" t="n">
        <x:v>41386</x:v>
      </x:c>
      <x:c r="H256" s="21" t="str">
        <x:v>Al Hafeet Tower 2高层建筑外立面火灾。死亡 0，受伤 0；表中记录的受影响楼层为 10。</x:v>
      </x:c>
      <x:c r="I256" s="21" t="str">
        <x:v>未检索到/待核实</x:v>
      </x:c>
      <x:c r="J256" s="21" t="str">
        <x:v>死亡 0，受伤 0；表中记录的受影响楼层为 10。</x:v>
      </x:c>
      <x:c r="K256" s="21" t="str">
        <x:v>https://www.emirates247.com/news/emirates/sharjah-al-hafeet-tower-fire-three-arrested-2013-04-23-1.503726</x:v>
      </x:c>
      <x:c r="L256" s="27"/>
      <x:c r="M256" s="27"/>
      <x:c r="N256" s="21" t="str">
        <x:v>未提供坐标</x:v>
      </x:c>
      <x:c r="O256" s="21" t="str">
        <x:v>高层建筑外立面火灾</x:v>
      </x:c>
      <x:c r="P256" s="21" t="str">
        <x:v>未检索到</x:v>
      </x:c>
      <x:c r="Q256" s="21" t="str">
        <x:v>未检索到</x:v>
      </x:c>
      <x:c r="R256" s="21" t="str">
        <x:v>10</x:v>
      </x:c>
      <x:c r="S256" s="21" t="str">
        <x:v>未检索到</x:v>
      </x:c>
      <x:c r="T256" s="42" t="n">
        <x:v>0</x:v>
      </x:c>
      <x:c r="U256" s="42"/>
      <x:c r="V256" s="42"/>
      <x:c r="W256" s="33" t="str">
        <x:v>C</x:v>
      </x:c>
      <x:c r="X256" s="33" t="str">
        <x:v>compendium_needs_independent_verification</x:v>
      </x:c>
      <x:c r="Y256" s="33" t="str">
        <x:v>候选待核实</x:v>
      </x:c>
      <x:c r="Z256" s="21" t="str">
        <x:v>Wikipedia高层专题表；需补充独立来源核验</x:v>
      </x:c>
      <x:c r="AA256" s="21" t="str">
        <x:v>List of high-rise façade fires</x:v>
      </x:c>
      <x:c r="AB256" s="21" t="str">
        <x:v>Wikipedia专题列表</x:v>
      </x:c>
      <x:c r="AC256" s="21" t="str"/>
      <x:c r="AD256" s="21" t="n">
        <x:v>1</x:v>
      </x:c>
      <x:c r="AE256" s="21" t="str">
        <x:v>未检查</x:v>
      </x:c>
      <x:c r="AF256" s="21" t="str"/>
      <x:c r="AG256" s="24" t="n">
        <x:v>46260</x:v>
      </x:c>
      <x:c r="AH256" s="21" t="str"/>
      <x:c r="AI256" s="21" t="n">
        <x:v>1</x:v>
      </x:c>
      <x:c r="AJ256" s="21" t="str">
        <x:v>未评估（本事件表不建立热浪因果关系）</x:v>
      </x:c>
      <x:c r="AK256" s="21" t="str">
        <x:v>缺失/待核实</x:v>
      </x:c>
    </x:row>
    <x:row r="257" ht="42" customHeight="1">
      <x:c r="A257" s="33" t="n">
        <x:v>256</x:v>
      </x:c>
      <x:c r="B257" s="33" t="str">
        <x:v>RAW-0256</x:v>
      </x:c>
      <x:c r="C257" s="36" t="str">
        <x:v>欧洲</x:v>
      </x:c>
      <x:c r="D257" s="36" t="str">
        <x:v>Russia</x:v>
      </x:c>
      <x:c r="E257" s="21" t="str">
        <x:v>Krasnoyarsk</x:v>
      </x:c>
      <x:c r="F257" s="21" t="str">
        <x:v>Krasnoyarsk Apartments fire</x:v>
      </x:c>
      <x:c r="G257" s="39" t="n">
        <x:v>41903</x:v>
      </x:c>
      <x:c r="H257" s="21" t="str">
        <x:v>Krasnoyarsk Apartments高层建筑外立面火灾。死亡 0，受伤 0；表中记录的受影响楼层为 25。</x:v>
      </x:c>
      <x:c r="I257" s="21" t="str">
        <x:v>未检索到/待核实</x:v>
      </x:c>
      <x:c r="J257" s="21" t="str">
        <x:v>死亡 0，受伤 0；表中记录的受影响楼层为 25。</x:v>
      </x:c>
      <x:c r="K257" s="21" t="str">
        <x:v>http://siberiantimes.com/other/others/news/shocking-blaze-rips-through-25-floor-apartment-block-in-krasnoyarsk/</x:v>
      </x:c>
      <x:c r="L257" s="27"/>
      <x:c r="M257" s="27"/>
      <x:c r="N257" s="21" t="str">
        <x:v>未提供坐标</x:v>
      </x:c>
      <x:c r="O257" s="21" t="str">
        <x:v>高层建筑外立面火灾</x:v>
      </x:c>
      <x:c r="P257" s="21" t="str">
        <x:v>未检索到</x:v>
      </x:c>
      <x:c r="Q257" s="21" t="str">
        <x:v>未检索到</x:v>
      </x:c>
      <x:c r="R257" s="21" t="str">
        <x:v>25</x:v>
      </x:c>
      <x:c r="S257" s="21" t="str">
        <x:v>未检索到</x:v>
      </x:c>
      <x:c r="T257" s="42" t="n">
        <x:v>0</x:v>
      </x:c>
      <x:c r="U257" s="42"/>
      <x:c r="V257" s="42"/>
      <x:c r="W257" s="33" t="str">
        <x:v>C</x:v>
      </x:c>
      <x:c r="X257" s="33" t="str">
        <x:v>compendium_needs_independent_verification</x:v>
      </x:c>
      <x:c r="Y257" s="33" t="str">
        <x:v>候选待核实</x:v>
      </x:c>
      <x:c r="Z257" s="21" t="str">
        <x:v>Wikipedia高层专题表；需补充独立来源核验</x:v>
      </x:c>
      <x:c r="AA257" s="21" t="str">
        <x:v>List of high-rise façade fires</x:v>
      </x:c>
      <x:c r="AB257" s="21" t="str">
        <x:v>Wikipedia专题列表</x:v>
      </x:c>
      <x:c r="AC257" s="21" t="str"/>
      <x:c r="AD257" s="21" t="n">
        <x:v>1</x:v>
      </x:c>
      <x:c r="AE257" s="21" t="str">
        <x:v>未检查</x:v>
      </x:c>
      <x:c r="AF257" s="21" t="str"/>
      <x:c r="AG257" s="24" t="n">
        <x:v>46260</x:v>
      </x:c>
      <x:c r="AH257" s="21" t="str"/>
      <x:c r="AI257" s="21" t="n">
        <x:v>1</x:v>
      </x:c>
      <x:c r="AJ257" s="21" t="str">
        <x:v>未评估（本事件表不建立热浪因果关系）</x:v>
      </x:c>
      <x:c r="AK257" s="21" t="str">
        <x:v>缺失/待核实</x:v>
      </x:c>
    </x:row>
    <x:row r="258" ht="42" customHeight="1">
      <x:c r="A258" s="33" t="n">
        <x:v>257</x:v>
      </x:c>
      <x:c r="B258" s="33" t="str">
        <x:v>RAW-0257</x:v>
      </x:c>
      <x:c r="C258" s="36" t="str">
        <x:v>大洋洲</x:v>
      </x:c>
      <x:c r="D258" s="36" t="str">
        <x:v>Australia</x:v>
      </x:c>
      <x:c r="E258" s="21" t="str">
        <x:v>Melbourne</x:v>
      </x:c>
      <x:c r="F258" s="21" t="str">
        <x:v>Lacrosse Building fire</x:v>
      </x:c>
      <x:c r="G258" s="39" t="n">
        <x:v>41968</x:v>
      </x:c>
      <x:c r="H258" s="21" t="str">
        <x:v>Lacrosse Building高层建筑外立面火灾。死亡 0，受伤 0；表中记录的受影响楼层为 16。</x:v>
      </x:c>
      <x:c r="I258" s="21" t="str">
        <x:v>未检索到/待核实</x:v>
      </x:c>
      <x:c r="J258" s="21" t="str">
        <x:v>死亡 0，受伤 0；表中记录的受影响楼层为 16。</x:v>
      </x:c>
      <x:c r="K258" s="21" t="str">
        <x:v>http://www.melbourne.vic.gov.au/sitecollectiondocuments/mbs-report-lacrosse-fire.pdf</x:v>
      </x:c>
      <x:c r="L258" s="27"/>
      <x:c r="M258" s="27"/>
      <x:c r="N258" s="21" t="str">
        <x:v>未提供坐标</x:v>
      </x:c>
      <x:c r="O258" s="21" t="str">
        <x:v>高层建筑外立面火灾</x:v>
      </x:c>
      <x:c r="P258" s="21" t="str">
        <x:v>未检索到</x:v>
      </x:c>
      <x:c r="Q258" s="21" t="str">
        <x:v>未检索到</x:v>
      </x:c>
      <x:c r="R258" s="21" t="str">
        <x:v>16</x:v>
      </x:c>
      <x:c r="S258" s="21" t="str">
        <x:v>未检索到</x:v>
      </x:c>
      <x:c r="T258" s="42" t="n">
        <x:v>0</x:v>
      </x:c>
      <x:c r="U258" s="42"/>
      <x:c r="V258" s="42"/>
      <x:c r="W258" s="33" t="str">
        <x:v>C</x:v>
      </x:c>
      <x:c r="X258" s="33" t="str">
        <x:v>compendium_needs_independent_verification</x:v>
      </x:c>
      <x:c r="Y258" s="33" t="str">
        <x:v>候选待核实</x:v>
      </x:c>
      <x:c r="Z258" s="21" t="str">
        <x:v>Wikipedia高层专题表；需补充独立来源核验</x:v>
      </x:c>
      <x:c r="AA258" s="21" t="str">
        <x:v>List of high-rise façade fires</x:v>
      </x:c>
      <x:c r="AB258" s="21" t="str">
        <x:v>Wikipedia专题列表</x:v>
      </x:c>
      <x:c r="AC258" s="21" t="str"/>
      <x:c r="AD258" s="21" t="n">
        <x:v>1</x:v>
      </x:c>
      <x:c r="AE258" s="21" t="str">
        <x:v>未检查</x:v>
      </x:c>
      <x:c r="AF258" s="21" t="str"/>
      <x:c r="AG258" s="24" t="n">
        <x:v>46260</x:v>
      </x:c>
      <x:c r="AH258" s="21" t="str"/>
      <x:c r="AI258" s="21" t="n">
        <x:v>1</x:v>
      </x:c>
      <x:c r="AJ258" s="21" t="str">
        <x:v>未评估（本事件表不建立热浪因果关系）</x:v>
      </x:c>
      <x:c r="AK258" s="21" t="str">
        <x:v>缺失/待核实</x:v>
      </x:c>
    </x:row>
    <x:row r="259" ht="42" customHeight="1">
      <x:c r="A259" s="33" t="n">
        <x:v>258</x:v>
      </x:c>
      <x:c r="B259" s="33" t="str">
        <x:v>RAW-0258</x:v>
      </x:c>
      <x:c r="C259" s="36" t="str">
        <x:v>亚洲</x:v>
      </x:c>
      <x:c r="D259" s="36" t="str">
        <x:v>United Arab Emirates</x:v>
      </x:c>
      <x:c r="E259" s="21" t="str">
        <x:v>Dubai</x:v>
      </x:c>
      <x:c r="F259" s="21" t="str">
        <x:v>The Marina Torch fire</x:v>
      </x:c>
      <x:c r="G259" s="39" t="n">
        <x:v>42056</x:v>
      </x:c>
      <x:c r="H259" s="21" t="str">
        <x:v>The Marina Torch高层建筑外立面火灾。死亡 0，受伤 7；表中记录的受影响楼层为 60。</x:v>
      </x:c>
      <x:c r="I259" s="21" t="str">
        <x:v>未检索到/待核实</x:v>
      </x:c>
      <x:c r="J259" s="21" t="str">
        <x:v>死亡 0，受伤 7；表中记录的受影响楼层为 60。</x:v>
      </x:c>
      <x:c r="K259" s="21" t="str">
        <x:v>https://www.telegraph.co.uk/news/worldnews/middleeast/dubai/11426566/Fire-rips-through-79-storey-Dubai-Marina-Torch.html</x:v>
      </x:c>
      <x:c r="L259" s="27"/>
      <x:c r="M259" s="27"/>
      <x:c r="N259" s="21" t="str">
        <x:v>未提供坐标</x:v>
      </x:c>
      <x:c r="O259" s="21" t="str">
        <x:v>高层建筑外立面火灾</x:v>
      </x:c>
      <x:c r="P259" s="21" t="str">
        <x:v>未检索到</x:v>
      </x:c>
      <x:c r="Q259" s="21" t="str">
        <x:v>未检索到</x:v>
      </x:c>
      <x:c r="R259" s="21" t="str">
        <x:v>60</x:v>
      </x:c>
      <x:c r="S259" s="21" t="str">
        <x:v>未检索到</x:v>
      </x:c>
      <x:c r="T259" s="42" t="n">
        <x:v>0</x:v>
      </x:c>
      <x:c r="U259" s="42"/>
      <x:c r="V259" s="42"/>
      <x:c r="W259" s="33" t="str">
        <x:v>C</x:v>
      </x:c>
      <x:c r="X259" s="33" t="str">
        <x:v>compendium_needs_independent_verification</x:v>
      </x:c>
      <x:c r="Y259" s="33" t="str">
        <x:v>候选待核实</x:v>
      </x:c>
      <x:c r="Z259" s="21" t="str">
        <x:v>Wikipedia高层专题表；需补充独立来源核验</x:v>
      </x:c>
      <x:c r="AA259" s="21" t="str">
        <x:v>List of high-rise façade fires</x:v>
      </x:c>
      <x:c r="AB259" s="21" t="str">
        <x:v>Wikipedia专题列表</x:v>
      </x:c>
      <x:c r="AC259" s="21" t="str"/>
      <x:c r="AD259" s="21" t="n">
        <x:v>1</x:v>
      </x:c>
      <x:c r="AE259" s="21" t="str">
        <x:v>未检查</x:v>
      </x:c>
      <x:c r="AF259" s="21" t="str"/>
      <x:c r="AG259" s="24" t="n">
        <x:v>46260</x:v>
      </x:c>
      <x:c r="AH259" s="21" t="str"/>
      <x:c r="AI259" s="21" t="n">
        <x:v>1</x:v>
      </x:c>
      <x:c r="AJ259" s="21" t="str">
        <x:v>未评估（本事件表不建立热浪因果关系）</x:v>
      </x:c>
      <x:c r="AK259" s="21" t="str">
        <x:v>缺失/待核实</x:v>
      </x:c>
    </x:row>
    <x:row r="260" ht="42" customHeight="1">
      <x:c r="A260" s="33" t="n">
        <x:v>259</x:v>
      </x:c>
      <x:c r="B260" s="33" t="str">
        <x:v>RAW-0259</x:v>
      </x:c>
      <x:c r="C260" s="36" t="str">
        <x:v>欧洲</x:v>
      </x:c>
      <x:c r="D260" s="36" t="str">
        <x:v>France</x:v>
      </x:c>
      <x:c r="E260" s="21" t="str">
        <x:v>Paris</x:v>
      </x:c>
      <x:c r="F260" s="21" t="str">
        <x:v>The Franklin Tower fire</x:v>
      </x:c>
      <x:c r="G260" s="39" t="n">
        <x:v>42080</x:v>
      </x:c>
      <x:c r="H260" s="21" t="str">
        <x:v>The Franklin Tower高层建筑外立面火灾。死亡 0，受伤 0；表中记录的受影响楼层为 2。</x:v>
      </x:c>
      <x:c r="I260" s="21" t="str">
        <x:v>未检索到/待核实</x:v>
      </x:c>
      <x:c r="J260" s="21" t="str">
        <x:v>死亡 0，受伤 0；表中记录的受影响楼层为 2。</x:v>
      </x:c>
      <x:c r="K260" s="21" t="str">
        <x:v>https://m.youtube.com/watch?v=8R1dmAakaUc</x:v>
      </x:c>
      <x:c r="L260" s="27"/>
      <x:c r="M260" s="27"/>
      <x:c r="N260" s="21" t="str">
        <x:v>未提供坐标</x:v>
      </x:c>
      <x:c r="O260" s="21" t="str">
        <x:v>高层建筑外立面火灾</x:v>
      </x:c>
      <x:c r="P260" s="21" t="str">
        <x:v>未检索到</x:v>
      </x:c>
      <x:c r="Q260" s="21" t="str">
        <x:v>未检索到</x:v>
      </x:c>
      <x:c r="R260" s="21" t="str">
        <x:v>2</x:v>
      </x:c>
      <x:c r="S260" s="21" t="str">
        <x:v>未检索到</x:v>
      </x:c>
      <x:c r="T260" s="42" t="n">
        <x:v>0</x:v>
      </x:c>
      <x:c r="U260" s="42"/>
      <x:c r="V260" s="42"/>
      <x:c r="W260" s="33" t="str">
        <x:v>C</x:v>
      </x:c>
      <x:c r="X260" s="33" t="str">
        <x:v>compendium_needs_independent_verification</x:v>
      </x:c>
      <x:c r="Y260" s="33" t="str">
        <x:v>候选待核实</x:v>
      </x:c>
      <x:c r="Z260" s="21" t="str">
        <x:v>Wikipedia高层专题表；需补充独立来源核验</x:v>
      </x:c>
      <x:c r="AA260" s="21" t="str">
        <x:v>List of high-rise façade fires</x:v>
      </x:c>
      <x:c r="AB260" s="21" t="str">
        <x:v>Wikipedia专题列表</x:v>
      </x:c>
      <x:c r="AC260" s="21" t="str"/>
      <x:c r="AD260" s="21" t="n">
        <x:v>1</x:v>
      </x:c>
      <x:c r="AE260" s="21" t="str">
        <x:v>未检查</x:v>
      </x:c>
      <x:c r="AF260" s="21" t="str"/>
      <x:c r="AG260" s="24" t="n">
        <x:v>46260</x:v>
      </x:c>
      <x:c r="AH260" s="21" t="str"/>
      <x:c r="AI260" s="21" t="n">
        <x:v>1</x:v>
      </x:c>
      <x:c r="AJ260" s="21" t="str">
        <x:v>未评估（本事件表不建立热浪因果关系）</x:v>
      </x:c>
      <x:c r="AK260" s="21" t="str">
        <x:v>缺失/待核实</x:v>
      </x:c>
    </x:row>
    <x:row r="261" ht="42" customHeight="1">
      <x:c r="A261" s="33" t="n">
        <x:v>260</x:v>
      </x:c>
      <x:c r="B261" s="33" t="str">
        <x:v>RAW-0260</x:v>
      </x:c>
      <x:c r="C261" s="36" t="str">
        <x:v>亚洲</x:v>
      </x:c>
      <x:c r="D261" s="36" t="str">
        <x:v>Azerbaijan</x:v>
      </x:c>
      <x:c r="E261" s="21" t="str">
        <x:v>Baku</x:v>
      </x:c>
      <x:c r="F261" s="21" t="str">
        <x:v>Baku Residential Flats</x:v>
      </x:c>
      <x:c r="G261" s="39" t="n">
        <x:v>42143</x:v>
      </x:c>
      <x:c r="H261" s="21" t="str">
        <x:v>Baku Residential Flats高层建筑外立面火灾。死亡 16，受伤 63；表中记录的受影响楼层为 1。</x:v>
      </x:c>
      <x:c r="I261" s="21" t="str">
        <x:v>未检索到/待核实</x:v>
      </x:c>
      <x:c r="J261" s="21" t="str">
        <x:v>死亡 16，受伤 63；表中记录的受影响楼层为 1。</x:v>
      </x:c>
      <x:c r="K261" s="21" t="str">
        <x:v>https://en.wikipedia.org/wiki/2015_Baku_residence_building_fire</x:v>
      </x:c>
      <x:c r="L261" s="27"/>
      <x:c r="M261" s="27"/>
      <x:c r="N261" s="21" t="str">
        <x:v>未提供坐标</x:v>
      </x:c>
      <x:c r="O261" s="21" t="str">
        <x:v>高层建筑外立面火灾</x:v>
      </x:c>
      <x:c r="P261" s="21" t="str">
        <x:v>未检索到</x:v>
      </x:c>
      <x:c r="Q261" s="21" t="str">
        <x:v>未检索到</x:v>
      </x:c>
      <x:c r="R261" s="21" t="str">
        <x:v>1</x:v>
      </x:c>
      <x:c r="S261" s="21" t="str">
        <x:v>未检索到</x:v>
      </x:c>
      <x:c r="T261" s="42" t="n">
        <x:v>16</x:v>
      </x:c>
      <x:c r="U261" s="42"/>
      <x:c r="V261" s="42"/>
      <x:c r="W261" s="33" t="str">
        <x:v>B</x:v>
      </x:c>
      <x:c r="X261" s="33" t="str">
        <x:v>compendium_needs_independent_verification</x:v>
      </x:c>
      <x:c r="Y261" s="33" t="str">
        <x:v>候选待核实</x:v>
      </x:c>
      <x:c r="Z261" s="21" t="str">
        <x:v>Wikipedia具名事件页+高层专题表</x:v>
      </x:c>
      <x:c r="AA261" s="21" t="str">
        <x:v>List of high-rise façade fires</x:v>
      </x:c>
      <x:c r="AB261" s="21" t="str">
        <x:v>Wikipedia专题列表</x:v>
      </x:c>
      <x:c r="AC261" s="21" t="str"/>
      <x:c r="AD261" s="21" t="n">
        <x:v>1</x:v>
      </x:c>
      <x:c r="AE261" s="21" t="str">
        <x:v>未检查</x:v>
      </x:c>
      <x:c r="AF261" s="21" t="str"/>
      <x:c r="AG261" s="24" t="n">
        <x:v>46260</x:v>
      </x:c>
      <x:c r="AH261" s="21" t="str"/>
      <x:c r="AI261" s="21" t="n">
        <x:v>1</x:v>
      </x:c>
      <x:c r="AJ261" s="21" t="str">
        <x:v>未评估（本事件表不建立热浪因果关系）</x:v>
      </x:c>
      <x:c r="AK261" s="21" t="str">
        <x:v>缺失/待核实</x:v>
      </x:c>
    </x:row>
    <x:row r="262" ht="42" customHeight="1">
      <x:c r="A262" s="33" t="n">
        <x:v>261</x:v>
      </x:c>
      <x:c r="B262" s="33" t="str">
        <x:v>RAW-0261</x:v>
      </x:c>
      <x:c r="C262" s="36" t="str">
        <x:v>亚洲</x:v>
      </x:c>
      <x:c r="D262" s="36" t="str">
        <x:v>United Arab Emirates</x:v>
      </x:c>
      <x:c r="E262" s="21" t="str">
        <x:v>Sharjah</x:v>
      </x:c>
      <x:c r="F262" s="21" t="str">
        <x:v>Al Nasser Tower fire</x:v>
      </x:c>
      <x:c r="G262" s="39" t="n">
        <x:v>42278</x:v>
      </x:c>
      <x:c r="H262" s="21" t="str">
        <x:v>Al Nasser Tower高层建筑外立面火灾。死亡 0，受伤 40；表中记录的受影响楼层为 26。</x:v>
      </x:c>
      <x:c r="I262" s="21" t="str">
        <x:v>未检索到/待核实</x:v>
      </x:c>
      <x:c r="J262" s="21" t="str">
        <x:v>死亡 0，受伤 40；表中记录的受影响楼层为 26。</x:v>
      </x:c>
      <x:c r="K262" s="21" t="str">
        <x:v>https://thepawprintdaa.com/2015/10/08/major-fire-in-sharjah-residential-tower/</x:v>
      </x:c>
      <x:c r="L262" s="27"/>
      <x:c r="M262" s="27"/>
      <x:c r="N262" s="21" t="str">
        <x:v>未提供坐标</x:v>
      </x:c>
      <x:c r="O262" s="21" t="str">
        <x:v>高层建筑外立面火灾</x:v>
      </x:c>
      <x:c r="P262" s="21" t="str">
        <x:v>未检索到</x:v>
      </x:c>
      <x:c r="Q262" s="21" t="str">
        <x:v>未检索到</x:v>
      </x:c>
      <x:c r="R262" s="21" t="str">
        <x:v>26</x:v>
      </x:c>
      <x:c r="S262" s="21" t="str">
        <x:v>未检索到</x:v>
      </x:c>
      <x:c r="T262" s="42" t="n">
        <x:v>0</x:v>
      </x:c>
      <x:c r="U262" s="42"/>
      <x:c r="V262" s="42"/>
      <x:c r="W262" s="33" t="str">
        <x:v>C</x:v>
      </x:c>
      <x:c r="X262" s="33" t="str">
        <x:v>compendium_needs_independent_verification</x:v>
      </x:c>
      <x:c r="Y262" s="33" t="str">
        <x:v>候选待核实</x:v>
      </x:c>
      <x:c r="Z262" s="21" t="str">
        <x:v>Wikipedia高层专题表；需补充独立来源核验</x:v>
      </x:c>
      <x:c r="AA262" s="21" t="str">
        <x:v>List of high-rise façade fires</x:v>
      </x:c>
      <x:c r="AB262" s="21" t="str">
        <x:v>Wikipedia专题列表</x:v>
      </x:c>
      <x:c r="AC262" s="21" t="str"/>
      <x:c r="AD262" s="21" t="n">
        <x:v>1</x:v>
      </x:c>
      <x:c r="AE262" s="21" t="str">
        <x:v>未检查</x:v>
      </x:c>
      <x:c r="AF262" s="21" t="str"/>
      <x:c r="AG262" s="24" t="n">
        <x:v>46260</x:v>
      </x:c>
      <x:c r="AH262" s="21" t="str"/>
      <x:c r="AI262" s="21" t="n">
        <x:v>1</x:v>
      </x:c>
      <x:c r="AJ262" s="21" t="str">
        <x:v>未评估（本事件表不建立热浪因果关系）</x:v>
      </x:c>
      <x:c r="AK262" s="21" t="str">
        <x:v>缺失/待核实</x:v>
      </x:c>
    </x:row>
    <x:row r="263" ht="42" customHeight="1">
      <x:c r="A263" s="33" t="n">
        <x:v>262</x:v>
      </x:c>
      <x:c r="B263" s="33" t="str">
        <x:v>RAW-0262</x:v>
      </x:c>
      <x:c r="C263" s="36" t="str">
        <x:v>亚洲</x:v>
      </x:c>
      <x:c r="D263" s="36" t="str">
        <x:v>United Arab Emirates</x:v>
      </x:c>
      <x:c r="E263" s="21" t="str">
        <x:v>Dubai</x:v>
      </x:c>
      <x:c r="F263" s="21" t="str">
        <x:v>Address Downtown Hotel fire</x:v>
      </x:c>
      <x:c r="G263" s="39" t="n">
        <x:v>42369</x:v>
      </x:c>
      <x:c r="H263" s="21" t="str">
        <x:v>Address Downtown Hotel高层建筑外立面火灾。死亡 0，受伤 15；表中记录的受影响楼层为 1。</x:v>
      </x:c>
      <x:c r="I263" s="21" t="str">
        <x:v>未检索到/待核实</x:v>
      </x:c>
      <x:c r="J263" s="21" t="str">
        <x:v>死亡 0，受伤 15；表中记录的受影响楼层为 1。</x:v>
      </x:c>
      <x:c r="K263" s="21" t="str">
        <x:v>http://www.independent.co.uk/news/world/middle-east/dubai-skyscraper-hotel-engulfed-in-huge-fire-a6792356.html</x:v>
      </x:c>
      <x:c r="L263" s="27"/>
      <x:c r="M263" s="27"/>
      <x:c r="N263" s="21" t="str">
        <x:v>未提供坐标</x:v>
      </x:c>
      <x:c r="O263" s="21" t="str">
        <x:v>高层建筑外立面火灾</x:v>
      </x:c>
      <x:c r="P263" s="21" t="str">
        <x:v>未检索到</x:v>
      </x:c>
      <x:c r="Q263" s="21" t="str">
        <x:v>未检索到</x:v>
      </x:c>
      <x:c r="R263" s="21" t="str">
        <x:v>1</x:v>
      </x:c>
      <x:c r="S263" s="21" t="str">
        <x:v>未检索到</x:v>
      </x:c>
      <x:c r="T263" s="42" t="n">
        <x:v>0</x:v>
      </x:c>
      <x:c r="U263" s="42"/>
      <x:c r="V263" s="42"/>
      <x:c r="W263" s="33" t="str">
        <x:v>C</x:v>
      </x:c>
      <x:c r="X263" s="33" t="str">
        <x:v>compendium_needs_independent_verification</x:v>
      </x:c>
      <x:c r="Y263" s="33" t="str">
        <x:v>候选待核实</x:v>
      </x:c>
      <x:c r="Z263" s="21" t="str">
        <x:v>Wikipedia高层专题表；需补充独立来源核验</x:v>
      </x:c>
      <x:c r="AA263" s="21" t="str">
        <x:v>List of high-rise façade fires</x:v>
      </x:c>
      <x:c r="AB263" s="21" t="str">
        <x:v>Wikipedia专题列表</x:v>
      </x:c>
      <x:c r="AC263" s="21" t="str"/>
      <x:c r="AD263" s="21" t="n">
        <x:v>1</x:v>
      </x:c>
      <x:c r="AE263" s="21" t="str">
        <x:v>未检查</x:v>
      </x:c>
      <x:c r="AF263" s="21" t="str"/>
      <x:c r="AG263" s="24" t="n">
        <x:v>46260</x:v>
      </x:c>
      <x:c r="AH263" s="21" t="str"/>
      <x:c r="AI263" s="21" t="n">
        <x:v>1</x:v>
      </x:c>
      <x:c r="AJ263" s="21" t="str">
        <x:v>未评估（本事件表不建立热浪因果关系）</x:v>
      </x:c>
      <x:c r="AK263" s="21" t="str">
        <x:v>缺失/待核实</x:v>
      </x:c>
    </x:row>
    <x:row r="264" ht="42" customHeight="1">
      <x:c r="A264" s="33" t="n">
        <x:v>263</x:v>
      </x:c>
      <x:c r="B264" s="33" t="str">
        <x:v>RAW-0263</x:v>
      </x:c>
      <x:c r="C264" s="36" t="str">
        <x:v>亚洲</x:v>
      </x:c>
      <x:c r="D264" s="36" t="str">
        <x:v>United Arab Emirates</x:v>
      </x:c>
      <x:c r="E264" s="21" t="str">
        <x:v>Ajman</x:v>
      </x:c>
      <x:c r="F264" s="21" t="str">
        <x:v>Ajman One Complex fire</x:v>
      </x:c>
      <x:c r="G264" s="39" t="n">
        <x:v>42457</x:v>
      </x:c>
      <x:c r="H264" s="21" t="str">
        <x:v>Ajman One Complex高层建筑外立面火灾。死亡 0，受伤 0；表中记录的受影响楼层为 1。</x:v>
      </x:c>
      <x:c r="I264" s="21" t="str">
        <x:v>未检索到/待核实</x:v>
      </x:c>
      <x:c r="J264" s="21" t="str">
        <x:v>死亡 0，受伤 0；表中记录的受影响楼层为 1。</x:v>
      </x:c>
      <x:c r="K264" s="21" t="str">
        <x:v>https://www.bbc.com/news/world-middle-east-35913988</x:v>
      </x:c>
      <x:c r="L264" s="27"/>
      <x:c r="M264" s="27"/>
      <x:c r="N264" s="21" t="str">
        <x:v>未提供坐标</x:v>
      </x:c>
      <x:c r="O264" s="21" t="str">
        <x:v>高层建筑外立面火灾</x:v>
      </x:c>
      <x:c r="P264" s="21" t="str">
        <x:v>未检索到</x:v>
      </x:c>
      <x:c r="Q264" s="21" t="str">
        <x:v>未检索到</x:v>
      </x:c>
      <x:c r="R264" s="21" t="str">
        <x:v>1</x:v>
      </x:c>
      <x:c r="S264" s="21" t="str">
        <x:v>未检索到</x:v>
      </x:c>
      <x:c r="T264" s="42" t="n">
        <x:v>0</x:v>
      </x:c>
      <x:c r="U264" s="42"/>
      <x:c r="V264" s="42"/>
      <x:c r="W264" s="33" t="str">
        <x:v>C</x:v>
      </x:c>
      <x:c r="X264" s="33" t="str">
        <x:v>compendium_needs_independent_verification</x:v>
      </x:c>
      <x:c r="Y264" s="33" t="str">
        <x:v>候选待核实</x:v>
      </x:c>
      <x:c r="Z264" s="21" t="str">
        <x:v>Wikipedia高层专题表；需补充独立来源核验</x:v>
      </x:c>
      <x:c r="AA264" s="21" t="str">
        <x:v>List of high-rise façade fires</x:v>
      </x:c>
      <x:c r="AB264" s="21" t="str">
        <x:v>Wikipedia专题列表</x:v>
      </x:c>
      <x:c r="AC264" s="21" t="str"/>
      <x:c r="AD264" s="21" t="n">
        <x:v>1</x:v>
      </x:c>
      <x:c r="AE264" s="21" t="str">
        <x:v>未检查</x:v>
      </x:c>
      <x:c r="AF264" s="21" t="str"/>
      <x:c r="AG264" s="24" t="n">
        <x:v>46260</x:v>
      </x:c>
      <x:c r="AH264" s="21" t="str"/>
      <x:c r="AI264" s="21" t="n">
        <x:v>1</x:v>
      </x:c>
      <x:c r="AJ264" s="21" t="str">
        <x:v>未评估（本事件表不建立热浪因果关系）</x:v>
      </x:c>
      <x:c r="AK264" s="21" t="str">
        <x:v>缺失/待核实</x:v>
      </x:c>
    </x:row>
    <x:row r="265" ht="42" customHeight="1">
      <x:c r="A265" s="33" t="n">
        <x:v>264</x:v>
      </x:c>
      <x:c r="B265" s="33" t="str">
        <x:v>RAW-0264</x:v>
      </x:c>
      <x:c r="C265" s="36" t="str">
        <x:v>亚洲</x:v>
      </x:c>
      <x:c r="D265" s="36" t="str">
        <x:v>United Arab Emirates</x:v>
      </x:c>
      <x:c r="E265" s="21" t="str">
        <x:v>Dubai</x:v>
      </x:c>
      <x:c r="F265" s="21" t="str">
        <x:v>Sulafa Tower fire</x:v>
      </x:c>
      <x:c r="G265" s="39" t="n">
        <x:v>42571</x:v>
      </x:c>
      <x:c r="H265" s="21" t="str">
        <x:v>Sulafa Tower高层建筑外立面火灾。死亡 0，受伤 0；表中记录的受影响楼层为 30。</x:v>
      </x:c>
      <x:c r="I265" s="21" t="str">
        <x:v>未检索到/待核实</x:v>
      </x:c>
      <x:c r="J265" s="21" t="str">
        <x:v>死亡 0，受伤 0；表中记录的受影响楼层为 30。</x:v>
      </x:c>
      <x:c r="K265" s="21" t="str">
        <x:v>https://www.bbc.com/news/world-middle-east-36848521</x:v>
      </x:c>
      <x:c r="L265" s="27"/>
      <x:c r="M265" s="27"/>
      <x:c r="N265" s="21" t="str">
        <x:v>未提供坐标</x:v>
      </x:c>
      <x:c r="O265" s="21" t="str">
        <x:v>高层建筑外立面火灾</x:v>
      </x:c>
      <x:c r="P265" s="21" t="str">
        <x:v>未检索到</x:v>
      </x:c>
      <x:c r="Q265" s="21" t="str">
        <x:v>未检索到</x:v>
      </x:c>
      <x:c r="R265" s="21" t="str">
        <x:v>30</x:v>
      </x:c>
      <x:c r="S265" s="21" t="str">
        <x:v>未检索到</x:v>
      </x:c>
      <x:c r="T265" s="42" t="n">
        <x:v>0</x:v>
      </x:c>
      <x:c r="U265" s="42"/>
      <x:c r="V265" s="42"/>
      <x:c r="W265" s="33" t="str">
        <x:v>C</x:v>
      </x:c>
      <x:c r="X265" s="33" t="str">
        <x:v>compendium_needs_independent_verification</x:v>
      </x:c>
      <x:c r="Y265" s="33" t="str">
        <x:v>候选待核实</x:v>
      </x:c>
      <x:c r="Z265" s="21" t="str">
        <x:v>Wikipedia高层专题表；需补充独立来源核验</x:v>
      </x:c>
      <x:c r="AA265" s="21" t="str">
        <x:v>List of high-rise façade fires</x:v>
      </x:c>
      <x:c r="AB265" s="21" t="str">
        <x:v>Wikipedia专题列表</x:v>
      </x:c>
      <x:c r="AC265" s="21" t="str"/>
      <x:c r="AD265" s="21" t="n">
        <x:v>1</x:v>
      </x:c>
      <x:c r="AE265" s="21" t="str">
        <x:v>未检查</x:v>
      </x:c>
      <x:c r="AF265" s="21" t="str"/>
      <x:c r="AG265" s="24" t="n">
        <x:v>46260</x:v>
      </x:c>
      <x:c r="AH265" s="21" t="str"/>
      <x:c r="AI265" s="21" t="n">
        <x:v>1</x:v>
      </x:c>
      <x:c r="AJ265" s="21" t="str">
        <x:v>未评估（本事件表不建立热浪因果关系）</x:v>
      </x:c>
      <x:c r="AK265" s="21" t="str">
        <x:v>缺失/待核实</x:v>
      </x:c>
    </x:row>
    <x:row r="266" ht="42" customHeight="1">
      <x:c r="A266" s="33" t="n">
        <x:v>265</x:v>
      </x:c>
      <x:c r="B266" s="33" t="str">
        <x:v>RAW-0265</x:v>
      </x:c>
      <x:c r="C266" s="36" t="str">
        <x:v>欧洲</x:v>
      </x:c>
      <x:c r="D266" s="36" t="str">
        <x:v>United Kingdom</x:v>
      </x:c>
      <x:c r="E266" s="21" t="str">
        <x:v>London</x:v>
      </x:c>
      <x:c r="F266" s="21" t="str">
        <x:v>Shepherds Court fire</x:v>
      </x:c>
      <x:c r="G266" s="39" t="n">
        <x:v>42601</x:v>
      </x:c>
      <x:c r="H266" s="21" t="str">
        <x:v>Shepherds Court高层建筑外立面火灾。死亡 0，受伤 1；表中记录的受影响楼层为 3。</x:v>
      </x:c>
      <x:c r="I266" s="21" t="str">
        <x:v>未检索到/待核实</x:v>
      </x:c>
      <x:c r="J266" s="21" t="str">
        <x:v>死亡 0，受伤 1；表中记录的受影响楼层为 3。</x:v>
      </x:c>
      <x:c r="K266" s="21" t="str">
        <x:v>https://www.theguardian.com/uk-news/2016/aug/19/fire-crews-tackle-blaze-at-shepherds-bush-tower-block-london</x:v>
      </x:c>
      <x:c r="L266" s="27"/>
      <x:c r="M266" s="27"/>
      <x:c r="N266" s="21" t="str">
        <x:v>未提供坐标</x:v>
      </x:c>
      <x:c r="O266" s="21" t="str">
        <x:v>高层建筑外立面火灾</x:v>
      </x:c>
      <x:c r="P266" s="21" t="str">
        <x:v>未检索到</x:v>
      </x:c>
      <x:c r="Q266" s="21" t="str">
        <x:v>未检索到</x:v>
      </x:c>
      <x:c r="R266" s="21" t="str">
        <x:v>3</x:v>
      </x:c>
      <x:c r="S266" s="21" t="str">
        <x:v>未检索到</x:v>
      </x:c>
      <x:c r="T266" s="42" t="n">
        <x:v>0</x:v>
      </x:c>
      <x:c r="U266" s="42"/>
      <x:c r="V266" s="42"/>
      <x:c r="W266" s="33" t="str">
        <x:v>C</x:v>
      </x:c>
      <x:c r="X266" s="33" t="str">
        <x:v>compendium_needs_independent_verification</x:v>
      </x:c>
      <x:c r="Y266" s="33" t="str">
        <x:v>候选待核实</x:v>
      </x:c>
      <x:c r="Z266" s="21" t="str">
        <x:v>Wikipedia高层专题表；需补充独立来源核验</x:v>
      </x:c>
      <x:c r="AA266" s="21" t="str">
        <x:v>List of high-rise façade fires</x:v>
      </x:c>
      <x:c r="AB266" s="21" t="str">
        <x:v>Wikipedia专题列表</x:v>
      </x:c>
      <x:c r="AC266" s="21" t="str"/>
      <x:c r="AD266" s="21" t="n">
        <x:v>1</x:v>
      </x:c>
      <x:c r="AE266" s="21" t="str">
        <x:v>未检查</x:v>
      </x:c>
      <x:c r="AF266" s="21" t="str"/>
      <x:c r="AG266" s="24" t="n">
        <x:v>46260</x:v>
      </x:c>
      <x:c r="AH266" s="21" t="str"/>
      <x:c r="AI266" s="21" t="n">
        <x:v>1</x:v>
      </x:c>
      <x:c r="AJ266" s="21" t="str">
        <x:v>未评估（本事件表不建立热浪因果关系）</x:v>
      </x:c>
      <x:c r="AK266" s="21" t="str">
        <x:v>缺失/待核实</x:v>
      </x:c>
    </x:row>
    <x:row r="267" ht="42" customHeight="1">
      <x:c r="A267" s="33" t="n">
        <x:v>266</x:v>
      </x:c>
      <x:c r="B267" s="33" t="str">
        <x:v>RAW-0266</x:v>
      </x:c>
      <x:c r="C267" s="36" t="str">
        <x:v>亚洲</x:v>
      </x:c>
      <x:c r="D267" s="36" t="str">
        <x:v>Indonesia</x:v>
      </x:c>
      <x:c r="E267" s="21" t="str">
        <x:v>Jakarta</x:v>
      </x:c>
      <x:c r="F267" s="21" t="str">
        <x:v>Neo Soho Project fire</x:v>
      </x:c>
      <x:c r="G267" s="39" t="n">
        <x:v>42683</x:v>
      </x:c>
      <x:c r="H267" s="21" t="str">
        <x:v>Neo Soho Project高层建筑外立面火灾。死亡 0，受伤 0；表中记录的受影响楼层为 7。</x:v>
      </x:c>
      <x:c r="I267" s="21" t="str">
        <x:v>未检索到/待核实</x:v>
      </x:c>
      <x:c r="J267" s="21" t="str">
        <x:v>死亡 0，受伤 0；表中记录的受影响楼层为 7。</x:v>
      </x:c>
      <x:c r="K267" s="21" t="str">
        <x:v>https://apfmag.mdmpublishing.com/a-perspective-on-high-rise-building-fires-involving-the-facade/</x:v>
      </x:c>
      <x:c r="L267" s="27"/>
      <x:c r="M267" s="27"/>
      <x:c r="N267" s="21" t="str">
        <x:v>未提供坐标</x:v>
      </x:c>
      <x:c r="O267" s="21" t="str">
        <x:v>高层建筑外立面火灾</x:v>
      </x:c>
      <x:c r="P267" s="21" t="str">
        <x:v>未检索到</x:v>
      </x:c>
      <x:c r="Q267" s="21" t="str">
        <x:v>未检索到</x:v>
      </x:c>
      <x:c r="R267" s="21" t="str">
        <x:v>7</x:v>
      </x:c>
      <x:c r="S267" s="21" t="str">
        <x:v>未检索到</x:v>
      </x:c>
      <x:c r="T267" s="42" t="n">
        <x:v>0</x:v>
      </x:c>
      <x:c r="U267" s="42"/>
      <x:c r="V267" s="42"/>
      <x:c r="W267" s="33" t="str">
        <x:v>C</x:v>
      </x:c>
      <x:c r="X267" s="33" t="str">
        <x:v>compendium_needs_independent_verification</x:v>
      </x:c>
      <x:c r="Y267" s="33" t="str">
        <x:v>候选待核实</x:v>
      </x:c>
      <x:c r="Z267" s="21" t="str">
        <x:v>Wikipedia高层专题表；需补充独立来源核验</x:v>
      </x:c>
      <x:c r="AA267" s="21" t="str">
        <x:v>List of high-rise façade fires</x:v>
      </x:c>
      <x:c r="AB267" s="21" t="str">
        <x:v>Wikipedia专题列表</x:v>
      </x:c>
      <x:c r="AC267" s="21" t="str"/>
      <x:c r="AD267" s="21" t="n">
        <x:v>1</x:v>
      </x:c>
      <x:c r="AE267" s="21" t="str">
        <x:v>未检查</x:v>
      </x:c>
      <x:c r="AF267" s="21" t="str"/>
      <x:c r="AG267" s="24" t="n">
        <x:v>46260</x:v>
      </x:c>
      <x:c r="AH267" s="21" t="str"/>
      <x:c r="AI267" s="21" t="n">
        <x:v>1</x:v>
      </x:c>
      <x:c r="AJ267" s="21" t="str">
        <x:v>未评估（本事件表不建立热浪因果关系）</x:v>
      </x:c>
      <x:c r="AK267" s="21" t="str">
        <x:v>缺失/待核实</x:v>
      </x:c>
    </x:row>
    <x:row r="268" ht="42" customHeight="1">
      <x:c r="A268" s="33" t="n">
        <x:v>267</x:v>
      </x:c>
      <x:c r="B268" s="33" t="str">
        <x:v>RAW-0267</x:v>
      </x:c>
      <x:c r="C268" s="36" t="str">
        <x:v>亚洲</x:v>
      </x:c>
      <x:c r="D268" s="36" t="str">
        <x:v>United Arab Emirates</x:v>
      </x:c>
      <x:c r="E268" s="21" t="str">
        <x:v>Sharjah</x:v>
      </x:c>
      <x:c r="F268" s="21" t="str">
        <x:v>Al Bandary Tower B fire</x:v>
      </x:c>
      <x:c r="G268" s="39" t="n">
        <x:v>42705</x:v>
      </x:c>
      <x:c r="H268" s="21" t="str">
        <x:v>Al Bandary Tower B高层建筑外立面火灾。死亡 0，受伤 4；表中记录的受影响楼层为 1。</x:v>
      </x:c>
      <x:c r="I268" s="21" t="str">
        <x:v>未检索到/待核实</x:v>
      </x:c>
      <x:c r="J268" s="21" t="str">
        <x:v>死亡 0，受伤 4；表中记录的受影响楼层为 1。</x:v>
      </x:c>
      <x:c r="K268" s="21" t="str">
        <x:v>https://gulfnews.com/uae/sharjah-fire-tenants-move-into-tower-a-1.1938866</x:v>
      </x:c>
      <x:c r="L268" s="27"/>
      <x:c r="M268" s="27"/>
      <x:c r="N268" s="21" t="str">
        <x:v>未提供坐标</x:v>
      </x:c>
      <x:c r="O268" s="21" t="str">
        <x:v>高层建筑外立面火灾</x:v>
      </x:c>
      <x:c r="P268" s="21" t="str">
        <x:v>未检索到</x:v>
      </x:c>
      <x:c r="Q268" s="21" t="str">
        <x:v>未检索到</x:v>
      </x:c>
      <x:c r="R268" s="21" t="str">
        <x:v>1</x:v>
      </x:c>
      <x:c r="S268" s="21" t="str">
        <x:v>未检索到</x:v>
      </x:c>
      <x:c r="T268" s="42" t="n">
        <x:v>0</x:v>
      </x:c>
      <x:c r="U268" s="42"/>
      <x:c r="V268" s="42"/>
      <x:c r="W268" s="33" t="str">
        <x:v>C</x:v>
      </x:c>
      <x:c r="X268" s="33" t="str">
        <x:v>compendium_needs_independent_verification</x:v>
      </x:c>
      <x:c r="Y268" s="33" t="str">
        <x:v>候选待核实</x:v>
      </x:c>
      <x:c r="Z268" s="21" t="str">
        <x:v>Wikipedia高层专题表；需补充独立来源核验</x:v>
      </x:c>
      <x:c r="AA268" s="21" t="str">
        <x:v>List of high-rise façade fires</x:v>
      </x:c>
      <x:c r="AB268" s="21" t="str">
        <x:v>Wikipedia专题列表</x:v>
      </x:c>
      <x:c r="AC268" s="21" t="str"/>
      <x:c r="AD268" s="21" t="n">
        <x:v>1</x:v>
      </x:c>
      <x:c r="AE268" s="21" t="str">
        <x:v>未检查</x:v>
      </x:c>
      <x:c r="AF268" s="21" t="str"/>
      <x:c r="AG268" s="24" t="n">
        <x:v>46260</x:v>
      </x:c>
      <x:c r="AH268" s="21" t="str"/>
      <x:c r="AI268" s="21" t="n">
        <x:v>1</x:v>
      </x:c>
      <x:c r="AJ268" s="21" t="str">
        <x:v>未评估（本事件表不建立热浪因果关系）</x:v>
      </x:c>
      <x:c r="AK268" s="21" t="str">
        <x:v>缺失/待核实</x:v>
      </x:c>
    </x:row>
    <x:row r="269" ht="42" customHeight="1">
      <x:c r="A269" s="33" t="n">
        <x:v>268</x:v>
      </x:c>
      <x:c r="B269" s="33" t="str">
        <x:v>RAW-0268</x:v>
      </x:c>
      <x:c r="C269" s="36" t="str">
        <x:v>亚洲</x:v>
      </x:c>
      <x:c r="D269" s="36" t="str">
        <x:v>United Arab Emirates</x:v>
      </x:c>
      <x:c r="E269" s="21" t="str">
        <x:v>Dubai</x:v>
      </x:c>
      <x:c r="F269" s="21" t="str">
        <x:v>Oceana Adriatic Building fire</x:v>
      </x:c>
      <x:c r="G269" s="39" t="n">
        <x:v>42717</x:v>
      </x:c>
      <x:c r="H269" s="21" t="str">
        <x:v>Oceana Adriatic Building高层建筑外立面火灾。死亡 0，受伤 0；表中记录的受影响楼层为 1。</x:v>
      </x:c>
      <x:c r="I269" s="21" t="str">
        <x:v>未检索到/待核实</x:v>
      </x:c>
      <x:c r="J269" s="21" t="str">
        <x:v>死亡 0，受伤 0；表中记录的受影响楼层为 1。</x:v>
      </x:c>
      <x:c r="K269" s="21" t="str">
        <x:v>https://www.khaleejtimes.com/nation/dubai/update-fire-put-out-at-dubais-palm-jumeirah-building</x:v>
      </x:c>
      <x:c r="L269" s="27"/>
      <x:c r="M269" s="27"/>
      <x:c r="N269" s="21" t="str">
        <x:v>未提供坐标</x:v>
      </x:c>
      <x:c r="O269" s="21" t="str">
        <x:v>高层建筑外立面火灾</x:v>
      </x:c>
      <x:c r="P269" s="21" t="str">
        <x:v>未检索到</x:v>
      </x:c>
      <x:c r="Q269" s="21" t="str">
        <x:v>未检索到</x:v>
      </x:c>
      <x:c r="R269" s="21" t="str">
        <x:v>1</x:v>
      </x:c>
      <x:c r="S269" s="21" t="str">
        <x:v>未检索到</x:v>
      </x:c>
      <x:c r="T269" s="42" t="n">
        <x:v>0</x:v>
      </x:c>
      <x:c r="U269" s="42"/>
      <x:c r="V269" s="42"/>
      <x:c r="W269" s="33" t="str">
        <x:v>C</x:v>
      </x:c>
      <x:c r="X269" s="33" t="str">
        <x:v>compendium_needs_independent_verification</x:v>
      </x:c>
      <x:c r="Y269" s="33" t="str">
        <x:v>候选待核实</x:v>
      </x:c>
      <x:c r="Z269" s="21" t="str">
        <x:v>Wikipedia高层专题表；需补充独立来源核验</x:v>
      </x:c>
      <x:c r="AA269" s="21" t="str">
        <x:v>List of high-rise façade fires</x:v>
      </x:c>
      <x:c r="AB269" s="21" t="str">
        <x:v>Wikipedia专题列表</x:v>
      </x:c>
      <x:c r="AC269" s="21" t="str"/>
      <x:c r="AD269" s="21" t="n">
        <x:v>1</x:v>
      </x:c>
      <x:c r="AE269" s="21" t="str">
        <x:v>未检查</x:v>
      </x:c>
      <x:c r="AF269" s="21" t="str"/>
      <x:c r="AG269" s="24" t="n">
        <x:v>46260</x:v>
      </x:c>
      <x:c r="AH269" s="21" t="str"/>
      <x:c r="AI269" s="21" t="n">
        <x:v>1</x:v>
      </x:c>
      <x:c r="AJ269" s="21" t="str">
        <x:v>未评估（本事件表不建立热浪因果关系）</x:v>
      </x:c>
      <x:c r="AK269" s="21" t="str">
        <x:v>缺失/待核实</x:v>
      </x:c>
    </x:row>
    <x:row r="270" ht="42" customHeight="1">
      <x:c r="A270" s="33" t="n">
        <x:v>269</x:v>
      </x:c>
      <x:c r="B270" s="33" t="str">
        <x:v>RAW-0269</x:v>
      </x:c>
      <x:c r="C270" s="36" t="str">
        <x:v>亚洲</x:v>
      </x:c>
      <x:c r="D270" s="36" t="str">
        <x:v>China</x:v>
      </x:c>
      <x:c r="E270" s="21" t="str">
        <x:v>Nanjing</x:v>
      </x:c>
      <x:c r="F270" s="21" t="str">
        <x:v>Longsheng Building fire</x:v>
      </x:c>
      <x:c r="G270" s="39" t="n">
        <x:v>42493</x:v>
      </x:c>
      <x:c r="H270" s="21" t="str">
        <x:v>Longsheng Building高层建筑外立面火灾。死亡 0，受伤 0；表中记录的受影响楼层为 1。</x:v>
      </x:c>
      <x:c r="I270" s="21" t="str">
        <x:v>未检索到/待核实</x:v>
      </x:c>
      <x:c r="J270" s="21" t="str">
        <x:v>死亡 0，受伤 0；表中记录的受影响楼层为 1。</x:v>
      </x:c>
      <x:c r="K270" s="21" t="str">
        <x:v>http://www.mirror.co.uk/news/world-news/longsheng-building-fire-terror-skyscraper-7885245</x:v>
      </x:c>
      <x:c r="L270" s="27"/>
      <x:c r="M270" s="27"/>
      <x:c r="N270" s="21" t="str">
        <x:v>未提供坐标</x:v>
      </x:c>
      <x:c r="O270" s="21" t="str">
        <x:v>高层建筑外立面火灾</x:v>
      </x:c>
      <x:c r="P270" s="21" t="str">
        <x:v>未检索到</x:v>
      </x:c>
      <x:c r="Q270" s="21" t="str">
        <x:v>未检索到</x:v>
      </x:c>
      <x:c r="R270" s="21" t="str">
        <x:v>1</x:v>
      </x:c>
      <x:c r="S270" s="21" t="str">
        <x:v>未检索到</x:v>
      </x:c>
      <x:c r="T270" s="42" t="n">
        <x:v>0</x:v>
      </x:c>
      <x:c r="U270" s="42"/>
      <x:c r="V270" s="42"/>
      <x:c r="W270" s="33" t="str">
        <x:v>C</x:v>
      </x:c>
      <x:c r="X270" s="33" t="str">
        <x:v>compendium_needs_independent_verification</x:v>
      </x:c>
      <x:c r="Y270" s="33" t="str">
        <x:v>候选待核实</x:v>
      </x:c>
      <x:c r="Z270" s="21" t="str">
        <x:v>Wikipedia高层专题表；需补充独立来源核验</x:v>
      </x:c>
      <x:c r="AA270" s="21" t="str">
        <x:v>List of high-rise façade fires</x:v>
      </x:c>
      <x:c r="AB270" s="21" t="str">
        <x:v>Wikipedia专题列表</x:v>
      </x:c>
      <x:c r="AC270" s="21" t="str"/>
      <x:c r="AD270" s="21" t="n">
        <x:v>1</x:v>
      </x:c>
      <x:c r="AE270" s="21" t="str">
        <x:v>未检查</x:v>
      </x:c>
      <x:c r="AF270" s="21" t="str"/>
      <x:c r="AG270" s="24" t="n">
        <x:v>46260</x:v>
      </x:c>
      <x:c r="AH270" s="21" t="str"/>
      <x:c r="AI270" s="21" t="n">
        <x:v>1</x:v>
      </x:c>
      <x:c r="AJ270" s="21" t="str">
        <x:v>未评估（本事件表不建立热浪因果关系）</x:v>
      </x:c>
      <x:c r="AK270" s="21" t="str">
        <x:v>缺失/待核实</x:v>
      </x:c>
    </x:row>
    <x:row r="271" ht="42" customHeight="1">
      <x:c r="A271" s="33" t="n">
        <x:v>270</x:v>
      </x:c>
      <x:c r="B271" s="33" t="str">
        <x:v>RAW-0270</x:v>
      </x:c>
      <x:c r="C271" s="36" t="str">
        <x:v>亚洲</x:v>
      </x:c>
      <x:c r="D271" s="36" t="str">
        <x:v>United Arab Emirates</x:v>
      </x:c>
      <x:c r="E271" s="21" t="str">
        <x:v>Dubai</x:v>
      </x:c>
      <x:c r="F271" s="21" t="str">
        <x:v>Address Residences Fountain Views fire</x:v>
      </x:c>
      <x:c r="G271" s="39" t="n">
        <x:v>42796</x:v>
      </x:c>
      <x:c r="H271" s="21" t="str">
        <x:v>Address Residences Fountain Views高层建筑外立面火灾。死亡 0，受伤 0；表中记录的受影响楼层为 3。</x:v>
      </x:c>
      <x:c r="I271" s="21" t="str">
        <x:v>未检索到/待核实</x:v>
      </x:c>
      <x:c r="J271" s="21" t="str">
        <x:v>死亡 0，受伤 0；表中记录的受影响楼层为 3。</x:v>
      </x:c>
      <x:c r="K271" s="21" t="str">
        <x:v>https://www.telegraph.co.uk/news/2017/04/02/dramatic-scenes-fire-engulfs-skyscraper-downtown-dubai/</x:v>
      </x:c>
      <x:c r="L271" s="27"/>
      <x:c r="M271" s="27"/>
      <x:c r="N271" s="21" t="str">
        <x:v>未提供坐标</x:v>
      </x:c>
      <x:c r="O271" s="21" t="str">
        <x:v>高层建筑外立面火灾</x:v>
      </x:c>
      <x:c r="P271" s="21" t="str">
        <x:v>未检索到</x:v>
      </x:c>
      <x:c r="Q271" s="21" t="str">
        <x:v>未检索到</x:v>
      </x:c>
      <x:c r="R271" s="21" t="str">
        <x:v>3</x:v>
      </x:c>
      <x:c r="S271" s="21" t="str">
        <x:v>未检索到</x:v>
      </x:c>
      <x:c r="T271" s="42" t="n">
        <x:v>0</x:v>
      </x:c>
      <x:c r="U271" s="42"/>
      <x:c r="V271" s="42"/>
      <x:c r="W271" s="33" t="str">
        <x:v>C</x:v>
      </x:c>
      <x:c r="X271" s="33" t="str">
        <x:v>compendium_needs_independent_verification</x:v>
      </x:c>
      <x:c r="Y271" s="33" t="str">
        <x:v>候选待核实</x:v>
      </x:c>
      <x:c r="Z271" s="21" t="str">
        <x:v>Wikipedia高层专题表；需补充独立来源核验</x:v>
      </x:c>
      <x:c r="AA271" s="21" t="str">
        <x:v>List of high-rise façade fires</x:v>
      </x:c>
      <x:c r="AB271" s="21" t="str">
        <x:v>Wikipedia专题列表</x:v>
      </x:c>
      <x:c r="AC271" s="21" t="str"/>
      <x:c r="AD271" s="21" t="n">
        <x:v>1</x:v>
      </x:c>
      <x:c r="AE271" s="21" t="str">
        <x:v>未检查</x:v>
      </x:c>
      <x:c r="AF271" s="21" t="str"/>
      <x:c r="AG271" s="24" t="n">
        <x:v>46260</x:v>
      </x:c>
      <x:c r="AH271" s="21" t="str"/>
      <x:c r="AI271" s="21" t="n">
        <x:v>1</x:v>
      </x:c>
      <x:c r="AJ271" s="21" t="str">
        <x:v>未评估（本事件表不建立热浪因果关系）</x:v>
      </x:c>
      <x:c r="AK271" s="21" t="str">
        <x:v>缺失/待核实</x:v>
      </x:c>
    </x:row>
    <x:row r="272" ht="42" customHeight="1">
      <x:c r="A272" s="33" t="n">
        <x:v>271</x:v>
      </x:c>
      <x:c r="B272" s="33" t="str">
        <x:v>RAW-0271</x:v>
      </x:c>
      <x:c r="C272" s="36" t="str">
        <x:v>欧洲</x:v>
      </x:c>
      <x:c r="D272" s="36" t="str">
        <x:v>United Kingdom</x:v>
      </x:c>
      <x:c r="E272" s="21" t="str">
        <x:v>London</x:v>
      </x:c>
      <x:c r="F272" s="21" t="str">
        <x:v>Grenfell Tower fire</x:v>
      </x:c>
      <x:c r="G272" s="39" t="n">
        <x:v>42900</x:v>
      </x:c>
      <x:c r="H272" s="21" t="str">
        <x:v>Grenfell Tower fire高层建筑外立面火灾。死亡 72，受伤 70；表中记录的受影响楼层为 24。</x:v>
      </x:c>
      <x:c r="I272" s="21" t="str">
        <x:v>未检索到/待核实</x:v>
      </x:c>
      <x:c r="J272" s="21" t="str">
        <x:v>死亡 72，受伤 70；表中记录的受影响楼层为 24。</x:v>
      </x:c>
      <x:c r="K272" s="21" t="str">
        <x:v>https://en.wikipedia.org/wiki/Grenfell_Tower_fire</x:v>
      </x:c>
      <x:c r="L272" s="27"/>
      <x:c r="M272" s="27"/>
      <x:c r="N272" s="21" t="str">
        <x:v>未提供坐标</x:v>
      </x:c>
      <x:c r="O272" s="21" t="str">
        <x:v>高层建筑外立面火灾</x:v>
      </x:c>
      <x:c r="P272" s="21" t="str">
        <x:v>未检索到</x:v>
      </x:c>
      <x:c r="Q272" s="21" t="str">
        <x:v>未检索到</x:v>
      </x:c>
      <x:c r="R272" s="21" t="str">
        <x:v>24</x:v>
      </x:c>
      <x:c r="S272" s="21" t="str">
        <x:v>未检索到</x:v>
      </x:c>
      <x:c r="T272" s="42" t="n">
        <x:v>72</x:v>
      </x:c>
      <x:c r="U272" s="42"/>
      <x:c r="V272" s="42"/>
      <x:c r="W272" s="33" t="str">
        <x:v>B</x:v>
      </x:c>
      <x:c r="X272" s="33" t="str">
        <x:v>compendium_needs_independent_verification</x:v>
      </x:c>
      <x:c r="Y272" s="33" t="str">
        <x:v>候选待核实</x:v>
      </x:c>
      <x:c r="Z272" s="21" t="str">
        <x:v>Wikipedia具名事件页+高层专题表</x:v>
      </x:c>
      <x:c r="AA272" s="21" t="str">
        <x:v>List of high-rise façade fires</x:v>
      </x:c>
      <x:c r="AB272" s="21" t="str">
        <x:v>Wikipedia专题列表</x:v>
      </x:c>
      <x:c r="AC272" s="21" t="str"/>
      <x:c r="AD272" s="21" t="n">
        <x:v>1</x:v>
      </x:c>
      <x:c r="AE272" s="21" t="str">
        <x:v>未检查</x:v>
      </x:c>
      <x:c r="AF272" s="21" t="str"/>
      <x:c r="AG272" s="24" t="n">
        <x:v>46260</x:v>
      </x:c>
      <x:c r="AH272" s="21" t="str"/>
      <x:c r="AI272" s="21" t="n">
        <x:v>1</x:v>
      </x:c>
      <x:c r="AJ272" s="21" t="str">
        <x:v>未评估（本事件表不建立热浪因果关系）</x:v>
      </x:c>
      <x:c r="AK272" s="21" t="str">
        <x:v>缺失/待核实</x:v>
      </x:c>
    </x:row>
    <x:row r="273" ht="42" customHeight="1">
      <x:c r="A273" s="33" t="n">
        <x:v>272</x:v>
      </x:c>
      <x:c r="B273" s="33" t="str">
        <x:v>RAW-0272</x:v>
      </x:c>
      <x:c r="C273" s="36" t="str">
        <x:v>亚洲</x:v>
      </x:c>
      <x:c r="D273" s="36" t="str">
        <x:v>United Arab Emirates</x:v>
      </x:c>
      <x:c r="E273" s="21" t="str">
        <x:v>Dubai</x:v>
      </x:c>
      <x:c r="F273" s="21" t="str">
        <x:v>The Marina Torch fire</x:v>
      </x:c>
      <x:c r="G273" s="39" t="n">
        <x:v>42951</x:v>
      </x:c>
      <x:c r="H273" s="21" t="str">
        <x:v>The Marina Torch高层建筑外立面火灾。死亡 0，受伤 0；表中记录的受影响楼层为 64/87。</x:v>
      </x:c>
      <x:c r="I273" s="21" t="str">
        <x:v>未检索到/待核实</x:v>
      </x:c>
      <x:c r="J273" s="21" t="str">
        <x:v>死亡 0，受伤 0；表中记录的受影响楼层为 64/87。</x:v>
      </x:c>
      <x:c r="K273" s="21" t="str">
        <x:v>https://www.bbc.com/news/world-middle-east-40822269</x:v>
      </x:c>
      <x:c r="L273" s="27"/>
      <x:c r="M273" s="27"/>
      <x:c r="N273" s="21" t="str">
        <x:v>未提供坐标</x:v>
      </x:c>
      <x:c r="O273" s="21" t="str">
        <x:v>高层建筑外立面火灾</x:v>
      </x:c>
      <x:c r="P273" s="21" t="str">
        <x:v>未检索到</x:v>
      </x:c>
      <x:c r="Q273" s="21" t="str">
        <x:v>未检索到</x:v>
      </x:c>
      <x:c r="R273" s="21" t="str">
        <x:v>64/87</x:v>
      </x:c>
      <x:c r="S273" s="21" t="str">
        <x:v>未检索到</x:v>
      </x:c>
      <x:c r="T273" s="42" t="n">
        <x:v>0</x:v>
      </x:c>
      <x:c r="U273" s="42"/>
      <x:c r="V273" s="42"/>
      <x:c r="W273" s="33" t="str">
        <x:v>C</x:v>
      </x:c>
      <x:c r="X273" s="33" t="str">
        <x:v>compendium_needs_independent_verification</x:v>
      </x:c>
      <x:c r="Y273" s="33" t="str">
        <x:v>候选待核实</x:v>
      </x:c>
      <x:c r="Z273" s="21" t="str">
        <x:v>Wikipedia高层专题表；需补充独立来源核验</x:v>
      </x:c>
      <x:c r="AA273" s="21" t="str">
        <x:v>List of high-rise façade fires</x:v>
      </x:c>
      <x:c r="AB273" s="21" t="str">
        <x:v>Wikipedia专题列表</x:v>
      </x:c>
      <x:c r="AC273" s="21" t="str"/>
      <x:c r="AD273" s="21" t="n">
        <x:v>1</x:v>
      </x:c>
      <x:c r="AE273" s="21" t="str">
        <x:v>未检查</x:v>
      </x:c>
      <x:c r="AF273" s="21" t="str"/>
      <x:c r="AG273" s="24" t="n">
        <x:v>46260</x:v>
      </x:c>
      <x:c r="AH273" s="21" t="str"/>
      <x:c r="AI273" s="21" t="n">
        <x:v>1</x:v>
      </x:c>
      <x:c r="AJ273" s="21" t="str">
        <x:v>未评估（本事件表不建立热浪因果关系）</x:v>
      </x:c>
      <x:c r="AK273" s="21" t="str">
        <x:v>缺失/待核实</x:v>
      </x:c>
    </x:row>
    <x:row r="274" ht="42" customHeight="1">
      <x:c r="A274" s="33" t="n">
        <x:v>273</x:v>
      </x:c>
      <x:c r="B274" s="33" t="str">
        <x:v>RAW-0273</x:v>
      </x:c>
      <x:c r="C274" s="36" t="str">
        <x:v>亚洲</x:v>
      </x:c>
      <x:c r="D274" s="36" t="str">
        <x:v>China</x:v>
      </x:c>
      <x:c r="E274" s="21" t="str">
        <x:v>Zhengzhou</x:v>
      </x:c>
      <x:c r="F274" s="21" t="str">
        <x:v>Yuansheng International fire</x:v>
      </x:c>
      <x:c r="G274" s="39" t="n">
        <x:v>43132</x:v>
      </x:c>
      <x:c r="H274" s="21" t="str">
        <x:v>Yuansheng International高层建筑外立面火灾。死亡 0，受伤 0；表中记录的受影响楼层为 20。</x:v>
      </x:c>
      <x:c r="I274" s="21" t="str">
        <x:v>未检索到/待核实</x:v>
      </x:c>
      <x:c r="J274" s="21" t="str">
        <x:v>死亡 0，受伤 0；表中记录的受影响楼层为 20。</x:v>
      </x:c>
      <x:c r="K274" s="21" t="str">
        <x:v>http://www.ecns.cn/news/society/2018-02-02/detail-ifysszkh2352510.shtml</x:v>
      </x:c>
      <x:c r="L274" s="27"/>
      <x:c r="M274" s="27"/>
      <x:c r="N274" s="21" t="str">
        <x:v>未提供坐标</x:v>
      </x:c>
      <x:c r="O274" s="21" t="str">
        <x:v>高层建筑外立面火灾</x:v>
      </x:c>
      <x:c r="P274" s="21" t="str">
        <x:v>未检索到</x:v>
      </x:c>
      <x:c r="Q274" s="21" t="str">
        <x:v>未检索到</x:v>
      </x:c>
      <x:c r="R274" s="21" t="str">
        <x:v>20</x:v>
      </x:c>
      <x:c r="S274" s="21" t="str">
        <x:v>未检索到</x:v>
      </x:c>
      <x:c r="T274" s="42" t="n">
        <x:v>0</x:v>
      </x:c>
      <x:c r="U274" s="42"/>
      <x:c r="V274" s="42"/>
      <x:c r="W274" s="33" t="str">
        <x:v>C</x:v>
      </x:c>
      <x:c r="X274" s="33" t="str">
        <x:v>compendium_needs_independent_verification</x:v>
      </x:c>
      <x:c r="Y274" s="33" t="str">
        <x:v>候选待核实</x:v>
      </x:c>
      <x:c r="Z274" s="21" t="str">
        <x:v>Wikipedia高层专题表；需补充独立来源核验</x:v>
      </x:c>
      <x:c r="AA274" s="21" t="str">
        <x:v>List of high-rise façade fires</x:v>
      </x:c>
      <x:c r="AB274" s="21" t="str">
        <x:v>Wikipedia专题列表</x:v>
      </x:c>
      <x:c r="AC274" s="21" t="str"/>
      <x:c r="AD274" s="21" t="n">
        <x:v>1</x:v>
      </x:c>
      <x:c r="AE274" s="21" t="str">
        <x:v>未检查</x:v>
      </x:c>
      <x:c r="AF274" s="21" t="str"/>
      <x:c r="AG274" s="24" t="n">
        <x:v>46260</x:v>
      </x:c>
      <x:c r="AH274" s="21" t="str"/>
      <x:c r="AI274" s="21" t="n">
        <x:v>1</x:v>
      </x:c>
      <x:c r="AJ274" s="21" t="str">
        <x:v>未评估（本事件表不建立热浪因果关系）</x:v>
      </x:c>
      <x:c r="AK274" s="21" t="str">
        <x:v>缺失/待核实</x:v>
      </x:c>
    </x:row>
    <x:row r="275" ht="42" customHeight="1">
      <x:c r="A275" s="33" t="n">
        <x:v>274</x:v>
      </x:c>
      <x:c r="B275" s="33" t="str">
        <x:v>RAW-0274</x:v>
      </x:c>
      <x:c r="C275" s="36" t="str">
        <x:v>亚洲</x:v>
      </x:c>
      <x:c r="D275" s="36" t="str">
        <x:v>Turkey</x:v>
      </x:c>
      <x:c r="E275" s="21" t="str">
        <x:v>Istanbul</x:v>
      </x:c>
      <x:c r="F275" s="21" t="str">
        <x:v>Taksim Ilk Yardim Hospital fire</x:v>
      </x:c>
      <x:c r="G275" s="39" t="n">
        <x:v>43195</x:v>
      </x:c>
      <x:c r="H275" s="21" t="str">
        <x:v>Taksim Ilk Yardim Hospital高层建筑外立面火灾。死亡 0，受伤 0；表中记录的受影响楼层为 14。</x:v>
      </x:c>
      <x:c r="I275" s="21" t="str">
        <x:v>未检索到/待核实</x:v>
      </x:c>
      <x:c r="J275" s="21" t="str">
        <x:v>死亡 0，受伤 0；表中记录的受影响楼层为 14。</x:v>
      </x:c>
      <x:c r="K275" s="21" t="str">
        <x:v>http://www.middleeasteye.net/news/istanbuls-grenfell-hospital-fire-brings-city-safety-stark-relief</x:v>
      </x:c>
      <x:c r="L275" s="27"/>
      <x:c r="M275" s="27"/>
      <x:c r="N275" s="21" t="str">
        <x:v>未提供坐标</x:v>
      </x:c>
      <x:c r="O275" s="21" t="str">
        <x:v>高层建筑外立面火灾</x:v>
      </x:c>
      <x:c r="P275" s="21" t="str">
        <x:v>未检索到</x:v>
      </x:c>
      <x:c r="Q275" s="21" t="str">
        <x:v>未检索到</x:v>
      </x:c>
      <x:c r="R275" s="21" t="str">
        <x:v>14</x:v>
      </x:c>
      <x:c r="S275" s="21" t="str">
        <x:v>未检索到</x:v>
      </x:c>
      <x:c r="T275" s="42" t="n">
        <x:v>0</x:v>
      </x:c>
      <x:c r="U275" s="42"/>
      <x:c r="V275" s="42"/>
      <x:c r="W275" s="33" t="str">
        <x:v>C</x:v>
      </x:c>
      <x:c r="X275" s="33" t="str">
        <x:v>compendium_needs_independent_verification</x:v>
      </x:c>
      <x:c r="Y275" s="33" t="str">
        <x:v>候选待核实</x:v>
      </x:c>
      <x:c r="Z275" s="21" t="str">
        <x:v>Wikipedia高层专题表；需补充独立来源核验</x:v>
      </x:c>
      <x:c r="AA275" s="21" t="str">
        <x:v>List of high-rise façade fires</x:v>
      </x:c>
      <x:c r="AB275" s="21" t="str">
        <x:v>Wikipedia专题列表</x:v>
      </x:c>
      <x:c r="AC275" s="21" t="str"/>
      <x:c r="AD275" s="21" t="n">
        <x:v>1</x:v>
      </x:c>
      <x:c r="AE275" s="21" t="str">
        <x:v>未检查</x:v>
      </x:c>
      <x:c r="AF275" s="21" t="str"/>
      <x:c r="AG275" s="24" t="n">
        <x:v>46260</x:v>
      </x:c>
      <x:c r="AH275" s="21" t="str"/>
      <x:c r="AI275" s="21" t="n">
        <x:v>1</x:v>
      </x:c>
      <x:c r="AJ275" s="21" t="str">
        <x:v>未评估（本事件表不建立热浪因果关系）</x:v>
      </x:c>
      <x:c r="AK275" s="21" t="str">
        <x:v>缺失/待核实</x:v>
      </x:c>
    </x:row>
    <x:row r="276" ht="42" customHeight="1">
      <x:c r="A276" s="33" t="n">
        <x:v>275</x:v>
      </x:c>
      <x:c r="B276" s="33" t="str">
        <x:v>RAW-0275</x:v>
      </x:c>
      <x:c r="C276" s="36" t="str">
        <x:v>亚洲</x:v>
      </x:c>
      <x:c r="D276" s="36" t="str">
        <x:v>United Arab Emirates</x:v>
      </x:c>
      <x:c r="E276" s="21" t="str">
        <x:v>Dubai</x:v>
      </x:c>
      <x:c r="F276" s="21" t="str">
        <x:v>Zen Tower fire</x:v>
      </x:c>
      <x:c r="G276" s="39" t="n">
        <x:v>43235</x:v>
      </x:c>
      <x:c r="H276" s="21" t="str">
        <x:v>Zen Tower高层建筑外立面火灾。死亡 0，受伤 0；表中记录的受影响楼层为 15。</x:v>
      </x:c>
      <x:c r="I276" s="21" t="str">
        <x:v>未检索到/待核实</x:v>
      </x:c>
      <x:c r="J276" s="21" t="str">
        <x:v>死亡 0，受伤 0；表中记录的受影响楼层为 15。</x:v>
      </x:c>
      <x:c r="K276" s="21" t="str">
        <x:v>https://www.khaleejtimes.com/nation/dubai/15-floors-gutted-in-Dubai-Marina-fire-</x:v>
      </x:c>
      <x:c r="L276" s="27"/>
      <x:c r="M276" s="27"/>
      <x:c r="N276" s="21" t="str">
        <x:v>未提供坐标</x:v>
      </x:c>
      <x:c r="O276" s="21" t="str">
        <x:v>高层建筑外立面火灾</x:v>
      </x:c>
      <x:c r="P276" s="21" t="str">
        <x:v>未检索到</x:v>
      </x:c>
      <x:c r="Q276" s="21" t="str">
        <x:v>未检索到</x:v>
      </x:c>
      <x:c r="R276" s="21" t="str">
        <x:v>15</x:v>
      </x:c>
      <x:c r="S276" s="21" t="str">
        <x:v>未检索到</x:v>
      </x:c>
      <x:c r="T276" s="42" t="n">
        <x:v>0</x:v>
      </x:c>
      <x:c r="U276" s="42"/>
      <x:c r="V276" s="42"/>
      <x:c r="W276" s="33" t="str">
        <x:v>C</x:v>
      </x:c>
      <x:c r="X276" s="33" t="str">
        <x:v>compendium_needs_independent_verification</x:v>
      </x:c>
      <x:c r="Y276" s="33" t="str">
        <x:v>候选待核实</x:v>
      </x:c>
      <x:c r="Z276" s="21" t="str">
        <x:v>Wikipedia高层专题表；需补充独立来源核验</x:v>
      </x:c>
      <x:c r="AA276" s="21" t="str">
        <x:v>List of high-rise façade fires</x:v>
      </x:c>
      <x:c r="AB276" s="21" t="str">
        <x:v>Wikipedia专题列表</x:v>
      </x:c>
      <x:c r="AC276" s="21" t="str"/>
      <x:c r="AD276" s="21" t="n">
        <x:v>1</x:v>
      </x:c>
      <x:c r="AE276" s="21" t="str">
        <x:v>未检查</x:v>
      </x:c>
      <x:c r="AF276" s="21" t="str"/>
      <x:c r="AG276" s="24" t="n">
        <x:v>46260</x:v>
      </x:c>
      <x:c r="AH276" s="21" t="str"/>
      <x:c r="AI276" s="21" t="n">
        <x:v>1</x:v>
      </x:c>
      <x:c r="AJ276" s="21" t="str">
        <x:v>未评估（本事件表不建立热浪因果关系）</x:v>
      </x:c>
      <x:c r="AK276" s="21" t="str">
        <x:v>缺失/待核实</x:v>
      </x:c>
    </x:row>
    <x:row r="277" ht="42" customHeight="1">
      <x:c r="A277" s="33" t="n">
        <x:v>276</x:v>
      </x:c>
      <x:c r="B277" s="33" t="str">
        <x:v>RAW-0276</x:v>
      </x:c>
      <x:c r="C277" s="36" t="str">
        <x:v>欧洲</x:v>
      </x:c>
      <x:c r="D277" s="36" t="str">
        <x:v>France</x:v>
      </x:c>
      <x:c r="E277" s="21" t="str">
        <x:v>Paris</x:v>
      </x:c>
      <x:c r="F277" s="21" t="str">
        <x:v>The Boulangerie Hubert (later renamed the Mumbai Cafe)</x:v>
      </x:c>
      <x:c r="G277" s="39" t="n">
        <x:v>43477</x:v>
      </x:c>
      <x:c r="H277" s="21" t="str">
        <x:v>The Boulangerie Hubert (later renamed the Mumbai Cafe)高层建筑外立面火灾。死亡 4，受伤 47；表中记录的受影响楼层为 1st of 7。</x:v>
      </x:c>
      <x:c r="I277" s="21" t="str">
        <x:v>未检索到/待核实</x:v>
      </x:c>
      <x:c r="J277" s="21" t="str">
        <x:v>死亡 4，受伤 47；表中记录的受影响楼层为 1st of 7。</x:v>
      </x:c>
      <x:c r="K277" s="21" t="str">
        <x:v>https://en.wikipedia.org/wiki/2019_Paris_explosion</x:v>
      </x:c>
      <x:c r="L277" s="27"/>
      <x:c r="M277" s="27"/>
      <x:c r="N277" s="21" t="str">
        <x:v>未提供坐标</x:v>
      </x:c>
      <x:c r="O277" s="21" t="str">
        <x:v>高层建筑外立面火灾</x:v>
      </x:c>
      <x:c r="P277" s="21" t="str">
        <x:v>未检索到</x:v>
      </x:c>
      <x:c r="Q277" s="21" t="str">
        <x:v>未检索到</x:v>
      </x:c>
      <x:c r="R277" s="21" t="str">
        <x:v>1st of 7</x:v>
      </x:c>
      <x:c r="S277" s="21" t="str">
        <x:v>未检索到</x:v>
      </x:c>
      <x:c r="T277" s="42" t="n">
        <x:v>4</x:v>
      </x:c>
      <x:c r="U277" s="42"/>
      <x:c r="V277" s="42"/>
      <x:c r="W277" s="33" t="str">
        <x:v>B</x:v>
      </x:c>
      <x:c r="X277" s="33" t="str">
        <x:v>compendium_needs_independent_verification</x:v>
      </x:c>
      <x:c r="Y277" s="33" t="str">
        <x:v>候选待核实</x:v>
      </x:c>
      <x:c r="Z277" s="21" t="str">
        <x:v>Wikipedia具名事件页+高层专题表</x:v>
      </x:c>
      <x:c r="AA277" s="21" t="str">
        <x:v>List of high-rise façade fires</x:v>
      </x:c>
      <x:c r="AB277" s="21" t="str">
        <x:v>Wikipedia专题列表</x:v>
      </x:c>
      <x:c r="AC277" s="21" t="str"/>
      <x:c r="AD277" s="21" t="n">
        <x:v>1</x:v>
      </x:c>
      <x:c r="AE277" s="21" t="str">
        <x:v>未检查</x:v>
      </x:c>
      <x:c r="AF277" s="21" t="str"/>
      <x:c r="AG277" s="24" t="n">
        <x:v>46260</x:v>
      </x:c>
      <x:c r="AH277" s="21" t="str"/>
      <x:c r="AI277" s="21" t="n">
        <x:v>1</x:v>
      </x:c>
      <x:c r="AJ277" s="21" t="str">
        <x:v>未评估（本事件表不建立热浪因果关系）</x:v>
      </x:c>
      <x:c r="AK277" s="21" t="str">
        <x:v>缺失/待核实</x:v>
      </x:c>
    </x:row>
    <x:row r="278" ht="42" customHeight="1">
      <x:c r="A278" s="33" t="n">
        <x:v>277</x:v>
      </x:c>
      <x:c r="B278" s="33" t="str">
        <x:v>RAW-0277</x:v>
      </x:c>
      <x:c r="C278" s="36" t="str">
        <x:v>大洋洲</x:v>
      </x:c>
      <x:c r="D278" s="36" t="str">
        <x:v>Australia</x:v>
      </x:c>
      <x:c r="E278" s="21" t="str">
        <x:v>Melbourne</x:v>
      </x:c>
      <x:c r="F278" s="21" t="str">
        <x:v>Neo 200 fire</x:v>
      </x:c>
      <x:c r="G278" s="39" t="n">
        <x:v>43500</x:v>
      </x:c>
      <x:c r="H278" s="21" t="str">
        <x:v>Neo 200高层建筑外立面火灾。死亡 0，受伤 0；表中记录的受影响楼层为 6。</x:v>
      </x:c>
      <x:c r="I278" s="21" t="str">
        <x:v>未检索到/待核实</x:v>
      </x:c>
      <x:c r="J278" s="21" t="str">
        <x:v>死亡 0，受伤 0；表中记录的受影响楼层为 6。</x:v>
      </x:c>
      <x:c r="K278" s="21" t="str">
        <x:v>https://www.urban.com.au/expert-insights/100106-fire-risks-in-australian-buildings-go-beyond-cladding-jonathan-barnett</x:v>
      </x:c>
      <x:c r="L278" s="27"/>
      <x:c r="M278" s="27"/>
      <x:c r="N278" s="21" t="str">
        <x:v>未提供坐标</x:v>
      </x:c>
      <x:c r="O278" s="21" t="str">
        <x:v>高层建筑外立面火灾</x:v>
      </x:c>
      <x:c r="P278" s="21" t="str">
        <x:v>未检索到</x:v>
      </x:c>
      <x:c r="Q278" s="21" t="str">
        <x:v>未检索到</x:v>
      </x:c>
      <x:c r="R278" s="21" t="str">
        <x:v>6</x:v>
      </x:c>
      <x:c r="S278" s="21" t="str">
        <x:v>未检索到</x:v>
      </x:c>
      <x:c r="T278" s="42" t="n">
        <x:v>0</x:v>
      </x:c>
      <x:c r="U278" s="42"/>
      <x:c r="V278" s="42"/>
      <x:c r="W278" s="33" t="str">
        <x:v>C</x:v>
      </x:c>
      <x:c r="X278" s="33" t="str">
        <x:v>compendium_needs_independent_verification</x:v>
      </x:c>
      <x:c r="Y278" s="33" t="str">
        <x:v>候选待核实</x:v>
      </x:c>
      <x:c r="Z278" s="21" t="str">
        <x:v>Wikipedia高层专题表；需补充独立来源核验</x:v>
      </x:c>
      <x:c r="AA278" s="21" t="str">
        <x:v>List of high-rise façade fires</x:v>
      </x:c>
      <x:c r="AB278" s="21" t="str">
        <x:v>Wikipedia专题列表</x:v>
      </x:c>
      <x:c r="AC278" s="21" t="str"/>
      <x:c r="AD278" s="21" t="n">
        <x:v>1</x:v>
      </x:c>
      <x:c r="AE278" s="21" t="str">
        <x:v>未检查</x:v>
      </x:c>
      <x:c r="AF278" s="21" t="str"/>
      <x:c r="AG278" s="24" t="n">
        <x:v>46260</x:v>
      </x:c>
      <x:c r="AH278" s="21" t="str"/>
      <x:c r="AI278" s="21" t="n">
        <x:v>1</x:v>
      </x:c>
      <x:c r="AJ278" s="21" t="str">
        <x:v>未评估（本事件表不建立热浪因果关系）</x:v>
      </x:c>
      <x:c r="AK278" s="21" t="str">
        <x:v>缺失/待核实</x:v>
      </x:c>
    </x:row>
    <x:row r="279" ht="42" customHeight="1">
      <x:c r="A279" s="33" t="n">
        <x:v>278</x:v>
      </x:c>
      <x:c r="B279" s="33" t="str">
        <x:v>RAW-0278</x:v>
      </x:c>
      <x:c r="C279" s="36" t="str">
        <x:v>欧洲</x:v>
      </x:c>
      <x:c r="D279" s="36" t="str">
        <x:v>France</x:v>
      </x:c>
      <x:c r="E279" s="21" t="str">
        <x:v>16th District, Paris</x:v>
      </x:c>
      <x:c r="F279" s="21" t="str">
        <x:v>The drunk lady fire</x:v>
      </x:c>
      <x:c r="G279" s="39" t="n">
        <x:v>43501</x:v>
      </x:c>
      <x:c r="H279" s="21" t="str">
        <x:v>17 bis rue Erlanger, The drunk lady fire高层建筑外立面火灾。死亡 10，受伤 36；表中记录的受影响楼层为 3rd through 9th。</x:v>
      </x:c>
      <x:c r="I279" s="21" t="str">
        <x:v>未检索到/待核实</x:v>
      </x:c>
      <x:c r="J279" s="21" t="str">
        <x:v>死亡 10，受伤 36；表中记录的受影响楼层为 3rd through 9th。</x:v>
      </x:c>
      <x:c r="K279" s="21" t="str">
        <x:v>https://en.wikipedia.org/wiki/February_2019_Paris_fire</x:v>
      </x:c>
      <x:c r="L279" s="27"/>
      <x:c r="M279" s="27"/>
      <x:c r="N279" s="21" t="str">
        <x:v>未提供坐标</x:v>
      </x:c>
      <x:c r="O279" s="21" t="str">
        <x:v>高层建筑外立面火灾</x:v>
      </x:c>
      <x:c r="P279" s="21" t="str">
        <x:v>未检索到</x:v>
      </x:c>
      <x:c r="Q279" s="21" t="str">
        <x:v>未检索到</x:v>
      </x:c>
      <x:c r="R279" s="21" t="str">
        <x:v>3rd through 9th</x:v>
      </x:c>
      <x:c r="S279" s="21" t="str">
        <x:v>未检索到</x:v>
      </x:c>
      <x:c r="T279" s="42" t="n">
        <x:v>10</x:v>
      </x:c>
      <x:c r="U279" s="42"/>
      <x:c r="V279" s="42"/>
      <x:c r="W279" s="33" t="str">
        <x:v>B</x:v>
      </x:c>
      <x:c r="X279" s="33" t="str">
        <x:v>compendium_needs_independent_verification</x:v>
      </x:c>
      <x:c r="Y279" s="33" t="str">
        <x:v>候选待核实</x:v>
      </x:c>
      <x:c r="Z279" s="21" t="str">
        <x:v>Wikipedia具名事件页+高层专题表</x:v>
      </x:c>
      <x:c r="AA279" s="21" t="str">
        <x:v>List of high-rise façade fires</x:v>
      </x:c>
      <x:c r="AB279" s="21" t="str">
        <x:v>Wikipedia专题列表</x:v>
      </x:c>
      <x:c r="AC279" s="21" t="str"/>
      <x:c r="AD279" s="21" t="n">
        <x:v>1</x:v>
      </x:c>
      <x:c r="AE279" s="21" t="str">
        <x:v>未检查</x:v>
      </x:c>
      <x:c r="AF279" s="21" t="str"/>
      <x:c r="AG279" s="24" t="n">
        <x:v>46260</x:v>
      </x:c>
      <x:c r="AH279" s="21" t="str"/>
      <x:c r="AI279" s="21" t="n">
        <x:v>1</x:v>
      </x:c>
      <x:c r="AJ279" s="21" t="str">
        <x:v>未评估（本事件表不建立热浪因果关系）</x:v>
      </x:c>
      <x:c r="AK279" s="21" t="str">
        <x:v>缺失/待核实</x:v>
      </x:c>
    </x:row>
    <x:row r="280" ht="42" customHeight="1">
      <x:c r="A280" s="33" t="n">
        <x:v>279</x:v>
      </x:c>
      <x:c r="B280" s="33" t="str">
        <x:v>RAW-0279</x:v>
      </x:c>
      <x:c r="C280" s="36" t="str">
        <x:v>亚洲</x:v>
      </x:c>
      <x:c r="D280" s="36" t="str">
        <x:v>China</x:v>
      </x:c>
      <x:c r="E280" s="21" t="str">
        <x:v>Kaifeng</x:v>
      </x:c>
      <x:c r="F280" s="21" t="str">
        <x:v>Kaifeng Apartments[citation needed] fire</x:v>
      </x:c>
      <x:c r="G280" s="39" t="n">
        <x:v>43538</x:v>
      </x:c>
      <x:c r="H280" s="21" t="str">
        <x:v>Kaifeng Apartments[citation needed]高层建筑外立面火灾。死亡 0，受伤 0；表中记录的受影响楼层为 17。</x:v>
      </x:c>
      <x:c r="I280" s="21" t="str">
        <x:v>未检索到/待核实</x:v>
      </x:c>
      <x:c r="J280" s="21" t="str">
        <x:v>死亡 0，受伤 0；表中记录的受影响楼层为 17。</x:v>
      </x:c>
      <x:c r="K280" s="21" t="str">
        <x:v>https://en.wikipedia.org/wiki/List_of_high-rise_fa%C3%A7ade_fires</x:v>
      </x:c>
      <x:c r="L280" s="27"/>
      <x:c r="M280" s="27"/>
      <x:c r="N280" s="21" t="str">
        <x:v>未提供坐标</x:v>
      </x:c>
      <x:c r="O280" s="21" t="str">
        <x:v>高层建筑外立面火灾</x:v>
      </x:c>
      <x:c r="P280" s="21" t="str">
        <x:v>未检索到</x:v>
      </x:c>
      <x:c r="Q280" s="21" t="str">
        <x:v>未检索到</x:v>
      </x:c>
      <x:c r="R280" s="21" t="str">
        <x:v>17</x:v>
      </x:c>
      <x:c r="S280" s="21" t="str">
        <x:v>未检索到</x:v>
      </x:c>
      <x:c r="T280" s="42" t="n">
        <x:v>0</x:v>
      </x:c>
      <x:c r="U280" s="42"/>
      <x:c r="V280" s="42"/>
      <x:c r="W280" s="33" t="str">
        <x:v>C</x:v>
      </x:c>
      <x:c r="X280" s="33" t="str">
        <x:v>compendium_needs_independent_verification</x:v>
      </x:c>
      <x:c r="Y280" s="33" t="str">
        <x:v>候选待核实</x:v>
      </x:c>
      <x:c r="Z280" s="21" t="str">
        <x:v>Wikipedia高层专题表；需补充独立来源核验</x:v>
      </x:c>
      <x:c r="AA280" s="21" t="str">
        <x:v>List of high-rise façade fires</x:v>
      </x:c>
      <x:c r="AB280" s="21" t="str">
        <x:v>Wikipedia专题列表</x:v>
      </x:c>
      <x:c r="AC280" s="21" t="str"/>
      <x:c r="AD280" s="21" t="n">
        <x:v>1</x:v>
      </x:c>
      <x:c r="AE280" s="21" t="str">
        <x:v>未检查</x:v>
      </x:c>
      <x:c r="AF280" s="21" t="str"/>
      <x:c r="AG280" s="24" t="n">
        <x:v>46260</x:v>
      </x:c>
      <x:c r="AH280" s="21" t="str"/>
      <x:c r="AI280" s="21" t="n">
        <x:v>1</x:v>
      </x:c>
      <x:c r="AJ280" s="21" t="str">
        <x:v>未评估（本事件表不建立热浪因果关系）</x:v>
      </x:c>
      <x:c r="AK280" s="21" t="str">
        <x:v>缺失/待核实</x:v>
      </x:c>
    </x:row>
    <x:row r="281" ht="42" customHeight="1">
      <x:c r="A281" s="33" t="n">
        <x:v>280</x:v>
      </x:c>
      <x:c r="B281" s="33" t="str">
        <x:v>RAW-0280</x:v>
      </x:c>
      <x:c r="C281" s="36" t="str">
        <x:v>亚洲</x:v>
      </x:c>
      <x:c r="D281" s="36" t="str">
        <x:v>China</x:v>
      </x:c>
      <x:c r="E281" s="21" t="str">
        <x:v>Nanjing</x:v>
      </x:c>
      <x:c r="F281" s="21" t="str">
        <x:v>Golden Eagle Shopping Mall fire</x:v>
      </x:c>
      <x:c r="G281" s="39" t="n">
        <x:v>43612</x:v>
      </x:c>
      <x:c r="H281" s="21" t="str">
        <x:v>Golden Eagle Shopping Mall高层建筑外立面火灾。死亡 0，受伤 0；表中记录的受影响楼层为 1。</x:v>
      </x:c>
      <x:c r="I281" s="21" t="str">
        <x:v>未检索到/待核实</x:v>
      </x:c>
      <x:c r="J281" s="21" t="str">
        <x:v>死亡 0，受伤 0；表中记录的受影响楼层为 1。</x:v>
      </x:c>
      <x:c r="K281" s="21" t="str">
        <x:v>https://www.chinadaily.com.cn/a/201905/25/WS5ce816f5a3104842260bdb05.html</x:v>
      </x:c>
      <x:c r="L281" s="27"/>
      <x:c r="M281" s="27"/>
      <x:c r="N281" s="21" t="str">
        <x:v>未提供坐标</x:v>
      </x:c>
      <x:c r="O281" s="21" t="str">
        <x:v>高层建筑外立面火灾</x:v>
      </x:c>
      <x:c r="P281" s="21" t="str">
        <x:v>未检索到</x:v>
      </x:c>
      <x:c r="Q281" s="21" t="str">
        <x:v>未检索到</x:v>
      </x:c>
      <x:c r="R281" s="21" t="str">
        <x:v>1</x:v>
      </x:c>
      <x:c r="S281" s="21" t="str">
        <x:v>未检索到</x:v>
      </x:c>
      <x:c r="T281" s="42" t="n">
        <x:v>0</x:v>
      </x:c>
      <x:c r="U281" s="42"/>
      <x:c r="V281" s="42"/>
      <x:c r="W281" s="33" t="str">
        <x:v>C</x:v>
      </x:c>
      <x:c r="X281" s="33" t="str">
        <x:v>compendium_needs_independent_verification</x:v>
      </x:c>
      <x:c r="Y281" s="33" t="str">
        <x:v>候选待核实</x:v>
      </x:c>
      <x:c r="Z281" s="21" t="str">
        <x:v>Wikipedia高层专题表；需补充独立来源核验</x:v>
      </x:c>
      <x:c r="AA281" s="21" t="str">
        <x:v>List of high-rise façade fires</x:v>
      </x:c>
      <x:c r="AB281" s="21" t="str">
        <x:v>Wikipedia专题列表</x:v>
      </x:c>
      <x:c r="AC281" s="21" t="str"/>
      <x:c r="AD281" s="21" t="n">
        <x:v>1</x:v>
      </x:c>
      <x:c r="AE281" s="21" t="str">
        <x:v>未检查</x:v>
      </x:c>
      <x:c r="AF281" s="21" t="str"/>
      <x:c r="AG281" s="24" t="n">
        <x:v>46260</x:v>
      </x:c>
      <x:c r="AH281" s="21" t="str"/>
      <x:c r="AI281" s="21" t="n">
        <x:v>1</x:v>
      </x:c>
      <x:c r="AJ281" s="21" t="str">
        <x:v>未评估（本事件表不建立热浪因果关系）</x:v>
      </x:c>
      <x:c r="AK281" s="21" t="str">
        <x:v>缺失/待核实</x:v>
      </x:c>
    </x:row>
    <x:row r="282" ht="42" customHeight="1">
      <x:c r="A282" s="33" t="n">
        <x:v>281</x:v>
      </x:c>
      <x:c r="B282" s="33" t="str">
        <x:v>RAW-0281</x:v>
      </x:c>
      <x:c r="C282" s="36" t="str">
        <x:v>亚洲</x:v>
      </x:c>
      <x:c r="D282" s="36" t="str">
        <x:v>China</x:v>
      </x:c>
      <x:c r="E282" s="21" t="str">
        <x:v>Luoyang</x:v>
      </x:c>
      <x:c r="F282" s="21" t="str">
        <x:v>Commercial Building fire</x:v>
      </x:c>
      <x:c r="G282" s="39" t="n">
        <x:v>43614</x:v>
      </x:c>
      <x:c r="H282" s="21" t="str">
        <x:v>Commercial Building高层建筑外立面火灾。死亡 0，受伤 0；表中记录的受影响楼层为 1。</x:v>
      </x:c>
      <x:c r="I282" s="21" t="str">
        <x:v>未检索到/待核实</x:v>
      </x:c>
      <x:c r="J282" s="21" t="str">
        <x:v>死亡 0，受伤 0；表中记录的受影响楼层为 1。</x:v>
      </x:c>
      <x:c r="K282" s="21" t="str">
        <x:v>https://news.sina.com.cn/o/2019-05-29/doc-ihvhiqay2320153.shtml</x:v>
      </x:c>
      <x:c r="L282" s="27"/>
      <x:c r="M282" s="27"/>
      <x:c r="N282" s="21" t="str">
        <x:v>未提供坐标</x:v>
      </x:c>
      <x:c r="O282" s="21" t="str">
        <x:v>高层建筑外立面火灾</x:v>
      </x:c>
      <x:c r="P282" s="21" t="str">
        <x:v>未检索到</x:v>
      </x:c>
      <x:c r="Q282" s="21" t="str">
        <x:v>未检索到</x:v>
      </x:c>
      <x:c r="R282" s="21" t="str">
        <x:v>1</x:v>
      </x:c>
      <x:c r="S282" s="21" t="str">
        <x:v>未检索到</x:v>
      </x:c>
      <x:c r="T282" s="42" t="n">
        <x:v>0</x:v>
      </x:c>
      <x:c r="U282" s="42"/>
      <x:c r="V282" s="42"/>
      <x:c r="W282" s="33" t="str">
        <x:v>C</x:v>
      </x:c>
      <x:c r="X282" s="33" t="str">
        <x:v>compendium_needs_independent_verification</x:v>
      </x:c>
      <x:c r="Y282" s="33" t="str">
        <x:v>候选待核实</x:v>
      </x:c>
      <x:c r="Z282" s="21" t="str">
        <x:v>Wikipedia高层专题表；需补充独立来源核验</x:v>
      </x:c>
      <x:c r="AA282" s="21" t="str">
        <x:v>List of high-rise façade fires</x:v>
      </x:c>
      <x:c r="AB282" s="21" t="str">
        <x:v>Wikipedia专题列表</x:v>
      </x:c>
      <x:c r="AC282" s="21" t="str"/>
      <x:c r="AD282" s="21" t="n">
        <x:v>1</x:v>
      </x:c>
      <x:c r="AE282" s="21" t="str">
        <x:v>未检查</x:v>
      </x:c>
      <x:c r="AF282" s="21" t="str"/>
      <x:c r="AG282" s="24" t="n">
        <x:v>46260</x:v>
      </x:c>
      <x:c r="AH282" s="21" t="str"/>
      <x:c r="AI282" s="21" t="n">
        <x:v>1</x:v>
      </x:c>
      <x:c r="AJ282" s="21" t="str">
        <x:v>未评估（本事件表不建立热浪因果关系）</x:v>
      </x:c>
      <x:c r="AK282" s="21" t="str">
        <x:v>缺失/待核实</x:v>
      </x:c>
    </x:row>
    <x:row r="283" ht="42" customHeight="1">
      <x:c r="A283" s="33" t="n">
        <x:v>282</x:v>
      </x:c>
      <x:c r="B283" s="33" t="str">
        <x:v>RAW-0282</x:v>
      </x:c>
      <x:c r="C283" s="36" t="str">
        <x:v>欧洲</x:v>
      </x:c>
      <x:c r="D283" s="36" t="str">
        <x:v>Poland</x:v>
      </x:c>
      <x:c r="E283" s="21" t="str">
        <x:v>Warsaw</x:v>
      </x:c>
      <x:c r="F283" s="21" t="str">
        <x:v>Residential Flats fire</x:v>
      </x:c>
      <x:c r="G283" s="39" t="n">
        <x:v>43691</x:v>
      </x:c>
      <x:c r="H283" s="21" t="str">
        <x:v>Residential Flats高层建筑外立面火灾。死亡 0，受伤 0；表中记录的受影响楼层为 10。</x:v>
      </x:c>
      <x:c r="I283" s="21" t="str">
        <x:v>未检索到/待核实</x:v>
      </x:c>
      <x:c r="J283" s="21" t="str">
        <x:v>死亡 0，受伤 0；表中记录的受影响楼层为 10。</x:v>
      </x:c>
      <x:c r="K283" s="21" t="str">
        <x:v>https://tvn24.pl/tvnwarszawa/najnowsze/spalona-elewacja-zniszczone-okna-od-parteru-az-po-sam-dach-652130</x:v>
      </x:c>
      <x:c r="L283" s="27"/>
      <x:c r="M283" s="27"/>
      <x:c r="N283" s="21" t="str">
        <x:v>未提供坐标</x:v>
      </x:c>
      <x:c r="O283" s="21" t="str">
        <x:v>高层建筑外立面火灾</x:v>
      </x:c>
      <x:c r="P283" s="21" t="str">
        <x:v>未检索到</x:v>
      </x:c>
      <x:c r="Q283" s="21" t="str">
        <x:v>未检索到</x:v>
      </x:c>
      <x:c r="R283" s="21" t="str">
        <x:v>10</x:v>
      </x:c>
      <x:c r="S283" s="21" t="str">
        <x:v>未检索到</x:v>
      </x:c>
      <x:c r="T283" s="42" t="n">
        <x:v>0</x:v>
      </x:c>
      <x:c r="U283" s="42"/>
      <x:c r="V283" s="42"/>
      <x:c r="W283" s="33" t="str">
        <x:v>C</x:v>
      </x:c>
      <x:c r="X283" s="33" t="str">
        <x:v>compendium_needs_independent_verification</x:v>
      </x:c>
      <x:c r="Y283" s="33" t="str">
        <x:v>候选待核实</x:v>
      </x:c>
      <x:c r="Z283" s="21" t="str">
        <x:v>Wikipedia高层专题表；需补充独立来源核验</x:v>
      </x:c>
      <x:c r="AA283" s="21" t="str">
        <x:v>List of high-rise façade fires</x:v>
      </x:c>
      <x:c r="AB283" s="21" t="str">
        <x:v>Wikipedia专题列表</x:v>
      </x:c>
      <x:c r="AC283" s="21" t="str"/>
      <x:c r="AD283" s="21" t="n">
        <x:v>1</x:v>
      </x:c>
      <x:c r="AE283" s="21" t="str">
        <x:v>未检查</x:v>
      </x:c>
      <x:c r="AF283" s="21" t="str"/>
      <x:c r="AG283" s="24" t="n">
        <x:v>46260</x:v>
      </x:c>
      <x:c r="AH283" s="21" t="str"/>
      <x:c r="AI283" s="21" t="n">
        <x:v>1</x:v>
      </x:c>
      <x:c r="AJ283" s="21" t="str">
        <x:v>未评估（本事件表不建立热浪因果关系）</x:v>
      </x:c>
      <x:c r="AK283" s="21" t="str">
        <x:v>缺失/待核实</x:v>
      </x:c>
    </x:row>
    <x:row r="284" ht="42" customHeight="1">
      <x:c r="A284" s="33" t="n">
        <x:v>283</x:v>
      </x:c>
      <x:c r="B284" s="33" t="str">
        <x:v>RAW-0283</x:v>
      </x:c>
      <x:c r="C284" s="36" t="str">
        <x:v>欧洲</x:v>
      </x:c>
      <x:c r="D284" s="36" t="str">
        <x:v>France</x:v>
      </x:c>
      <x:c r="E284" s="21" t="str">
        <x:v>Paris</x:v>
      </x:c>
      <x:c r="F284" s="21" t="str">
        <x:v>Seine Tower fire</x:v>
      </x:c>
      <x:c r="G284" s="39" t="n">
        <x:v>43783</x:v>
      </x:c>
      <x:c r="H284" s="21" t="str">
        <x:v>Seine Tower高层建筑外立面火灾。死亡 0，受伤 2；表中记录的受影响楼层为 1。</x:v>
      </x:c>
      <x:c r="I284" s="21" t="str">
        <x:v>未检索到/待核实</x:v>
      </x:c>
      <x:c r="J284" s="21" t="str">
        <x:v>死亡 0，受伤 2；表中记录的受影响楼层为 1。</x:v>
      </x:c>
      <x:c r="K284" s="21" t="str">
        <x:v>https://doi.org/10.1007%2F978-1-4939-2898-9_4</x:v>
      </x:c>
      <x:c r="L284" s="27"/>
      <x:c r="M284" s="27"/>
      <x:c r="N284" s="21" t="str">
        <x:v>未提供坐标</x:v>
      </x:c>
      <x:c r="O284" s="21" t="str">
        <x:v>高层建筑外立面火灾</x:v>
      </x:c>
      <x:c r="P284" s="21" t="str">
        <x:v>未检索到</x:v>
      </x:c>
      <x:c r="Q284" s="21" t="str">
        <x:v>未检索到</x:v>
      </x:c>
      <x:c r="R284" s="21" t="str">
        <x:v>1</x:v>
      </x:c>
      <x:c r="S284" s="21" t="str">
        <x:v>未检索到</x:v>
      </x:c>
      <x:c r="T284" s="42" t="n">
        <x:v>0</x:v>
      </x:c>
      <x:c r="U284" s="42"/>
      <x:c r="V284" s="42"/>
      <x:c r="W284" s="33" t="str">
        <x:v>C</x:v>
      </x:c>
      <x:c r="X284" s="33" t="str">
        <x:v>compendium_needs_independent_verification</x:v>
      </x:c>
      <x:c r="Y284" s="33" t="str">
        <x:v>候选待核实</x:v>
      </x:c>
      <x:c r="Z284" s="21" t="str">
        <x:v>Wikipedia高层专题表；需补充独立来源核验</x:v>
      </x:c>
      <x:c r="AA284" s="21" t="str">
        <x:v>List of high-rise façade fires</x:v>
      </x:c>
      <x:c r="AB284" s="21" t="str">
        <x:v>Wikipedia专题列表</x:v>
      </x:c>
      <x:c r="AC284" s="21" t="str"/>
      <x:c r="AD284" s="21" t="n">
        <x:v>1</x:v>
      </x:c>
      <x:c r="AE284" s="21" t="str">
        <x:v>未检查</x:v>
      </x:c>
      <x:c r="AF284" s="21" t="str"/>
      <x:c r="AG284" s="24" t="n">
        <x:v>46260</x:v>
      </x:c>
      <x:c r="AH284" s="21" t="str"/>
      <x:c r="AI284" s="21" t="n">
        <x:v>1</x:v>
      </x:c>
      <x:c r="AJ284" s="21" t="str">
        <x:v>未评估（本事件表不建立热浪因果关系）</x:v>
      </x:c>
      <x:c r="AK284" s="21" t="str">
        <x:v>缺失/待核实</x:v>
      </x:c>
    </x:row>
    <x:row r="285" ht="42" customHeight="1">
      <x:c r="A285" s="33" t="n">
        <x:v>284</x:v>
      </x:c>
      <x:c r="B285" s="33" t="str">
        <x:v>RAW-0284</x:v>
      </x:c>
      <x:c r="C285" s="36" t="str">
        <x:v>欧洲</x:v>
      </x:c>
      <x:c r="D285" s="36" t="str">
        <x:v>United Kingdom</x:v>
      </x:c>
      <x:c r="E285" s="21" t="str">
        <x:v>Bolton</x:v>
      </x:c>
      <x:c r="F285" s="21" t="str">
        <x:v>The Cube Student Housing fire</x:v>
      </x:c>
      <x:c r="G285" s="39" t="n">
        <x:v>43785</x:v>
      </x:c>
      <x:c r="H285" s="21" t="str">
        <x:v>The Cube Student Housing高层建筑外立面火灾。死亡 0，受伤 2；表中记录的受影响楼层为 1。</x:v>
      </x:c>
      <x:c r="I285" s="21" t="str">
        <x:v>未检索到/待核实</x:v>
      </x:c>
      <x:c r="J285" s="21" t="str">
        <x:v>死亡 0，受伤 2；表中记录的受影响楼层为 1。</x:v>
      </x:c>
      <x:c r="K285" s="21" t="str">
        <x:v>https://www.ft.com/content/bb1e05b4-0896-11ea-b2d6-9bf4d1957a67</x:v>
      </x:c>
      <x:c r="L285" s="27"/>
      <x:c r="M285" s="27"/>
      <x:c r="N285" s="21" t="str">
        <x:v>未提供坐标</x:v>
      </x:c>
      <x:c r="O285" s="21" t="str">
        <x:v>高层建筑外立面火灾</x:v>
      </x:c>
      <x:c r="P285" s="21" t="str">
        <x:v>未检索到</x:v>
      </x:c>
      <x:c r="Q285" s="21" t="str">
        <x:v>未检索到</x:v>
      </x:c>
      <x:c r="R285" s="21" t="str">
        <x:v>1</x:v>
      </x:c>
      <x:c r="S285" s="21" t="str">
        <x:v>未检索到</x:v>
      </x:c>
      <x:c r="T285" s="42" t="n">
        <x:v>0</x:v>
      </x:c>
      <x:c r="U285" s="42"/>
      <x:c r="V285" s="42"/>
      <x:c r="W285" s="33" t="str">
        <x:v>C</x:v>
      </x:c>
      <x:c r="X285" s="33" t="str">
        <x:v>compendium_needs_independent_verification</x:v>
      </x:c>
      <x:c r="Y285" s="33" t="str">
        <x:v>候选待核实</x:v>
      </x:c>
      <x:c r="Z285" s="21" t="str">
        <x:v>Wikipedia高层专题表；需补充独立来源核验</x:v>
      </x:c>
      <x:c r="AA285" s="21" t="str">
        <x:v>List of high-rise façade fires</x:v>
      </x:c>
      <x:c r="AB285" s="21" t="str">
        <x:v>Wikipedia专题列表</x:v>
      </x:c>
      <x:c r="AC285" s="21" t="str"/>
      <x:c r="AD285" s="21" t="n">
        <x:v>1</x:v>
      </x:c>
      <x:c r="AE285" s="21" t="str">
        <x:v>未检查</x:v>
      </x:c>
      <x:c r="AF285" s="21" t="str"/>
      <x:c r="AG285" s="24" t="n">
        <x:v>46260</x:v>
      </x:c>
      <x:c r="AH285" s="21" t="str"/>
      <x:c r="AI285" s="21" t="n">
        <x:v>1</x:v>
      </x:c>
      <x:c r="AJ285" s="21" t="str">
        <x:v>未评估（本事件表不建立热浪因果关系）</x:v>
      </x:c>
      <x:c r="AK285" s="21" t="str">
        <x:v>缺失/待核实</x:v>
      </x:c>
    </x:row>
    <x:row r="286" ht="42" customHeight="1">
      <x:c r="A286" s="33" t="n">
        <x:v>285</x:v>
      </x:c>
      <x:c r="B286" s="33" t="str">
        <x:v>RAW-0285</x:v>
      </x:c>
      <x:c r="C286" s="36" t="str">
        <x:v>亚洲</x:v>
      </x:c>
      <x:c r="D286" s="36" t="str">
        <x:v>United Arab Emirates</x:v>
      </x:c>
      <x:c r="E286" s="21" t="str">
        <x:v>Sharjah</x:v>
      </x:c>
      <x:c r="F286" s="21" t="str">
        <x:v>Abbco Tower fire</x:v>
      </x:c>
      <x:c r="G286" s="39" t="n">
        <x:v>43956</x:v>
      </x:c>
      <x:c r="H286" s="21" t="str">
        <x:v>Abbco Tower高层建筑外立面火灾。死亡 0，受伤 12；表中记录的受影响楼层为 48。</x:v>
      </x:c>
      <x:c r="I286" s="21" t="str">
        <x:v>未检索到/待核实</x:v>
      </x:c>
      <x:c r="J286" s="21" t="str">
        <x:v>死亡 0，受伤 12；表中记录的受影响楼层为 48。</x:v>
      </x:c>
      <x:c r="K286" s="21" t="str">
        <x:v>https://www.bbc.com/news/world-middle-east-52553429</x:v>
      </x:c>
      <x:c r="L286" s="27"/>
      <x:c r="M286" s="27"/>
      <x:c r="N286" s="21" t="str">
        <x:v>未提供坐标</x:v>
      </x:c>
      <x:c r="O286" s="21" t="str">
        <x:v>高层建筑外立面火灾</x:v>
      </x:c>
      <x:c r="P286" s="21" t="str">
        <x:v>未检索到</x:v>
      </x:c>
      <x:c r="Q286" s="21" t="str">
        <x:v>未检索到</x:v>
      </x:c>
      <x:c r="R286" s="21" t="str">
        <x:v>48</x:v>
      </x:c>
      <x:c r="S286" s="21" t="str">
        <x:v>未检索到</x:v>
      </x:c>
      <x:c r="T286" s="42" t="n">
        <x:v>0</x:v>
      </x:c>
      <x:c r="U286" s="42"/>
      <x:c r="V286" s="42"/>
      <x:c r="W286" s="33" t="str">
        <x:v>C</x:v>
      </x:c>
      <x:c r="X286" s="33" t="str">
        <x:v>compendium_needs_independent_verification</x:v>
      </x:c>
      <x:c r="Y286" s="33" t="str">
        <x:v>候选待核实</x:v>
      </x:c>
      <x:c r="Z286" s="21" t="str">
        <x:v>Wikipedia高层专题表；需补充独立来源核验</x:v>
      </x:c>
      <x:c r="AA286" s="21" t="str">
        <x:v>List of high-rise façade fires</x:v>
      </x:c>
      <x:c r="AB286" s="21" t="str">
        <x:v>Wikipedia专题列表</x:v>
      </x:c>
      <x:c r="AC286" s="21" t="str"/>
      <x:c r="AD286" s="21" t="n">
        <x:v>1</x:v>
      </x:c>
      <x:c r="AE286" s="21" t="str">
        <x:v>未检查</x:v>
      </x:c>
      <x:c r="AF286" s="21" t="str"/>
      <x:c r="AG286" s="24" t="n">
        <x:v>46260</x:v>
      </x:c>
      <x:c r="AH286" s="21" t="str"/>
      <x:c r="AI286" s="21" t="n">
        <x:v>1</x:v>
      </x:c>
      <x:c r="AJ286" s="21" t="str">
        <x:v>未评估（本事件表不建立热浪因果关系）</x:v>
      </x:c>
      <x:c r="AK286" s="21" t="str">
        <x:v>缺失/待核实</x:v>
      </x:c>
    </x:row>
    <x:row r="287" ht="42" customHeight="1">
      <x:c r="A287" s="33" t="n">
        <x:v>286</x:v>
      </x:c>
      <x:c r="B287" s="33" t="str">
        <x:v>RAW-0286</x:v>
      </x:c>
      <x:c r="C287" s="36" t="str">
        <x:v>亚洲</x:v>
      </x:c>
      <x:c r="D287" s="36" t="str">
        <x:v>Turkey</x:v>
      </x:c>
      <x:c r="E287" s="21" t="str">
        <x:v>Ankara</x:v>
      </x:c>
      <x:c r="F287" s="21" t="str">
        <x:v>Business Centre fire</x:v>
      </x:c>
      <x:c r="G287" s="39" t="n">
        <x:v>44039</x:v>
      </x:c>
      <x:c r="H287" s="21" t="str">
        <x:v>Business Centre高层建筑外立面火灾。死亡 0，受伤 0；表中记录的受影响楼层为 1。</x:v>
      </x:c>
      <x:c r="I287" s="21" t="str">
        <x:v>未检索到/待核实</x:v>
      </x:c>
      <x:c r="J287" s="21" t="str">
        <x:v>死亡 0，受伤 0；表中记录的受影响楼层为 1。</x:v>
      </x:c>
      <x:c r="K287" s="21" t="str">
        <x:v>https://www.dailysabah.com/turkey/fire-breaks-out-in-business-center-in-turkish-capital-ankara/news</x:v>
      </x:c>
      <x:c r="L287" s="27"/>
      <x:c r="M287" s="27"/>
      <x:c r="N287" s="21" t="str">
        <x:v>未提供坐标</x:v>
      </x:c>
      <x:c r="O287" s="21" t="str">
        <x:v>高层建筑外立面火灾</x:v>
      </x:c>
      <x:c r="P287" s="21" t="str">
        <x:v>未检索到</x:v>
      </x:c>
      <x:c r="Q287" s="21" t="str">
        <x:v>未检索到</x:v>
      </x:c>
      <x:c r="R287" s="21" t="str">
        <x:v>1</x:v>
      </x:c>
      <x:c r="S287" s="21" t="str">
        <x:v>未检索到</x:v>
      </x:c>
      <x:c r="T287" s="42" t="n">
        <x:v>0</x:v>
      </x:c>
      <x:c r="U287" s="42"/>
      <x:c r="V287" s="42"/>
      <x:c r="W287" s="33" t="str">
        <x:v>C</x:v>
      </x:c>
      <x:c r="X287" s="33" t="str">
        <x:v>compendium_needs_independent_verification</x:v>
      </x:c>
      <x:c r="Y287" s="33" t="str">
        <x:v>候选待核实</x:v>
      </x:c>
      <x:c r="Z287" s="21" t="str">
        <x:v>Wikipedia高层专题表；需补充独立来源核验</x:v>
      </x:c>
      <x:c r="AA287" s="21" t="str">
        <x:v>List of high-rise façade fires</x:v>
      </x:c>
      <x:c r="AB287" s="21" t="str">
        <x:v>Wikipedia专题列表</x:v>
      </x:c>
      <x:c r="AC287" s="21" t="str"/>
      <x:c r="AD287" s="21" t="n">
        <x:v>1</x:v>
      </x:c>
      <x:c r="AE287" s="21" t="str">
        <x:v>未检查</x:v>
      </x:c>
      <x:c r="AF287" s="21" t="str"/>
      <x:c r="AG287" s="24" t="n">
        <x:v>46260</x:v>
      </x:c>
      <x:c r="AH287" s="21" t="str"/>
      <x:c r="AI287" s="21" t="n">
        <x:v>1</x:v>
      </x:c>
      <x:c r="AJ287" s="21" t="str">
        <x:v>未评估（本事件表不建立热浪因果关系）</x:v>
      </x:c>
      <x:c r="AK287" s="21" t="str">
        <x:v>缺失/待核实</x:v>
      </x:c>
    </x:row>
    <x:row r="288" ht="42" customHeight="1">
      <x:c r="A288" s="33" t="n">
        <x:v>287</x:v>
      </x:c>
      <x:c r="B288" s="33" t="str">
        <x:v>RAW-0287</x:v>
      </x:c>
      <x:c r="C288" s="36" t="str">
        <x:v>欧洲</x:v>
      </x:c>
      <x:c r="D288" s="36" t="str">
        <x:v>Spain</x:v>
      </x:c>
      <x:c r="E288" s="21" t="str">
        <x:v>Madrid</x:v>
      </x:c>
      <x:c r="F288" s="21" t="str">
        <x:v>Madrid Tower Block fire</x:v>
      </x:c>
      <x:c r="G288" s="39" t="n">
        <x:v>44072</x:v>
      </x:c>
      <x:c r="H288" s="21" t="str">
        <x:v>Madrid Tower Block高层建筑外立面火灾。死亡 0，受伤 0；表中记录的受影响楼层为 3。</x:v>
      </x:c>
      <x:c r="I288" s="21" t="str">
        <x:v>未检索到/待核实</x:v>
      </x:c>
      <x:c r="J288" s="21" t="str">
        <x:v>死亡 0，受伤 0；表中记录的受影响楼层为 3。</x:v>
      </x:c>
      <x:c r="K288" s="21" t="str">
        <x:v>https://www.euroweeklynews.com/2020/08/30/high-rise-on-fire-in-madrid/</x:v>
      </x:c>
      <x:c r="L288" s="27"/>
      <x:c r="M288" s="27"/>
      <x:c r="N288" s="21" t="str">
        <x:v>未提供坐标</x:v>
      </x:c>
      <x:c r="O288" s="21" t="str">
        <x:v>高层建筑外立面火灾</x:v>
      </x:c>
      <x:c r="P288" s="21" t="str">
        <x:v>未检索到</x:v>
      </x:c>
      <x:c r="Q288" s="21" t="str">
        <x:v>未检索到</x:v>
      </x:c>
      <x:c r="R288" s="21" t="str">
        <x:v>3</x:v>
      </x:c>
      <x:c r="S288" s="21" t="str">
        <x:v>未检索到</x:v>
      </x:c>
      <x:c r="T288" s="42" t="n">
        <x:v>0</x:v>
      </x:c>
      <x:c r="U288" s="42"/>
      <x:c r="V288" s="42"/>
      <x:c r="W288" s="33" t="str">
        <x:v>C</x:v>
      </x:c>
      <x:c r="X288" s="33" t="str">
        <x:v>compendium_needs_independent_verification</x:v>
      </x:c>
      <x:c r="Y288" s="33" t="str">
        <x:v>候选待核实</x:v>
      </x:c>
      <x:c r="Z288" s="21" t="str">
        <x:v>Wikipedia高层专题表；需补充独立来源核验</x:v>
      </x:c>
      <x:c r="AA288" s="21" t="str">
        <x:v>List of high-rise façade fires</x:v>
      </x:c>
      <x:c r="AB288" s="21" t="str">
        <x:v>Wikipedia专题列表</x:v>
      </x:c>
      <x:c r="AC288" s="21" t="str"/>
      <x:c r="AD288" s="21" t="n">
        <x:v>1</x:v>
      </x:c>
      <x:c r="AE288" s="21" t="str">
        <x:v>未检查</x:v>
      </x:c>
      <x:c r="AF288" s="21" t="str"/>
      <x:c r="AG288" s="24" t="n">
        <x:v>46260</x:v>
      </x:c>
      <x:c r="AH288" s="21" t="str"/>
      <x:c r="AI288" s="21" t="n">
        <x:v>1</x:v>
      </x:c>
      <x:c r="AJ288" s="21" t="str">
        <x:v>未评估（本事件表不建立热浪因果关系）</x:v>
      </x:c>
      <x:c r="AK288" s="21" t="str">
        <x:v>缺失/待核实</x:v>
      </x:c>
    </x:row>
    <x:row r="289" ht="42" customHeight="1">
      <x:c r="A289" s="33" t="n">
        <x:v>288</x:v>
      </x:c>
      <x:c r="B289" s="33" t="str">
        <x:v>RAW-0288</x:v>
      </x:c>
      <x:c r="C289" s="36" t="str">
        <x:v>亚洲</x:v>
      </x:c>
      <x:c r="D289" s="36" t="str">
        <x:v>South Korea</x:v>
      </x:c>
      <x:c r="E289" s="21" t="str">
        <x:v>Ulsan</x:v>
      </x:c>
      <x:c r="F289" s="21" t="str">
        <x:v>Apartment Block fire</x:v>
      </x:c>
      <x:c r="G289" s="39" t="n">
        <x:v>44112</x:v>
      </x:c>
      <x:c r="H289" s="21" t="str">
        <x:v>Apartment Block高层建筑外立面火灾。死亡 0，受伤 91；表中记录的受影响楼层为 33。</x:v>
      </x:c>
      <x:c r="I289" s="21" t="str">
        <x:v>未检索到/待核实</x:v>
      </x:c>
      <x:c r="J289" s="21" t="str">
        <x:v>死亡 0，受伤 91；表中记录的受影响楼层为 33。</x:v>
      </x:c>
      <x:c r="K289" s="21" t="str">
        <x:v>https://www.bbc.com/news/world-asia-54470378</x:v>
      </x:c>
      <x:c r="L289" s="27"/>
      <x:c r="M289" s="27"/>
      <x:c r="N289" s="21" t="str">
        <x:v>未提供坐标</x:v>
      </x:c>
      <x:c r="O289" s="21" t="str">
        <x:v>高层建筑外立面火灾</x:v>
      </x:c>
      <x:c r="P289" s="21" t="str">
        <x:v>未检索到</x:v>
      </x:c>
      <x:c r="Q289" s="21" t="str">
        <x:v>未检索到</x:v>
      </x:c>
      <x:c r="R289" s="21" t="str">
        <x:v>33</x:v>
      </x:c>
      <x:c r="S289" s="21" t="str">
        <x:v>未检索到</x:v>
      </x:c>
      <x:c r="T289" s="42" t="n">
        <x:v>0</x:v>
      </x:c>
      <x:c r="U289" s="42"/>
      <x:c r="V289" s="42"/>
      <x:c r="W289" s="33" t="str">
        <x:v>C</x:v>
      </x:c>
      <x:c r="X289" s="33" t="str">
        <x:v>compendium_needs_independent_verification</x:v>
      </x:c>
      <x:c r="Y289" s="33" t="str">
        <x:v>候选待核实</x:v>
      </x:c>
      <x:c r="Z289" s="21" t="str">
        <x:v>Wikipedia高层专题表；需补充独立来源核验</x:v>
      </x:c>
      <x:c r="AA289" s="21" t="str">
        <x:v>List of high-rise façade fires</x:v>
      </x:c>
      <x:c r="AB289" s="21" t="str">
        <x:v>Wikipedia专题列表</x:v>
      </x:c>
      <x:c r="AC289" s="21" t="str"/>
      <x:c r="AD289" s="21" t="n">
        <x:v>1</x:v>
      </x:c>
      <x:c r="AE289" s="21" t="str">
        <x:v>未检查</x:v>
      </x:c>
      <x:c r="AF289" s="21" t="str"/>
      <x:c r="AG289" s="24" t="n">
        <x:v>46260</x:v>
      </x:c>
      <x:c r="AH289" s="21" t="str"/>
      <x:c r="AI289" s="21" t="n">
        <x:v>1</x:v>
      </x:c>
      <x:c r="AJ289" s="21" t="str">
        <x:v>未评估（本事件表不建立热浪因果关系）</x:v>
      </x:c>
      <x:c r="AK289" s="21" t="str">
        <x:v>缺失/待核实</x:v>
      </x:c>
    </x:row>
    <x:row r="290" ht="42" customHeight="1">
      <x:c r="A290" s="33" t="n">
        <x:v>289</x:v>
      </x:c>
      <x:c r="B290" s="33" t="str">
        <x:v>RAW-0289</x:v>
      </x:c>
      <x:c r="C290" s="36" t="str">
        <x:v>亚洲</x:v>
      </x:c>
      <x:c r="D290" s="36" t="str">
        <x:v>China</x:v>
      </x:c>
      <x:c r="E290" s="21" t="str">
        <x:v>Shijiazhuang</x:v>
      </x:c>
      <x:c r="F290" s="21" t="str">
        <x:v>Apartment Building[citation needed] fire</x:v>
      </x:c>
      <x:c r="G290" s="39" t="n">
        <x:v>44264</x:v>
      </x:c>
      <x:c r="H290" s="21" t="str">
        <x:v>Apartment Building[citation needed]高层建筑外立面火灾。死亡 0，受伤 0；表中记录的受影响楼层为 26。</x:v>
      </x:c>
      <x:c r="I290" s="21" t="str">
        <x:v>未检索到/待核实</x:v>
      </x:c>
      <x:c r="J290" s="21" t="str">
        <x:v>死亡 0，受伤 0；表中记录的受影响楼层为 26。</x:v>
      </x:c>
      <x:c r="K290" s="21" t="str">
        <x:v>https://en.wikipedia.org/wiki/List_of_high-rise_fa%C3%A7ade_fires</x:v>
      </x:c>
      <x:c r="L290" s="27"/>
      <x:c r="M290" s="27"/>
      <x:c r="N290" s="21" t="str">
        <x:v>未提供坐标</x:v>
      </x:c>
      <x:c r="O290" s="21" t="str">
        <x:v>高层建筑外立面火灾</x:v>
      </x:c>
      <x:c r="P290" s="21" t="str">
        <x:v>未检索到</x:v>
      </x:c>
      <x:c r="Q290" s="21" t="str">
        <x:v>未检索到</x:v>
      </x:c>
      <x:c r="R290" s="21" t="str">
        <x:v>26</x:v>
      </x:c>
      <x:c r="S290" s="21" t="str">
        <x:v>未检索到</x:v>
      </x:c>
      <x:c r="T290" s="42" t="n">
        <x:v>0</x:v>
      </x:c>
      <x:c r="U290" s="42"/>
      <x:c r="V290" s="42"/>
      <x:c r="W290" s="33" t="str">
        <x:v>C</x:v>
      </x:c>
      <x:c r="X290" s="33" t="str">
        <x:v>compendium_needs_independent_verification</x:v>
      </x:c>
      <x:c r="Y290" s="33" t="str">
        <x:v>候选待核实</x:v>
      </x:c>
      <x:c r="Z290" s="21" t="str">
        <x:v>Wikipedia高层专题表；需补充独立来源核验</x:v>
      </x:c>
      <x:c r="AA290" s="21" t="str">
        <x:v>List of high-rise façade fires</x:v>
      </x:c>
      <x:c r="AB290" s="21" t="str">
        <x:v>Wikipedia专题列表</x:v>
      </x:c>
      <x:c r="AC290" s="21" t="str"/>
      <x:c r="AD290" s="21" t="n">
        <x:v>1</x:v>
      </x:c>
      <x:c r="AE290" s="21" t="str">
        <x:v>未检查</x:v>
      </x:c>
      <x:c r="AF290" s="21" t="str"/>
      <x:c r="AG290" s="24" t="n">
        <x:v>46260</x:v>
      </x:c>
      <x:c r="AH290" s="21" t="str"/>
      <x:c r="AI290" s="21" t="n">
        <x:v>1</x:v>
      </x:c>
      <x:c r="AJ290" s="21" t="str">
        <x:v>未评估（本事件表不建立热浪因果关系）</x:v>
      </x:c>
      <x:c r="AK290" s="21" t="str">
        <x:v>缺失/待核实</x:v>
      </x:c>
    </x:row>
    <x:row r="291" ht="42" customHeight="1">
      <x:c r="A291" s="33" t="n">
        <x:v>290</x:v>
      </x:c>
      <x:c r="B291" s="33" t="str">
        <x:v>RAW-0290</x:v>
      </x:c>
      <x:c r="C291" s="36" t="str">
        <x:v>欧洲</x:v>
      </x:c>
      <x:c r="D291" s="36" t="str">
        <x:v>Italy</x:v>
      </x:c>
      <x:c r="E291" s="21" t="str">
        <x:v>Milan</x:v>
      </x:c>
      <x:c r="F291" s="21" t="str">
        <x:v>Torre dei Moro fire</x:v>
      </x:c>
      <x:c r="G291" s="39" t="n">
        <x:v>44437</x:v>
      </x:c>
      <x:c r="H291" s="21" t="str">
        <x:v>Torre dei Moro fire高层建筑外立面火灾。死亡 0，受伤 0；表中记录的受影响楼层为 20。</x:v>
      </x:c>
      <x:c r="I291" s="21" t="str">
        <x:v>未检索到/待核实</x:v>
      </x:c>
      <x:c r="J291" s="21" t="str">
        <x:v>死亡 0，受伤 0；表中记录的受影响楼层为 20。</x:v>
      </x:c>
      <x:c r="K291" s="21" t="str">
        <x:v>https://en.wikipedia.org/wiki/Torre_dei_Moro_fire?action=edit&amp;redlink=1</x:v>
      </x:c>
      <x:c r="L291" s="27"/>
      <x:c r="M291" s="27"/>
      <x:c r="N291" s="21" t="str">
        <x:v>未提供坐标</x:v>
      </x:c>
      <x:c r="O291" s="21" t="str">
        <x:v>高层建筑外立面火灾</x:v>
      </x:c>
      <x:c r="P291" s="21" t="str">
        <x:v>未检索到</x:v>
      </x:c>
      <x:c r="Q291" s="21" t="str">
        <x:v>未检索到</x:v>
      </x:c>
      <x:c r="R291" s="21" t="str">
        <x:v>20</x:v>
      </x:c>
      <x:c r="S291" s="21" t="str">
        <x:v>未检索到</x:v>
      </x:c>
      <x:c r="T291" s="42" t="n">
        <x:v>0</x:v>
      </x:c>
      <x:c r="U291" s="42"/>
      <x:c r="V291" s="42"/>
      <x:c r="W291" s="33" t="str">
        <x:v>B</x:v>
      </x:c>
      <x:c r="X291" s="33" t="str">
        <x:v>compendium_needs_independent_verification</x:v>
      </x:c>
      <x:c r="Y291" s="33" t="str">
        <x:v>候选待核实</x:v>
      </x:c>
      <x:c r="Z291" s="21" t="str">
        <x:v>Wikipedia具名事件页+高层专题表</x:v>
      </x:c>
      <x:c r="AA291" s="21" t="str">
        <x:v>List of high-rise façade fires</x:v>
      </x:c>
      <x:c r="AB291" s="21" t="str">
        <x:v>Wikipedia专题列表</x:v>
      </x:c>
      <x:c r="AC291" s="21" t="str"/>
      <x:c r="AD291" s="21" t="n">
        <x:v>1</x:v>
      </x:c>
      <x:c r="AE291" s="21" t="str">
        <x:v>未检查</x:v>
      </x:c>
      <x:c r="AF291" s="21" t="str"/>
      <x:c r="AG291" s="24" t="n">
        <x:v>46260</x:v>
      </x:c>
      <x:c r="AH291" s="21" t="str"/>
      <x:c r="AI291" s="21" t="n">
        <x:v>1</x:v>
      </x:c>
      <x:c r="AJ291" s="21" t="str">
        <x:v>未评估（本事件表不建立热浪因果关系）</x:v>
      </x:c>
      <x:c r="AK291" s="21" t="str">
        <x:v>缺失/待核实</x:v>
      </x:c>
    </x:row>
    <x:row r="292" ht="42" customHeight="1">
      <x:c r="A292" s="33" t="n">
        <x:v>291</x:v>
      </x:c>
      <x:c r="B292" s="33" t="str">
        <x:v>RAW-0291</x:v>
      </x:c>
      <x:c r="C292" s="36" t="str">
        <x:v>亚洲</x:v>
      </x:c>
      <x:c r="D292" s="36" t="str">
        <x:v>China</x:v>
      </x:c>
      <x:c r="E292" s="21" t="str">
        <x:v>Hong Kong</x:v>
      </x:c>
      <x:c r="F292" s="21" t="str">
        <x:v>The Kimpton Hotel, formerly the Mariner's Club (Tsim Sha Tsui) fire</x:v>
      </x:c>
      <x:c r="G292" s="39" t="n">
        <x:v>45190</x:v>
      </x:c>
      <x:c r="H292" s="21" t="str">
        <x:v>The Kimpton Hotel, formerly the Mariner's Club (Tsim Sha Tsui)高层建筑外立面火灾。死亡 0，受伤 0；表中记录的受影响楼层为 48。</x:v>
      </x:c>
      <x:c r="I292" s="21" t="str">
        <x:v>未检索到/待核实</x:v>
      </x:c>
      <x:c r="J292" s="21" t="str">
        <x:v>死亡 0，受伤 0；表中记录的受影响楼层为 48。</x:v>
      </x:c>
      <x:c r="K292" s="21" t="str">
        <x:v>https://www.weekendhk.com/weekspecial/%e5%b0%96%e6%b2%99%e5%92%80%e5%a4%a7%e7%81%ab-%e6%b5%b7%e5%93%a1%e4%b9%8b%e5%ae%b6-%e7%81%ab%e8%ad%a6-ctb084-by-1477491/?utm_campaign=WW_Sharing&amp;utm_medium=Message_WW&amp;utm_source=Copy_link</x:v>
      </x:c>
      <x:c r="L292" s="27"/>
      <x:c r="M292" s="27"/>
      <x:c r="N292" s="21" t="str">
        <x:v>未提供坐标</x:v>
      </x:c>
      <x:c r="O292" s="21" t="str">
        <x:v>高层建筑外立面火灾</x:v>
      </x:c>
      <x:c r="P292" s="21" t="str">
        <x:v>未检索到</x:v>
      </x:c>
      <x:c r="Q292" s="21" t="str">
        <x:v>未检索到</x:v>
      </x:c>
      <x:c r="R292" s="21" t="str">
        <x:v>48</x:v>
      </x:c>
      <x:c r="S292" s="21" t="str">
        <x:v>未检索到</x:v>
      </x:c>
      <x:c r="T292" s="42" t="n">
        <x:v>0</x:v>
      </x:c>
      <x:c r="U292" s="42"/>
      <x:c r="V292" s="42"/>
      <x:c r="W292" s="33" t="str">
        <x:v>C</x:v>
      </x:c>
      <x:c r="X292" s="33" t="str">
        <x:v>compendium_needs_independent_verification</x:v>
      </x:c>
      <x:c r="Y292" s="33" t="str">
        <x:v>候选待核实</x:v>
      </x:c>
      <x:c r="Z292" s="21" t="str">
        <x:v>Wikipedia高层专题表；需补充独立来源核验</x:v>
      </x:c>
      <x:c r="AA292" s="21" t="str">
        <x:v>List of high-rise façade fires</x:v>
      </x:c>
      <x:c r="AB292" s="21" t="str">
        <x:v>Wikipedia专题列表</x:v>
      </x:c>
      <x:c r="AC292" s="21" t="str"/>
      <x:c r="AD292" s="21" t="n">
        <x:v>1</x:v>
      </x:c>
      <x:c r="AE292" s="21" t="str">
        <x:v>未检查</x:v>
      </x:c>
      <x:c r="AF292" s="21" t="str"/>
      <x:c r="AG292" s="24" t="n">
        <x:v>46260</x:v>
      </x:c>
      <x:c r="AH292" s="21" t="str"/>
      <x:c r="AI292" s="21" t="n">
        <x:v>1</x:v>
      </x:c>
      <x:c r="AJ292" s="21" t="str">
        <x:v>未评估（本事件表不建立热浪因果关系）</x:v>
      </x:c>
      <x:c r="AK292" s="21" t="str">
        <x:v>缺失/待核实</x:v>
      </x:c>
    </x:row>
    <x:row r="293" ht="42" customHeight="1">
      <x:c r="A293" s="33" t="n">
        <x:v>292</x:v>
      </x:c>
      <x:c r="B293" s="33" t="str">
        <x:v>RAW-0292</x:v>
      </x:c>
      <x:c r="C293" s="36" t="str">
        <x:v>亚洲</x:v>
      </x:c>
      <x:c r="D293" s="36" t="str">
        <x:v>China</x:v>
      </x:c>
      <x:c r="E293" s="21" t="str">
        <x:v>Changsha, Hunan</x:v>
      </x:c>
      <x:c r="F293" s="21" t="str">
        <x:v>Lotus Garden China Telecom Building fire</x:v>
      </x:c>
      <x:c r="G293" s="39" t="n">
        <x:v>44820</x:v>
      </x:c>
      <x:c r="H293" s="21" t="str">
        <x:v>Lotus Garden China Telecom Building高层建筑外立面火灾。死亡 0，受伤 0；表中记录的受影响楼层为 42。</x:v>
      </x:c>
      <x:c r="I293" s="21" t="str">
        <x:v>未检索到/待核实</x:v>
      </x:c>
      <x:c r="J293" s="21" t="str">
        <x:v>死亡 0，受伤 0；表中记录的受影响楼层为 42。</x:v>
      </x:c>
      <x:c r="K293" s="21" t="str">
        <x:v>https://en.wikipedia.org/wiki/List_of_high-rise_fa%C3%A7ade_fires</x:v>
      </x:c>
      <x:c r="L293" s="27"/>
      <x:c r="M293" s="27"/>
      <x:c r="N293" s="21" t="str">
        <x:v>未提供坐标</x:v>
      </x:c>
      <x:c r="O293" s="21" t="str">
        <x:v>高层建筑外立面火灾</x:v>
      </x:c>
      <x:c r="P293" s="21" t="str">
        <x:v>未检索到</x:v>
      </x:c>
      <x:c r="Q293" s="21" t="str">
        <x:v>未检索到</x:v>
      </x:c>
      <x:c r="R293" s="21" t="str">
        <x:v>42</x:v>
      </x:c>
      <x:c r="S293" s="21" t="str">
        <x:v>未检索到</x:v>
      </x:c>
      <x:c r="T293" s="42" t="n">
        <x:v>0</x:v>
      </x:c>
      <x:c r="U293" s="42"/>
      <x:c r="V293" s="42"/>
      <x:c r="W293" s="33" t="str">
        <x:v>C</x:v>
      </x:c>
      <x:c r="X293" s="33" t="str">
        <x:v>compendium_needs_independent_verification</x:v>
      </x:c>
      <x:c r="Y293" s="33" t="str">
        <x:v>候选待核实</x:v>
      </x:c>
      <x:c r="Z293" s="21" t="str">
        <x:v>Wikipedia高层专题表；需补充独立来源核验</x:v>
      </x:c>
      <x:c r="AA293" s="21" t="str">
        <x:v>List of high-rise façade fires</x:v>
      </x:c>
      <x:c r="AB293" s="21" t="str">
        <x:v>Wikipedia专题列表</x:v>
      </x:c>
      <x:c r="AC293" s="21" t="str"/>
      <x:c r="AD293" s="21" t="n">
        <x:v>1</x:v>
      </x:c>
      <x:c r="AE293" s="21" t="str">
        <x:v>未检查</x:v>
      </x:c>
      <x:c r="AF293" s="21" t="str"/>
      <x:c r="AG293" s="24" t="n">
        <x:v>46260</x:v>
      </x:c>
      <x:c r="AH293" s="21" t="str"/>
      <x:c r="AI293" s="21" t="n">
        <x:v>1</x:v>
      </x:c>
      <x:c r="AJ293" s="21" t="str">
        <x:v>未评估（本事件表不建立热浪因果关系）</x:v>
      </x:c>
      <x:c r="AK293" s="21" t="str">
        <x:v>缺失/待核实</x:v>
      </x:c>
    </x:row>
    <x:row r="294" ht="42" customHeight="1">
      <x:c r="A294" s="33" t="n">
        <x:v>293</x:v>
      </x:c>
      <x:c r="B294" s="33" t="str">
        <x:v>RAW-0293</x:v>
      </x:c>
      <x:c r="C294" s="36" t="str">
        <x:v>亚洲</x:v>
      </x:c>
      <x:c r="D294" s="36" t="str">
        <x:v>United Arab Emirates</x:v>
      </x:c>
      <x:c r="E294" s="21" t="str">
        <x:v>Dubai</x:v>
      </x:c>
      <x:c r="F294" s="21" t="str">
        <x:v>Apartment Building fire</x:v>
      </x:c>
      <x:c r="G294" s="39" t="n">
        <x:v>44872</x:v>
      </x:c>
      <x:c r="H294" s="21" t="str">
        <x:v>Apartment Building高层建筑外立面火灾。死亡 0，受伤 0；表中记录的受影响楼层为 35。</x:v>
      </x:c>
      <x:c r="I294" s="21" t="str">
        <x:v>未检索到/待核实</x:v>
      </x:c>
      <x:c r="J294" s="21" t="str">
        <x:v>死亡 0，受伤 0；表中记录的受影响楼层为 35。</x:v>
      </x:c>
      <x:c r="K294" s="21" t="str">
        <x:v>https://www.arabianbusiness.com/culture-society/emaar-tower-fire-no-injuries-or-casualties-occurred-residents-hope-to-return-to-homes-soon</x:v>
      </x:c>
      <x:c r="L294" s="27"/>
      <x:c r="M294" s="27"/>
      <x:c r="N294" s="21" t="str">
        <x:v>未提供坐标</x:v>
      </x:c>
      <x:c r="O294" s="21" t="str">
        <x:v>高层建筑外立面火灾</x:v>
      </x:c>
      <x:c r="P294" s="21" t="str">
        <x:v>未检索到</x:v>
      </x:c>
      <x:c r="Q294" s="21" t="str">
        <x:v>未检索到</x:v>
      </x:c>
      <x:c r="R294" s="21" t="str">
        <x:v>35</x:v>
      </x:c>
      <x:c r="S294" s="21" t="str">
        <x:v>未检索到</x:v>
      </x:c>
      <x:c r="T294" s="42" t="n">
        <x:v>0</x:v>
      </x:c>
      <x:c r="U294" s="42"/>
      <x:c r="V294" s="42"/>
      <x:c r="W294" s="33" t="str">
        <x:v>C</x:v>
      </x:c>
      <x:c r="X294" s="33" t="str">
        <x:v>compendium_needs_independent_verification</x:v>
      </x:c>
      <x:c r="Y294" s="33" t="str">
        <x:v>候选待核实</x:v>
      </x:c>
      <x:c r="Z294" s="21" t="str">
        <x:v>Wikipedia高层专题表；需补充独立来源核验</x:v>
      </x:c>
      <x:c r="AA294" s="21" t="str">
        <x:v>List of high-rise façade fires</x:v>
      </x:c>
      <x:c r="AB294" s="21" t="str">
        <x:v>Wikipedia专题列表</x:v>
      </x:c>
      <x:c r="AC294" s="21" t="str"/>
      <x:c r="AD294" s="21" t="n">
        <x:v>1</x:v>
      </x:c>
      <x:c r="AE294" s="21" t="str">
        <x:v>未检查</x:v>
      </x:c>
      <x:c r="AF294" s="21" t="str"/>
      <x:c r="AG294" s="24" t="n">
        <x:v>46260</x:v>
      </x:c>
      <x:c r="AH294" s="21" t="str"/>
      <x:c r="AI294" s="21" t="n">
        <x:v>1</x:v>
      </x:c>
      <x:c r="AJ294" s="21" t="str">
        <x:v>未评估（本事件表不建立热浪因果关系）</x:v>
      </x:c>
      <x:c r="AK294" s="21" t="str">
        <x:v>缺失/待核实</x:v>
      </x:c>
    </x:row>
    <x:row r="295" ht="42" customHeight="1">
      <x:c r="A295" s="33" t="n">
        <x:v>294</x:v>
      </x:c>
      <x:c r="B295" s="33" t="str">
        <x:v>RAW-0294</x:v>
      </x:c>
      <x:c r="C295" s="36" t="str">
        <x:v>亚洲</x:v>
      </x:c>
      <x:c r="D295" s="36" t="str">
        <x:v>China</x:v>
      </x:c>
      <x:c r="E295" s="21" t="str">
        <x:v>Hong Kong</x:v>
      </x:c>
      <x:c r="F295" s="21" t="str">
        <x:v>The 2nd green mesh fire at the Kimpton Hotel, formerly the Mariner's Club (Tsim Sha Tsui) fire</x:v>
      </x:c>
      <x:c r="G295" s="39" t="n">
        <x:v>44987</x:v>
      </x:c>
      <x:c r="H295" s="21" t="str">
        <x:v>The 2nd green mesh fire at the Kimpton Hotel, formerly the Mariner's Club (Tsim Sha Tsui)高层建筑外立面火灾。死亡 0，受伤 2；表中记录的受影响楼层为 48。</x:v>
      </x:c>
      <x:c r="I295" s="21" t="str">
        <x:v>未检索到/待核实</x:v>
      </x:c>
      <x:c r="J295" s="21" t="str">
        <x:v>死亡 0，受伤 2；表中记录的受影响楼层为 48。</x:v>
      </x:c>
      <x:c r="K295" s="21" t="str">
        <x:v>https://www.scmp.com/news/hong-kong/society/article/3212594/fire-pump-not-working-order-when-massive-blaze-engulfed-hong-kong-skyscraper-authorities-reveal</x:v>
      </x:c>
      <x:c r="L295" s="27"/>
      <x:c r="M295" s="27"/>
      <x:c r="N295" s="21" t="str">
        <x:v>未提供坐标</x:v>
      </x:c>
      <x:c r="O295" s="21" t="str">
        <x:v>高层建筑外立面火灾</x:v>
      </x:c>
      <x:c r="P295" s="21" t="str">
        <x:v>未检索到</x:v>
      </x:c>
      <x:c r="Q295" s="21" t="str">
        <x:v>未检索到</x:v>
      </x:c>
      <x:c r="R295" s="21" t="str">
        <x:v>48</x:v>
      </x:c>
      <x:c r="S295" s="21" t="str">
        <x:v>未检索到</x:v>
      </x:c>
      <x:c r="T295" s="42" t="n">
        <x:v>0</x:v>
      </x:c>
      <x:c r="U295" s="42"/>
      <x:c r="V295" s="42"/>
      <x:c r="W295" s="33" t="str">
        <x:v>C</x:v>
      </x:c>
      <x:c r="X295" s="33" t="str">
        <x:v>compendium_needs_independent_verification</x:v>
      </x:c>
      <x:c r="Y295" s="33" t="str">
        <x:v>候选待核实</x:v>
      </x:c>
      <x:c r="Z295" s="21" t="str">
        <x:v>Wikipedia高层专题表；需补充独立来源核验</x:v>
      </x:c>
      <x:c r="AA295" s="21" t="str">
        <x:v>List of high-rise façade fires</x:v>
      </x:c>
      <x:c r="AB295" s="21" t="str">
        <x:v>Wikipedia专题列表</x:v>
      </x:c>
      <x:c r="AC295" s="21" t="str"/>
      <x:c r="AD295" s="21" t="n">
        <x:v>1</x:v>
      </x:c>
      <x:c r="AE295" s="21" t="str">
        <x:v>未检查</x:v>
      </x:c>
      <x:c r="AF295" s="21" t="str"/>
      <x:c r="AG295" s="24" t="n">
        <x:v>46260</x:v>
      </x:c>
      <x:c r="AH295" s="21" t="str"/>
      <x:c r="AI295" s="21" t="n">
        <x:v>1</x:v>
      </x:c>
      <x:c r="AJ295" s="21" t="str">
        <x:v>未评估（本事件表不建立热浪因果关系）</x:v>
      </x:c>
      <x:c r="AK295" s="21" t="str">
        <x:v>缺失/待核实</x:v>
      </x:c>
    </x:row>
    <x:row r="296" ht="42" customHeight="1">
      <x:c r="A296" s="33" t="n">
        <x:v>295</x:v>
      </x:c>
      <x:c r="B296" s="33" t="str">
        <x:v>RAW-0295</x:v>
      </x:c>
      <x:c r="C296" s="36" t="str">
        <x:v>欧洲</x:v>
      </x:c>
      <x:c r="D296" s="36" t="str">
        <x:v>Spain</x:v>
      </x:c>
      <x:c r="E296" s="21" t="str">
        <x:v>València</x:v>
      </x:c>
      <x:c r="F296" s="21" t="str">
        <x:v>2024 València residential complex fire</x:v>
      </x:c>
      <x:c r="G296" s="39" t="n">
        <x:v>45344</x:v>
      </x:c>
      <x:c r="H296" s="21" t="str">
        <x:v>2024 València residential complex fire高层建筑外立面火灾。死亡 10，受伤 15；表中记录的受影响楼层为 14。</x:v>
      </x:c>
      <x:c r="I296" s="21" t="str">
        <x:v>未检索到/待核实</x:v>
      </x:c>
      <x:c r="J296" s="21" t="str">
        <x:v>死亡 10，受伤 15；表中记录的受影响楼层为 14。</x:v>
      </x:c>
      <x:c r="K296" s="21" t="str">
        <x:v>https://en.wikipedia.org/wiki/2024_València_residential_complex_fire</x:v>
      </x:c>
      <x:c r="L296" s="27"/>
      <x:c r="M296" s="27"/>
      <x:c r="N296" s="21" t="str">
        <x:v>未提供坐标</x:v>
      </x:c>
      <x:c r="O296" s="21" t="str">
        <x:v>高层建筑外立面火灾</x:v>
      </x:c>
      <x:c r="P296" s="21" t="str">
        <x:v>未检索到</x:v>
      </x:c>
      <x:c r="Q296" s="21" t="str">
        <x:v>未检索到</x:v>
      </x:c>
      <x:c r="R296" s="21" t="str">
        <x:v>14</x:v>
      </x:c>
      <x:c r="S296" s="21" t="str">
        <x:v>未检索到</x:v>
      </x:c>
      <x:c r="T296" s="42" t="n">
        <x:v>10</x:v>
      </x:c>
      <x:c r="U296" s="42"/>
      <x:c r="V296" s="42"/>
      <x:c r="W296" s="33" t="str">
        <x:v>B</x:v>
      </x:c>
      <x:c r="X296" s="33" t="str">
        <x:v>compendium_needs_independent_verification</x:v>
      </x:c>
      <x:c r="Y296" s="33" t="str">
        <x:v>候选待核实</x:v>
      </x:c>
      <x:c r="Z296" s="21" t="str">
        <x:v>Wikipedia具名事件页+高层专题表</x:v>
      </x:c>
      <x:c r="AA296" s="21" t="str">
        <x:v>List of high-rise façade fires</x:v>
      </x:c>
      <x:c r="AB296" s="21" t="str">
        <x:v>Wikipedia专题列表</x:v>
      </x:c>
      <x:c r="AC296" s="21" t="str"/>
      <x:c r="AD296" s="21" t="n">
        <x:v>1</x:v>
      </x:c>
      <x:c r="AE296" s="21" t="str">
        <x:v>未检查</x:v>
      </x:c>
      <x:c r="AF296" s="21" t="str"/>
      <x:c r="AG296" s="24" t="n">
        <x:v>46260</x:v>
      </x:c>
      <x:c r="AH296" s="21" t="str"/>
      <x:c r="AI296" s="21" t="n">
        <x:v>1</x:v>
      </x:c>
      <x:c r="AJ296" s="21" t="str">
        <x:v>未评估（本事件表不建立热浪因果关系）</x:v>
      </x:c>
      <x:c r="AK296" s="21" t="str">
        <x:v>缺失/待核实</x:v>
      </x:c>
    </x:row>
    <x:row r="297" ht="42" customHeight="1">
      <x:c r="A297" s="33" t="n">
        <x:v>296</x:v>
      </x:c>
      <x:c r="B297" s="33" t="str">
        <x:v>RAW-0296</x:v>
      </x:c>
      <x:c r="C297" s="36" t="str">
        <x:v>欧洲</x:v>
      </x:c>
      <x:c r="D297" s="36" t="str">
        <x:v>France</x:v>
      </x:c>
      <x:c r="E297" s="21" t="str">
        <x:v>Paris</x:v>
      </x:c>
      <x:c r="F297" s="21" t="str">
        <x:v>146 rue de Charonne fire</x:v>
      </x:c>
      <x:c r="G297" s="39" t="n">
        <x:v>45389</x:v>
      </x:c>
      <x:c r="H297" s="21" t="str">
        <x:v>146 rue de Charonne fire高层建筑外立面火灾。死亡 3，受伤 0；表中记录的受影响楼层为 7th of 12。</x:v>
      </x:c>
      <x:c r="I297" s="21" t="str">
        <x:v>未检索到/待核实</x:v>
      </x:c>
      <x:c r="J297" s="21" t="str">
        <x:v>死亡 3，受伤 0；表中记录的受影响楼层为 7th of 12。</x:v>
      </x:c>
      <x:c r="K297" s="21" t="str">
        <x:v>https://en.wikipedia.org/wiki/146_rue_de_Charonne_fire?action=edit&amp;redlink=1</x:v>
      </x:c>
      <x:c r="L297" s="27"/>
      <x:c r="M297" s="27"/>
      <x:c r="N297" s="21" t="str">
        <x:v>未提供坐标</x:v>
      </x:c>
      <x:c r="O297" s="21" t="str">
        <x:v>高层建筑外立面火灾</x:v>
      </x:c>
      <x:c r="P297" s="21" t="str">
        <x:v>未检索到</x:v>
      </x:c>
      <x:c r="Q297" s="21" t="str">
        <x:v>未检索到</x:v>
      </x:c>
      <x:c r="R297" s="21" t="str">
        <x:v>7th of 12</x:v>
      </x:c>
      <x:c r="S297" s="21" t="str">
        <x:v>未检索到</x:v>
      </x:c>
      <x:c r="T297" s="42" t="n">
        <x:v>3</x:v>
      </x:c>
      <x:c r="U297" s="42"/>
      <x:c r="V297" s="42"/>
      <x:c r="W297" s="33" t="str">
        <x:v>B</x:v>
      </x:c>
      <x:c r="X297" s="33" t="str">
        <x:v>compendium_needs_independent_verification</x:v>
      </x:c>
      <x:c r="Y297" s="33" t="str">
        <x:v>候选待核实</x:v>
      </x:c>
      <x:c r="Z297" s="21" t="str">
        <x:v>Wikipedia具名事件页+高层专题表</x:v>
      </x:c>
      <x:c r="AA297" s="21" t="str">
        <x:v>List of high-rise façade fires</x:v>
      </x:c>
      <x:c r="AB297" s="21" t="str">
        <x:v>Wikipedia专题列表</x:v>
      </x:c>
      <x:c r="AC297" s="21" t="str"/>
      <x:c r="AD297" s="21" t="n">
        <x:v>1</x:v>
      </x:c>
      <x:c r="AE297" s="21" t="str">
        <x:v>未检查</x:v>
      </x:c>
      <x:c r="AF297" s="21" t="str"/>
      <x:c r="AG297" s="24" t="n">
        <x:v>46260</x:v>
      </x:c>
      <x:c r="AH297" s="21" t="str"/>
      <x:c r="AI297" s="21" t="n">
        <x:v>1</x:v>
      </x:c>
      <x:c r="AJ297" s="21" t="str">
        <x:v>未评估（本事件表不建立热浪因果关系）</x:v>
      </x:c>
      <x:c r="AK297" s="21" t="str">
        <x:v>缺失/待核实</x:v>
      </x:c>
    </x:row>
    <x:row r="298" ht="42" customHeight="1">
      <x:c r="A298" s="33" t="n">
        <x:v>297</x:v>
      </x:c>
      <x:c r="B298" s="33" t="str">
        <x:v>RAW-0297</x:v>
      </x:c>
      <x:c r="C298" s="36" t="str">
        <x:v>欧洲</x:v>
      </x:c>
      <x:c r="D298" s="36" t="str">
        <x:v>France</x:v>
      </x:c>
      <x:c r="E298" s="21" t="str">
        <x:v>Paris</x:v>
      </x:c>
      <x:c r="F298" s="21" t="str">
        <x:v>Asia of Ivry (fr, Asie d'Ivry) Wholesaler Chinese Pastry, 50 Av. de la Prte d'Ivry fire</x:v>
      </x:c>
      <x:c r="G298" s="39" t="n">
        <x:v>45552</x:v>
      </x:c>
      <x:c r="H298" s="21" t="str">
        <x:v>Asia of Ivry (fr, Asie d'Ivry) Wholesaler Chinese Pastry, 50 Av. de la Prte d'Ivry高层建筑外立面火灾。死亡 0，受伤 2；表中记录的受影响楼层为 7th (attic)。</x:v>
      </x:c>
      <x:c r="I298" s="21" t="str">
        <x:v>未检索到/待核实</x:v>
      </x:c>
      <x:c r="J298" s="21" t="str">
        <x:v>死亡 0，受伤 2；表中记录的受影响楼层为 7th (attic)。</x:v>
      </x:c>
      <x:c r="K298" s="21" t="str">
        <x:v>https://english.news.cn/europe/20240918/4f5f1d3157c342bba3a376dc712960fe/c.html</x:v>
      </x:c>
      <x:c r="L298" s="27"/>
      <x:c r="M298" s="27"/>
      <x:c r="N298" s="21" t="str">
        <x:v>未提供坐标</x:v>
      </x:c>
      <x:c r="O298" s="21" t="str">
        <x:v>高层建筑外立面火灾</x:v>
      </x:c>
      <x:c r="P298" s="21" t="str">
        <x:v>未检索到</x:v>
      </x:c>
      <x:c r="Q298" s="21" t="str">
        <x:v>未检索到</x:v>
      </x:c>
      <x:c r="R298" s="21" t="str">
        <x:v>7th (attic)</x:v>
      </x:c>
      <x:c r="S298" s="21" t="str">
        <x:v>未检索到</x:v>
      </x:c>
      <x:c r="T298" s="42" t="n">
        <x:v>0</x:v>
      </x:c>
      <x:c r="U298" s="42"/>
      <x:c r="V298" s="42"/>
      <x:c r="W298" s="33" t="str">
        <x:v>C</x:v>
      </x:c>
      <x:c r="X298" s="33" t="str">
        <x:v>compendium_needs_independent_verification</x:v>
      </x:c>
      <x:c r="Y298" s="33" t="str">
        <x:v>候选待核实</x:v>
      </x:c>
      <x:c r="Z298" s="21" t="str">
        <x:v>Wikipedia高层专题表；需补充独立来源核验</x:v>
      </x:c>
      <x:c r="AA298" s="21" t="str">
        <x:v>List of high-rise façade fires</x:v>
      </x:c>
      <x:c r="AB298" s="21" t="str">
        <x:v>Wikipedia专题列表</x:v>
      </x:c>
      <x:c r="AC298" s="21" t="str"/>
      <x:c r="AD298" s="21" t="n">
        <x:v>1</x:v>
      </x:c>
      <x:c r="AE298" s="21" t="str">
        <x:v>未检查</x:v>
      </x:c>
      <x:c r="AF298" s="21" t="str"/>
      <x:c r="AG298" s="24" t="n">
        <x:v>46260</x:v>
      </x:c>
      <x:c r="AH298" s="21" t="str"/>
      <x:c r="AI298" s="21" t="n">
        <x:v>1</x:v>
      </x:c>
      <x:c r="AJ298" s="21" t="str">
        <x:v>未评估（本事件表不建立热浪因果关系）</x:v>
      </x:c>
      <x:c r="AK298" s="21" t="str">
        <x:v>缺失/待核实</x:v>
      </x:c>
    </x:row>
    <x:row r="299" ht="42" customHeight="1">
      <x:c r="A299" s="33" t="n">
        <x:v>298</x:v>
      </x:c>
      <x:c r="B299" s="33" t="str">
        <x:v>RAW-0298</x:v>
      </x:c>
      <x:c r="C299" s="36" t="str">
        <x:v>欧洲</x:v>
      </x:c>
      <x:c r="D299" s="36" t="str">
        <x:v>France</x:v>
      </x:c>
      <x:c r="E299" s="21" t="str">
        <x:v>Paris</x:v>
      </x:c>
      <x:c r="F299" s="21" t="str">
        <x:v>26 Avenue d'Iéna fire</x:v>
      </x:c>
      <x:c r="G299" s="39" t="n">
        <x:v>45639</x:v>
      </x:c>
      <x:c r="H299" s="21" t="str">
        <x:v>26 Avenue d'Iéna高层建筑外立面火灾。死亡 0，受伤 0；表中记录的受影响楼层为 7th。</x:v>
      </x:c>
      <x:c r="I299" s="21" t="str">
        <x:v>未检索到/待核实</x:v>
      </x:c>
      <x:c r="J299" s="21" t="str">
        <x:v>死亡 0，受伤 0；表中记录的受影响楼层为 7th。</x:v>
      </x:c>
      <x:c r="K299" s="21" t="str">
        <x:v>https://www.sortiraparis.com/en/news/in-paris/articles/322526-fire-in-progress-avenue-d-iena-in-paris-16th-arrondissement</x:v>
      </x:c>
      <x:c r="L299" s="27"/>
      <x:c r="M299" s="27"/>
      <x:c r="N299" s="21" t="str">
        <x:v>未提供坐标</x:v>
      </x:c>
      <x:c r="O299" s="21" t="str">
        <x:v>高层建筑外立面火灾</x:v>
      </x:c>
      <x:c r="P299" s="21" t="str">
        <x:v>未检索到</x:v>
      </x:c>
      <x:c r="Q299" s="21" t="str">
        <x:v>未检索到</x:v>
      </x:c>
      <x:c r="R299" s="21" t="str">
        <x:v>7th</x:v>
      </x:c>
      <x:c r="S299" s="21" t="str">
        <x:v>未检索到</x:v>
      </x:c>
      <x:c r="T299" s="42" t="n">
        <x:v>0</x:v>
      </x:c>
      <x:c r="U299" s="42"/>
      <x:c r="V299" s="42"/>
      <x:c r="W299" s="33" t="str">
        <x:v>C</x:v>
      </x:c>
      <x:c r="X299" s="33" t="str">
        <x:v>compendium_needs_independent_verification</x:v>
      </x:c>
      <x:c r="Y299" s="33" t="str">
        <x:v>候选待核实</x:v>
      </x:c>
      <x:c r="Z299" s="21" t="str">
        <x:v>Wikipedia高层专题表；需补充独立来源核验</x:v>
      </x:c>
      <x:c r="AA299" s="21" t="str">
        <x:v>List of high-rise façade fires</x:v>
      </x:c>
      <x:c r="AB299" s="21" t="str">
        <x:v>Wikipedia专题列表</x:v>
      </x:c>
      <x:c r="AC299" s="21" t="str"/>
      <x:c r="AD299" s="21" t="n">
        <x:v>1</x:v>
      </x:c>
      <x:c r="AE299" s="21" t="str">
        <x:v>未检查</x:v>
      </x:c>
      <x:c r="AF299" s="21" t="str"/>
      <x:c r="AG299" s="24" t="n">
        <x:v>46260</x:v>
      </x:c>
      <x:c r="AH299" s="21" t="str"/>
      <x:c r="AI299" s="21" t="n">
        <x:v>1</x:v>
      </x:c>
      <x:c r="AJ299" s="21" t="str">
        <x:v>未评估（本事件表不建立热浪因果关系）</x:v>
      </x:c>
      <x:c r="AK299" s="21" t="str">
        <x:v>缺失/待核实</x:v>
      </x:c>
    </x:row>
    <x:row r="300" ht="42" customHeight="1">
      <x:c r="A300" s="33" t="n">
        <x:v>299</x:v>
      </x:c>
      <x:c r="B300" s="33" t="str">
        <x:v>RAW-0299</x:v>
      </x:c>
      <x:c r="C300" s="36" t="str">
        <x:v>欧洲</x:v>
      </x:c>
      <x:c r="D300" s="36" t="str">
        <x:v>France</x:v>
      </x:c>
      <x:c r="E300" s="21" t="str">
        <x:v>Paris</x:v>
      </x:c>
      <x:c r="F300" s="21" t="str">
        <x:v>GMF Assurances, 1 rue de la Pépinière fire</x:v>
      </x:c>
      <x:c r="G300" s="39" t="n">
        <x:v>45650</x:v>
      </x:c>
      <x:c r="H300" s="21" t="str">
        <x:v>GMF Assurances, 1 rue de la Pépinière高层建筑外立面火灾。死亡 0，受伤 1；表中记录的受影响楼层为 Top flr。</x:v>
      </x:c>
      <x:c r="I300" s="21" t="str">
        <x:v>未检索到/待核实</x:v>
      </x:c>
      <x:c r="J300" s="21" t="str">
        <x:v>死亡 0，受伤 1；表中记录的受影响楼层为 Top flr。</x:v>
      </x:c>
      <x:c r="K300" s="21" t="str">
        <x:v>https://www.sortiraparis.com/en/news/in-paris/articles/322834-fire-in-front-of-gare-saint-lazare-building-destroys-paris-8e-avoid-the-area</x:v>
      </x:c>
      <x:c r="L300" s="27"/>
      <x:c r="M300" s="27"/>
      <x:c r="N300" s="21" t="str">
        <x:v>未提供坐标</x:v>
      </x:c>
      <x:c r="O300" s="21" t="str">
        <x:v>高层建筑外立面火灾</x:v>
      </x:c>
      <x:c r="P300" s="21" t="str">
        <x:v>未检索到</x:v>
      </x:c>
      <x:c r="Q300" s="21" t="str">
        <x:v>未检索到</x:v>
      </x:c>
      <x:c r="R300" s="21" t="str">
        <x:v>Top flr</x:v>
      </x:c>
      <x:c r="S300" s="21" t="str">
        <x:v>未检索到</x:v>
      </x:c>
      <x:c r="T300" s="42" t="n">
        <x:v>0</x:v>
      </x:c>
      <x:c r="U300" s="42"/>
      <x:c r="V300" s="42"/>
      <x:c r="W300" s="33" t="str">
        <x:v>C</x:v>
      </x:c>
      <x:c r="X300" s="33" t="str">
        <x:v>compendium_needs_independent_verification</x:v>
      </x:c>
      <x:c r="Y300" s="33" t="str">
        <x:v>候选待核实</x:v>
      </x:c>
      <x:c r="Z300" s="21" t="str">
        <x:v>Wikipedia高层专题表；需补充独立来源核验</x:v>
      </x:c>
      <x:c r="AA300" s="21" t="str">
        <x:v>List of high-rise façade fires</x:v>
      </x:c>
      <x:c r="AB300" s="21" t="str">
        <x:v>Wikipedia专题列表</x:v>
      </x:c>
      <x:c r="AC300" s="21" t="str"/>
      <x:c r="AD300" s="21" t="n">
        <x:v>1</x:v>
      </x:c>
      <x:c r="AE300" s="21" t="str">
        <x:v>未检查</x:v>
      </x:c>
      <x:c r="AF300" s="21" t="str"/>
      <x:c r="AG300" s="24" t="n">
        <x:v>46260</x:v>
      </x:c>
      <x:c r="AH300" s="21" t="str"/>
      <x:c r="AI300" s="21" t="n">
        <x:v>1</x:v>
      </x:c>
      <x:c r="AJ300" s="21" t="str">
        <x:v>未评估（本事件表不建立热浪因果关系）</x:v>
      </x:c>
      <x:c r="AK300" s="21" t="str">
        <x:v>缺失/待核实</x:v>
      </x:c>
    </x:row>
    <x:row r="301" ht="42" customHeight="1">
      <x:c r="A301" s="33" t="n">
        <x:v>300</x:v>
      </x:c>
      <x:c r="B301" s="33" t="str">
        <x:v>RAW-0300</x:v>
      </x:c>
      <x:c r="C301" s="36" t="str">
        <x:v>欧洲</x:v>
      </x:c>
      <x:c r="D301" s="36" t="str">
        <x:v>France</x:v>
      </x:c>
      <x:c r="E301" s="21" t="str">
        <x:v>Paris</x:v>
      </x:c>
      <x:c r="F301" s="21" t="str">
        <x:v>The 12th District Town Hall fire</x:v>
      </x:c>
      <x:c r="G301" s="39" t="n">
        <x:v>45684</x:v>
      </x:c>
      <x:c r="H301" s="21" t="str">
        <x:v>The 12th District Town Hall高层建筑外立面火灾。死亡 0，受伤 0；表中记录的受影响楼层为 Top flrs。</x:v>
      </x:c>
      <x:c r="I301" s="21" t="str">
        <x:v>未检索到/待核实</x:v>
      </x:c>
      <x:c r="J301" s="21" t="str">
        <x:v>死亡 0，受伤 0；表中记录的受影响楼层为 Top flrs。</x:v>
      </x:c>
      <x:c r="K301" s="21" t="str">
        <x:v>https://apnews.com/article/paris-town-hall-fire-bell-tower-c6ff46a0f000b28d2a4cffb30ae82f08</x:v>
      </x:c>
      <x:c r="L301" s="27"/>
      <x:c r="M301" s="27"/>
      <x:c r="N301" s="21" t="str">
        <x:v>未提供坐标</x:v>
      </x:c>
      <x:c r="O301" s="21" t="str">
        <x:v>高层建筑外立面火灾</x:v>
      </x:c>
      <x:c r="P301" s="21" t="str">
        <x:v>未检索到</x:v>
      </x:c>
      <x:c r="Q301" s="21" t="str">
        <x:v>未检索到</x:v>
      </x:c>
      <x:c r="R301" s="21" t="str">
        <x:v>Top flrs</x:v>
      </x:c>
      <x:c r="S301" s="21" t="str">
        <x:v>未检索到</x:v>
      </x:c>
      <x:c r="T301" s="42" t="n">
        <x:v>0</x:v>
      </x:c>
      <x:c r="U301" s="42"/>
      <x:c r="V301" s="42"/>
      <x:c r="W301" s="33" t="str">
        <x:v>C</x:v>
      </x:c>
      <x:c r="X301" s="33" t="str">
        <x:v>compendium_needs_independent_verification</x:v>
      </x:c>
      <x:c r="Y301" s="33" t="str">
        <x:v>候选待核实</x:v>
      </x:c>
      <x:c r="Z301" s="21" t="str">
        <x:v>Wikipedia高层专题表；需补充独立来源核验</x:v>
      </x:c>
      <x:c r="AA301" s="21" t="str">
        <x:v>List of high-rise façade fires</x:v>
      </x:c>
      <x:c r="AB301" s="21" t="str">
        <x:v>Wikipedia专题列表</x:v>
      </x:c>
      <x:c r="AC301" s="21" t="str"/>
      <x:c r="AD301" s="21" t="n">
        <x:v>1</x:v>
      </x:c>
      <x:c r="AE301" s="21" t="str">
        <x:v>未检查</x:v>
      </x:c>
      <x:c r="AF301" s="21" t="str"/>
      <x:c r="AG301" s="24" t="n">
        <x:v>46260</x:v>
      </x:c>
      <x:c r="AH301" s="21" t="str"/>
      <x:c r="AI301" s="21" t="n">
        <x:v>1</x:v>
      </x:c>
      <x:c r="AJ301" s="21" t="str">
        <x:v>未评估（本事件表不建立热浪因果关系）</x:v>
      </x:c>
      <x:c r="AK301" s="21" t="str">
        <x:v>缺失/待核实</x:v>
      </x:c>
    </x:row>
    <x:row r="302" ht="42" customHeight="1">
      <x:c r="A302" s="33" t="n">
        <x:v>301</x:v>
      </x:c>
      <x:c r="B302" s="33" t="str">
        <x:v>RAW-0301</x:v>
      </x:c>
      <x:c r="C302" s="36" t="str">
        <x:v>亚洲</x:v>
      </x:c>
      <x:c r="D302" s="36" t="str">
        <x:v>China</x:v>
      </x:c>
      <x:c r="E302" s="21" t="str">
        <x:v>Central, Hong Kong</x:v>
      </x:c>
      <x:c r="F302" s="21" t="str">
        <x:v>Chinachem Tower fire</x:v>
      </x:c>
      <x:c r="G302" s="39" t="n">
        <x:v>45948</x:v>
      </x:c>
      <x:c r="H302" s="21" t="str">
        <x:v>Chinachem Tower高层建筑外立面火灾。死亡 0，受伤 4；表中记录的受影响楼层为 25。</x:v>
      </x:c>
      <x:c r="I302" s="21" t="str">
        <x:v>未检索到/待核实</x:v>
      </x:c>
      <x:c r="J302" s="21" t="str">
        <x:v>死亡 0，受伤 4；表中记录的受影响楼层为 25。</x:v>
      </x:c>
      <x:c r="K302" s="21" t="str">
        <x:v>https://www.minoafire.org/chinachem-tower#:~:text=external%20works,the%20Fire</x:v>
      </x:c>
      <x:c r="L302" s="27"/>
      <x:c r="M302" s="27"/>
      <x:c r="N302" s="21" t="str">
        <x:v>未提供坐标</x:v>
      </x:c>
      <x:c r="O302" s="21" t="str">
        <x:v>高层建筑外立面火灾</x:v>
      </x:c>
      <x:c r="P302" s="21" t="str">
        <x:v>未检索到</x:v>
      </x:c>
      <x:c r="Q302" s="21" t="str">
        <x:v>未检索到</x:v>
      </x:c>
      <x:c r="R302" s="21" t="str">
        <x:v>25</x:v>
      </x:c>
      <x:c r="S302" s="21" t="str">
        <x:v>未检索到</x:v>
      </x:c>
      <x:c r="T302" s="42" t="n">
        <x:v>0</x:v>
      </x:c>
      <x:c r="U302" s="42"/>
      <x:c r="V302" s="42"/>
      <x:c r="W302" s="33" t="str">
        <x:v>C</x:v>
      </x:c>
      <x:c r="X302" s="33" t="str">
        <x:v>compendium_needs_independent_verification</x:v>
      </x:c>
      <x:c r="Y302" s="33" t="str">
        <x:v>候选待核实</x:v>
      </x:c>
      <x:c r="Z302" s="21" t="str">
        <x:v>Wikipedia高层专题表；需补充独立来源核验</x:v>
      </x:c>
      <x:c r="AA302" s="21" t="str">
        <x:v>List of high-rise façade fires</x:v>
      </x:c>
      <x:c r="AB302" s="21" t="str">
        <x:v>Wikipedia专题列表</x:v>
      </x:c>
      <x:c r="AC302" s="21" t="str"/>
      <x:c r="AD302" s="21" t="n">
        <x:v>1</x:v>
      </x:c>
      <x:c r="AE302" s="21" t="str">
        <x:v>未检查</x:v>
      </x:c>
      <x:c r="AF302" s="21" t="str"/>
      <x:c r="AG302" s="24" t="n">
        <x:v>46260</x:v>
      </x:c>
      <x:c r="AH302" s="21" t="str"/>
      <x:c r="AI302" s="21" t="n">
        <x:v>1</x:v>
      </x:c>
      <x:c r="AJ302" s="21" t="str">
        <x:v>未评估（本事件表不建立热浪因果关系）</x:v>
      </x:c>
      <x:c r="AK302" s="21" t="str">
        <x:v>缺失/待核实</x:v>
      </x:c>
    </x:row>
    <x:row r="303" ht="42" customHeight="1">
      <x:c r="A303" s="33" t="n">
        <x:v>302</x:v>
      </x:c>
      <x:c r="B303" s="33" t="str">
        <x:v>RAW-0302</x:v>
      </x:c>
      <x:c r="C303" s="36" t="str">
        <x:v>亚洲</x:v>
      </x:c>
      <x:c r="D303" s="36" t="str">
        <x:v>China</x:v>
      </x:c>
      <x:c r="E303" s="21" t="str">
        <x:v>Hong Kong</x:v>
      </x:c>
      <x:c r="F303" s="21" t="str">
        <x:v>Wang Fuk Court fire</x:v>
      </x:c>
      <x:c r="G303" s="39" t="n">
        <x:v>45987</x:v>
      </x:c>
      <x:c r="H303" s="21" t="str">
        <x:v>Wang Fuk Court fire高层建筑外立面火灾。死亡 168，受伤 79；表中记录的受影响楼层为 32。</x:v>
      </x:c>
      <x:c r="I303" s="21" t="str">
        <x:v>未检索到/待核实</x:v>
      </x:c>
      <x:c r="J303" s="21" t="str">
        <x:v>死亡 168，受伤 79；表中记录的受影响楼层为 32。</x:v>
      </x:c>
      <x:c r="K303" s="21" t="str">
        <x:v>https://en.wikipedia.org/wiki/Wang_Fuk_Court_fire</x:v>
      </x:c>
      <x:c r="L303" s="27"/>
      <x:c r="M303" s="27"/>
      <x:c r="N303" s="21" t="str">
        <x:v>未提供坐标</x:v>
      </x:c>
      <x:c r="O303" s="21" t="str">
        <x:v>高层建筑外立面火灾</x:v>
      </x:c>
      <x:c r="P303" s="21" t="str">
        <x:v>未检索到</x:v>
      </x:c>
      <x:c r="Q303" s="21" t="str">
        <x:v>未检索到</x:v>
      </x:c>
      <x:c r="R303" s="21" t="str">
        <x:v>32</x:v>
      </x:c>
      <x:c r="S303" s="21" t="str">
        <x:v>未检索到</x:v>
      </x:c>
      <x:c r="T303" s="42" t="n">
        <x:v>168</x:v>
      </x:c>
      <x:c r="U303" s="42"/>
      <x:c r="V303" s="42"/>
      <x:c r="W303" s="33" t="str">
        <x:v>B</x:v>
      </x:c>
      <x:c r="X303" s="33" t="str">
        <x:v>compendium_needs_independent_verification</x:v>
      </x:c>
      <x:c r="Y303" s="33" t="str">
        <x:v>候选待核实</x:v>
      </x:c>
      <x:c r="Z303" s="21" t="str">
        <x:v>Wikipedia具名事件页+高层专题表</x:v>
      </x:c>
      <x:c r="AA303" s="21" t="str">
        <x:v>List of high-rise façade fires</x:v>
      </x:c>
      <x:c r="AB303" s="21" t="str">
        <x:v>Wikipedia专题列表</x:v>
      </x:c>
      <x:c r="AC303" s="21" t="str"/>
      <x:c r="AD303" s="21" t="n">
        <x:v>1</x:v>
      </x:c>
      <x:c r="AE303" s="21" t="str">
        <x:v>未检查</x:v>
      </x:c>
      <x:c r="AF303" s="21" t="str"/>
      <x:c r="AG303" s="24" t="n">
        <x:v>46260</x:v>
      </x:c>
      <x:c r="AH303" s="21" t="str"/>
      <x:c r="AI303" s="21" t="n">
        <x:v>1</x:v>
      </x:c>
      <x:c r="AJ303" s="21" t="str">
        <x:v>未评估（本事件表不建立热浪因果关系）</x:v>
      </x:c>
      <x:c r="AK303" s="21" t="str">
        <x:v>缺失/待核实</x:v>
      </x:c>
    </x:row>
    <x:row r="304" ht="42" customHeight="1">
      <x:c r="A304" s="33" t="n">
        <x:v>303</x:v>
      </x:c>
      <x:c r="B304" s="33" t="str">
        <x:v>RAW-0303</x:v>
      </x:c>
      <x:c r="C304" s="36" t="str">
        <x:v>亚洲</x:v>
      </x:c>
      <x:c r="D304" s="36" t="str">
        <x:v>Hong Kong</x:v>
      </x:c>
      <x:c r="E304" s="21" t="str">
        <x:v>Hong Kong</x:v>
      </x:c>
      <x:c r="F304" s="21" t="str">
        <x:v>Immigration Tower fire</x:v>
      </x:c>
      <x:c r="G304" s="39" t="n">
        <x:v>36740</x:v>
      </x:c>
      <x:c r="H304" s="21" t="str">
        <x:v>Immigration Tower高层建筑火灾；建筑高度记录为 181 m。死亡人数：2。Arson</x:v>
      </x:c>
      <x:c r="I304" s="21" t="str">
        <x:v>Arson</x:v>
      </x:c>
      <x:c r="J304" s="21" t="str">
        <x:v>死亡人数：2。Arson</x:v>
      </x:c>
      <x:c r="K304" s="21" t="str">
        <x:v>https://en.wikipedia.org/wiki/List_of_fires_in_high-rise_buildings</x:v>
      </x:c>
      <x:c r="L304" s="27"/>
      <x:c r="M304" s="27"/>
      <x:c r="N304" s="21" t="str">
        <x:v>未提供坐标</x:v>
      </x:c>
      <x:c r="O304" s="21" t="str">
        <x:v>高层建筑火灾</x:v>
      </x:c>
      <x:c r="P304" s="21" t="str">
        <x:v>未检索到</x:v>
      </x:c>
      <x:c r="Q304" s="21" t="str">
        <x:v>181 m</x:v>
      </x:c>
      <x:c r="R304" s="21" t="str">
        <x:v>未检索到</x:v>
      </x:c>
      <x:c r="S304" s="21" t="str">
        <x:v>未检索到</x:v>
      </x:c>
      <x:c r="T304" s="42" t="n">
        <x:v>2</x:v>
      </x:c>
      <x:c r="U304" s="42"/>
      <x:c r="V304" s="42"/>
      <x:c r="W304" s="33" t="str">
        <x:v>C</x:v>
      </x:c>
      <x:c r="X304" s="33" t="str">
        <x:v>compendium_needs_independent_verification</x:v>
      </x:c>
      <x:c r="Y304" s="33" t="str">
        <x:v>候选待核实</x:v>
      </x:c>
      <x:c r="Z304" s="21" t="str">
        <x:v>Wikipedia高层建筑专题表；需补充独立来源核验</x:v>
      </x:c>
      <x:c r="AA304" s="21" t="str">
        <x:v>List of fires in high-rise buildings</x:v>
      </x:c>
      <x:c r="AB304" s="21" t="str">
        <x:v>Wikipedia专题列表</x:v>
      </x:c>
      <x:c r="AC304" s="21" t="str"/>
      <x:c r="AD304" s="21" t="n">
        <x:v>1</x:v>
      </x:c>
      <x:c r="AE304" s="21" t="str">
        <x:v>未检查</x:v>
      </x:c>
      <x:c r="AF304" s="21" t="str"/>
      <x:c r="AG304" s="24" t="n">
        <x:v>46260</x:v>
      </x:c>
      <x:c r="AH304" s="21" t="str"/>
      <x:c r="AI304" s="21" t="n">
        <x:v>1</x:v>
      </x:c>
      <x:c r="AJ304" s="21" t="str">
        <x:v>未评估（本事件表不建立热浪因果关系）</x:v>
      </x:c>
      <x:c r="AK304" s="21" t="str">
        <x:v>已有来源描述</x:v>
      </x:c>
    </x:row>
    <x:row r="305" ht="42" customHeight="1">
      <x:c r="A305" s="33" t="n">
        <x:v>304</x:v>
      </x:c>
      <x:c r="B305" s="33" t="str">
        <x:v>RAW-0304</x:v>
      </x:c>
      <x:c r="C305" s="36" t="str">
        <x:v>欧洲</x:v>
      </x:c>
      <x:c r="D305" s="36" t="str">
        <x:v>Russia</x:v>
      </x:c>
      <x:c r="E305" s="21" t="str">
        <x:v>Moscow</x:v>
      </x:c>
      <x:c r="F305" s="21" t="str">
        <x:v>Ostankino Tower fire</x:v>
      </x:c>
      <x:c r="G305" s="39" t="n">
        <x:v>36765</x:v>
      </x:c>
      <x:c r="H305" s="21" t="str">
        <x:v>Ostankino Tower高层建筑火灾；建筑高度记录为 540.1 m。死亡人数：3。Tallest structure in Europe</x:v>
      </x:c>
      <x:c r="I305" s="21" t="str">
        <x:v>未检索到/待核实</x:v>
      </x:c>
      <x:c r="J305" s="21" t="str">
        <x:v>死亡人数：3。Tallest structure in Europe</x:v>
      </x:c>
      <x:c r="K305" s="21" t="str">
        <x:v>https://en.wikipedia.org/wiki/List_of_fires_in_high-rise_buildings</x:v>
      </x:c>
      <x:c r="L305" s="27"/>
      <x:c r="M305" s="27"/>
      <x:c r="N305" s="21" t="str">
        <x:v>未提供坐标</x:v>
      </x:c>
      <x:c r="O305" s="21" t="str">
        <x:v>高层建筑火灾</x:v>
      </x:c>
      <x:c r="P305" s="21" t="str">
        <x:v>未检索到</x:v>
      </x:c>
      <x:c r="Q305" s="21" t="str">
        <x:v>540.1 m</x:v>
      </x:c>
      <x:c r="R305" s="21" t="str">
        <x:v>未检索到</x:v>
      </x:c>
      <x:c r="S305" s="21" t="str">
        <x:v>未检索到</x:v>
      </x:c>
      <x:c r="T305" s="42" t="n">
        <x:v>3</x:v>
      </x:c>
      <x:c r="U305" s="42"/>
      <x:c r="V305" s="42"/>
      <x:c r="W305" s="33" t="str">
        <x:v>C</x:v>
      </x:c>
      <x:c r="X305" s="33" t="str">
        <x:v>compendium_needs_independent_verification</x:v>
      </x:c>
      <x:c r="Y305" s="33" t="str">
        <x:v>候选待核实</x:v>
      </x:c>
      <x:c r="Z305" s="21" t="str">
        <x:v>Wikipedia高层建筑专题表；需补充独立来源核验</x:v>
      </x:c>
      <x:c r="AA305" s="21" t="str">
        <x:v>List of fires in high-rise buildings</x:v>
      </x:c>
      <x:c r="AB305" s="21" t="str">
        <x:v>Wikipedia专题列表</x:v>
      </x:c>
      <x:c r="AC305" s="21" t="str"/>
      <x:c r="AD305" s="21" t="n">
        <x:v>1</x:v>
      </x:c>
      <x:c r="AE305" s="21" t="str">
        <x:v>未检查</x:v>
      </x:c>
      <x:c r="AF305" s="21" t="str"/>
      <x:c r="AG305" s="24" t="n">
        <x:v>46260</x:v>
      </x:c>
      <x:c r="AH305" s="21" t="str"/>
      <x:c r="AI305" s="21" t="n">
        <x:v>1</x:v>
      </x:c>
      <x:c r="AJ305" s="21" t="str">
        <x:v>未评估（本事件表不建立热浪因果关系）</x:v>
      </x:c>
      <x:c r="AK305" s="21" t="str">
        <x:v>缺失/待核实</x:v>
      </x:c>
    </x:row>
    <x:row r="306" ht="42" customHeight="1">
      <x:c r="A306" s="33" t="n">
        <x:v>305</x:v>
      </x:c>
      <x:c r="B306" s="33" t="str">
        <x:v>RAW-0305</x:v>
      </x:c>
      <x:c r="C306" s="36" t="str">
        <x:v>北美洲</x:v>
      </x:c>
      <x:c r="D306" s="36" t="str">
        <x:v>United States</x:v>
      </x:c>
      <x:c r="E306" s="21" t="str">
        <x:v>New York City</x:v>
      </x:c>
      <x:c r="F306" s="21" t="str">
        <x:v>1 and 2 World Trade Center fire</x:v>
      </x:c>
      <x:c r="G306" s="39" t="n">
        <x:v>37145</x:v>
      </x:c>
      <x:c r="H306" s="21" t="str">
        <x:v>1 and 2 World Trade Center高层建筑火灾；建筑高度记录为 417 m / 415.1 m。死亡人数：2,312。Part of the September 11 attacks. One hijacked airliner was deliberately flown into each of the skyscrapers. Both towers experienced a total structural failure within two hours of the plane impacts. Tallest buildings to ever be destroyed.</x:v>
      </x:c>
      <x:c r="I306" s="21" t="str">
        <x:v>One hijacked airliner was deliberately flown into each of the skyscrapers.</x:v>
      </x:c>
      <x:c r="J306" s="21" t="str">
        <x:v>死亡人数：2,312。Part of the September 11 attacks. One hijacked airliner was deliberately flown into each of the skyscrapers. Both towers experienced a total structural failure within two hours of the plane impacts. Tallest buildings to ever be destroyed.</x:v>
      </x:c>
      <x:c r="K306" s="21" t="str">
        <x:v>https://en.wikipedia.org/wiki/List_of_fires_in_high-rise_buildings</x:v>
      </x:c>
      <x:c r="L306" s="27"/>
      <x:c r="M306" s="27"/>
      <x:c r="N306" s="21" t="str">
        <x:v>未提供坐标</x:v>
      </x:c>
      <x:c r="O306" s="21" t="str">
        <x:v>高层建筑火灾</x:v>
      </x:c>
      <x:c r="P306" s="21" t="str">
        <x:v>未检索到</x:v>
      </x:c>
      <x:c r="Q306" s="21" t="str">
        <x:v>417 m / 415.1 m</x:v>
      </x:c>
      <x:c r="R306" s="21" t="str">
        <x:v>未检索到</x:v>
      </x:c>
      <x:c r="S306" s="21" t="str">
        <x:v>未检索到</x:v>
      </x:c>
      <x:c r="T306" s="42" t="n">
        <x:v>2312</x:v>
      </x:c>
      <x:c r="U306" s="42"/>
      <x:c r="V306" s="42"/>
      <x:c r="W306" s="33" t="str">
        <x:v>C</x:v>
      </x:c>
      <x:c r="X306" s="33" t="str">
        <x:v>compendium_needs_independent_verification</x:v>
      </x:c>
      <x:c r="Y306" s="33" t="str">
        <x:v>候选待核实</x:v>
      </x:c>
      <x:c r="Z306" s="21" t="str">
        <x:v>Wikipedia高层建筑专题表；需补充独立来源核验</x:v>
      </x:c>
      <x:c r="AA306" s="21" t="str">
        <x:v>List of fires in high-rise buildings</x:v>
      </x:c>
      <x:c r="AB306" s="21" t="str">
        <x:v>Wikipedia专题列表</x:v>
      </x:c>
      <x:c r="AC306" s="21" t="str"/>
      <x:c r="AD306" s="21" t="n">
        <x:v>1</x:v>
      </x:c>
      <x:c r="AE306" s="21" t="str">
        <x:v>未检查</x:v>
      </x:c>
      <x:c r="AF306" s="21" t="str"/>
      <x:c r="AG306" s="24" t="n">
        <x:v>46260</x:v>
      </x:c>
      <x:c r="AH306" s="21" t="str"/>
      <x:c r="AI306" s="21" t="n">
        <x:v>1</x:v>
      </x:c>
      <x:c r="AJ306" s="21" t="str">
        <x:v>未评估（本事件表不建立热浪因果关系）</x:v>
      </x:c>
      <x:c r="AK306" s="21" t="str">
        <x:v>已有来源描述</x:v>
      </x:c>
    </x:row>
    <x:row r="307" ht="42" customHeight="1">
      <x:c r="A307" s="33" t="n">
        <x:v>306</x:v>
      </x:c>
      <x:c r="B307" s="33" t="str">
        <x:v>RAW-0306</x:v>
      </x:c>
      <x:c r="C307" s="36" t="str">
        <x:v>欧洲</x:v>
      </x:c>
      <x:c r="D307" s="36" t="str">
        <x:v>Italy</x:v>
      </x:c>
      <x:c r="E307" s="21" t="str">
        <x:v>Milan</x:v>
      </x:c>
      <x:c r="F307" s="21" t="str">
        <x:v>Pirelli Tower fire</x:v>
      </x:c>
      <x:c r="G307" s="39" t="n">
        <x:v>37364</x:v>
      </x:c>
      <x:c r="H307" s="21" t="str">
        <x:v>Pirelli Tower高层建筑火灾；建筑高度记录为 127 m。死亡人数：3。Plane crash</x:v>
      </x:c>
      <x:c r="I307" s="21" t="str">
        <x:v>Plane crash</x:v>
      </x:c>
      <x:c r="J307" s="21" t="str">
        <x:v>死亡人数：3。Plane crash</x:v>
      </x:c>
      <x:c r="K307" s="21" t="str">
        <x:v>https://en.wikipedia.org/wiki/List_of_fires_in_high-rise_buildings</x:v>
      </x:c>
      <x:c r="L307" s="27"/>
      <x:c r="M307" s="27"/>
      <x:c r="N307" s="21" t="str">
        <x:v>未提供坐标</x:v>
      </x:c>
      <x:c r="O307" s="21" t="str">
        <x:v>高层建筑火灾</x:v>
      </x:c>
      <x:c r="P307" s="21" t="str">
        <x:v>未检索到</x:v>
      </x:c>
      <x:c r="Q307" s="21" t="str">
        <x:v>127 m</x:v>
      </x:c>
      <x:c r="R307" s="21" t="str">
        <x:v>未检索到</x:v>
      </x:c>
      <x:c r="S307" s="21" t="str">
        <x:v>未检索到</x:v>
      </x:c>
      <x:c r="T307" s="42" t="n">
        <x:v>3</x:v>
      </x:c>
      <x:c r="U307" s="42"/>
      <x:c r="V307" s="42"/>
      <x:c r="W307" s="33" t="str">
        <x:v>C</x:v>
      </x:c>
      <x:c r="X307" s="33" t="str">
        <x:v>compendium_needs_independent_verification</x:v>
      </x:c>
      <x:c r="Y307" s="33" t="str">
        <x:v>候选待核实</x:v>
      </x:c>
      <x:c r="Z307" s="21" t="str">
        <x:v>Wikipedia高层建筑专题表；需补充独立来源核验</x:v>
      </x:c>
      <x:c r="AA307" s="21" t="str">
        <x:v>List of fires in high-rise buildings</x:v>
      </x:c>
      <x:c r="AB307" s="21" t="str">
        <x:v>Wikipedia专题列表</x:v>
      </x:c>
      <x:c r="AC307" s="21" t="str"/>
      <x:c r="AD307" s="21" t="n">
        <x:v>1</x:v>
      </x:c>
      <x:c r="AE307" s="21" t="str">
        <x:v>未检查</x:v>
      </x:c>
      <x:c r="AF307" s="21" t="str"/>
      <x:c r="AG307" s="24" t="n">
        <x:v>46260</x:v>
      </x:c>
      <x:c r="AH307" s="21" t="str"/>
      <x:c r="AI307" s="21" t="n">
        <x:v>1</x:v>
      </x:c>
      <x:c r="AJ307" s="21" t="str">
        <x:v>未评估（本事件表不建立热浪因果关系）</x:v>
      </x:c>
      <x:c r="AK307" s="21" t="str">
        <x:v>已有来源描述</x:v>
      </x:c>
    </x:row>
    <x:row r="308" ht="42" customHeight="1">
      <x:c r="A308" s="33" t="n">
        <x:v>307</x:v>
      </x:c>
      <x:c r="B308" s="33" t="str">
        <x:v>RAW-0307</x:v>
      </x:c>
      <x:c r="C308" s="36" t="str">
        <x:v>北美洲</x:v>
      </x:c>
      <x:c r="D308" s="36" t="str">
        <x:v>United States</x:v>
      </x:c>
      <x:c r="E308" s="21" t="str">
        <x:v>Chicago</x:v>
      </x:c>
      <x:c r="F308" s="21" t="str">
        <x:v>Cook County Administration Building fire</x:v>
      </x:c>
      <x:c r="G308" s="39" t="n">
        <x:v>37911</x:v>
      </x:c>
      <x:c r="H308" s="21" t="str">
        <x:v>Cook County Administration Building高层建筑火灾；建筑高度记录为 未列明。死亡人数：6。Seven other seriously injured, fire thought to have been arson</x:v>
      </x:c>
      <x:c r="I308" s="21" t="str">
        <x:v>Seven other seriously injured, fire thought to have been arson</x:v>
      </x:c>
      <x:c r="J308" s="21" t="str">
        <x:v>死亡人数：6。Seven other seriously injured, fire thought to have been arson</x:v>
      </x:c>
      <x:c r="K308" s="21" t="str">
        <x:v>https://www.chicagotribune.com/2003/10/18/6-die-in-loop-blaze/</x:v>
      </x:c>
      <x:c r="L308" s="27"/>
      <x:c r="M308" s="27"/>
      <x:c r="N308" s="21" t="str">
        <x:v>未提供坐标</x:v>
      </x:c>
      <x:c r="O308" s="21" t="str">
        <x:v>高层建筑火灾</x:v>
      </x:c>
      <x:c r="P308" s="21" t="str">
        <x:v>未检索到</x:v>
      </x:c>
      <x:c r="Q308" s="21" t="str">
        <x:v>未检索到</x:v>
      </x:c>
      <x:c r="R308" s="21" t="str">
        <x:v>未检索到</x:v>
      </x:c>
      <x:c r="S308" s="21" t="str">
        <x:v>未检索到</x:v>
      </x:c>
      <x:c r="T308" s="42" t="n">
        <x:v>6</x:v>
      </x:c>
      <x:c r="U308" s="42"/>
      <x:c r="V308" s="42"/>
      <x:c r="W308" s="33" t="str">
        <x:v>C</x:v>
      </x:c>
      <x:c r="X308" s="33" t="str">
        <x:v>compendium_needs_independent_verification</x:v>
      </x:c>
      <x:c r="Y308" s="33" t="str">
        <x:v>候选待核实</x:v>
      </x:c>
      <x:c r="Z308" s="21" t="str">
        <x:v>Wikipedia高层建筑专题表；需补充独立来源核验</x:v>
      </x:c>
      <x:c r="AA308" s="21" t="str">
        <x:v>List of fires in high-rise buildings</x:v>
      </x:c>
      <x:c r="AB308" s="21" t="str">
        <x:v>Wikipedia专题列表</x:v>
      </x:c>
      <x:c r="AC308" s="21" t="str"/>
      <x:c r="AD308" s="21" t="n">
        <x:v>1</x:v>
      </x:c>
      <x:c r="AE308" s="21" t="str">
        <x:v>未检查</x:v>
      </x:c>
      <x:c r="AF308" s="21" t="str"/>
      <x:c r="AG308" s="24" t="n">
        <x:v>46260</x:v>
      </x:c>
      <x:c r="AH308" s="21" t="str"/>
      <x:c r="AI308" s="21" t="n">
        <x:v>1</x:v>
      </x:c>
      <x:c r="AJ308" s="21" t="str">
        <x:v>未评估（本事件表不建立热浪因果关系）</x:v>
      </x:c>
      <x:c r="AK308" s="21" t="str">
        <x:v>已有来源描述</x:v>
      </x:c>
    </x:row>
    <x:row r="309" ht="42" customHeight="1">
      <x:c r="A309" s="33" t="n">
        <x:v>308</x:v>
      </x:c>
      <x:c r="B309" s="33" t="str">
        <x:v>RAW-0308</x:v>
      </x:c>
      <x:c r="C309" s="36" t="str">
        <x:v>亚洲</x:v>
      </x:c>
      <x:c r="D309" s="36" t="str">
        <x:v>Iraq</x:v>
      </x:c>
      <x:c r="E309" s="21" t="str">
        <x:v>Baghdad</x:v>
      </x:c>
      <x:c r="F309" s="21" t="str">
        <x:v>Al Rasheed Hotel fire</x:v>
      </x:c>
      <x:c r="G309" s="39" t="n">
        <x:v>37981</x:v>
      </x:c>
      <x:c r="H309" s="21" t="str">
        <x:v>Al Rasheed Hotel高层建筑火灾；建筑高度记录为 59.4 m。死亡人数：1。Twenty-eight 68 mm and 85 mm Katyusha rockets were fired at and struck the hotel</x:v>
      </x:c>
      <x:c r="I309" s="21" t="str">
        <x:v>Twenty-eight 68 mm and 85 mm Katyusha rockets were fired at and struck the hotel</x:v>
      </x:c>
      <x:c r="J309" s="21" t="str">
        <x:v>死亡人数：1。Twenty-eight 68 mm and 85 mm Katyusha rockets were fired at and struck the hotel</x:v>
      </x:c>
      <x:c r="K309" s="21" t="str">
        <x:v>https://en.wikipedia.org/wiki/List_of_fires_in_high-rise_buildings</x:v>
      </x:c>
      <x:c r="L309" s="27"/>
      <x:c r="M309" s="27"/>
      <x:c r="N309" s="21" t="str">
        <x:v>未提供坐标</x:v>
      </x:c>
      <x:c r="O309" s="21" t="str">
        <x:v>高层建筑火灾</x:v>
      </x:c>
      <x:c r="P309" s="21" t="str">
        <x:v>未检索到</x:v>
      </x:c>
      <x:c r="Q309" s="21" t="str">
        <x:v>59.4 m</x:v>
      </x:c>
      <x:c r="R309" s="21" t="str">
        <x:v>未检索到</x:v>
      </x:c>
      <x:c r="S309" s="21" t="str">
        <x:v>未检索到</x:v>
      </x:c>
      <x:c r="T309" s="42" t="n">
        <x:v>1</x:v>
      </x:c>
      <x:c r="U309" s="42"/>
      <x:c r="V309" s="42"/>
      <x:c r="W309" s="33" t="str">
        <x:v>C</x:v>
      </x:c>
      <x:c r="X309" s="33" t="str">
        <x:v>compendium_needs_independent_verification</x:v>
      </x:c>
      <x:c r="Y309" s="33" t="str">
        <x:v>候选待核实</x:v>
      </x:c>
      <x:c r="Z309" s="21" t="str">
        <x:v>Wikipedia高层建筑专题表；需补充独立来源核验</x:v>
      </x:c>
      <x:c r="AA309" s="21" t="str">
        <x:v>List of fires in high-rise buildings</x:v>
      </x:c>
      <x:c r="AB309" s="21" t="str">
        <x:v>Wikipedia专题列表</x:v>
      </x:c>
      <x:c r="AC309" s="21" t="str"/>
      <x:c r="AD309" s="21" t="n">
        <x:v>1</x:v>
      </x:c>
      <x:c r="AE309" s="21" t="str">
        <x:v>未检查</x:v>
      </x:c>
      <x:c r="AF309" s="21" t="str"/>
      <x:c r="AG309" s="24" t="n">
        <x:v>46260</x:v>
      </x:c>
      <x:c r="AH309" s="21" t="str"/>
      <x:c r="AI309" s="21" t="n">
        <x:v>1</x:v>
      </x:c>
      <x:c r="AJ309" s="21" t="str">
        <x:v>未评估（本事件表不建立热浪因果关系）</x:v>
      </x:c>
      <x:c r="AK309" s="21" t="str">
        <x:v>已有来源描述</x:v>
      </x:c>
    </x:row>
    <x:row r="310" ht="42" customHeight="1">
      <x:c r="A310" s="33" t="n">
        <x:v>309</x:v>
      </x:c>
      <x:c r="B310" s="33" t="str">
        <x:v>RAW-0309</x:v>
      </x:c>
      <x:c r="C310" s="36" t="str">
        <x:v>南美洲</x:v>
      </x:c>
      <x:c r="D310" s="36" t="str">
        <x:v>Venezuela</x:v>
      </x:c>
      <x:c r="E310" s="21" t="str">
        <x:v>Caracas</x:v>
      </x:c>
      <x:c r="F310" s="21" t="str">
        <x:v>Parque Central Complex east tower fire</x:v>
      </x:c>
      <x:c r="G310" s="39" t="n">
        <x:v>38277</x:v>
      </x:c>
      <x:c r="H310" s="21" t="str">
        <x:v>Parque Central Complex east tower高层建筑火灾；建筑高度记录为 255 m。死亡人数：0。Damage to 34th-44th floors</x:v>
      </x:c>
      <x:c r="I310" s="21" t="str">
        <x:v>未检索到/待核实</x:v>
      </x:c>
      <x:c r="J310" s="21" t="str">
        <x:v>死亡人数：0。Damage to 34th-44th floors</x:v>
      </x:c>
      <x:c r="K310" s="21" t="str">
        <x:v>https://en.wikipedia.org/wiki/List_of_fires_in_high-rise_buildings</x:v>
      </x:c>
      <x:c r="L310" s="27"/>
      <x:c r="M310" s="27"/>
      <x:c r="N310" s="21" t="str">
        <x:v>未提供坐标</x:v>
      </x:c>
      <x:c r="O310" s="21" t="str">
        <x:v>高层建筑火灾</x:v>
      </x:c>
      <x:c r="P310" s="21" t="str">
        <x:v>未检索到</x:v>
      </x:c>
      <x:c r="Q310" s="21" t="str">
        <x:v>255 m</x:v>
      </x:c>
      <x:c r="R310" s="21" t="str">
        <x:v>未检索到</x:v>
      </x:c>
      <x:c r="S310" s="21" t="str">
        <x:v>未检索到</x:v>
      </x:c>
      <x:c r="T310" s="42" t="n">
        <x:v>0</x:v>
      </x:c>
      <x:c r="U310" s="42"/>
      <x:c r="V310" s="42"/>
      <x:c r="W310" s="33" t="str">
        <x:v>C</x:v>
      </x:c>
      <x:c r="X310" s="33" t="str">
        <x:v>compendium_needs_independent_verification</x:v>
      </x:c>
      <x:c r="Y310" s="33" t="str">
        <x:v>候选待核实</x:v>
      </x:c>
      <x:c r="Z310" s="21" t="str">
        <x:v>Wikipedia高层建筑专题表；需补充独立来源核验</x:v>
      </x:c>
      <x:c r="AA310" s="21" t="str">
        <x:v>List of fires in high-rise buildings</x:v>
      </x:c>
      <x:c r="AB310" s="21" t="str">
        <x:v>Wikipedia专题列表</x:v>
      </x:c>
      <x:c r="AC310" s="21" t="str"/>
      <x:c r="AD310" s="21" t="n">
        <x:v>1</x:v>
      </x:c>
      <x:c r="AE310" s="21" t="str">
        <x:v>未检查</x:v>
      </x:c>
      <x:c r="AF310" s="21" t="str"/>
      <x:c r="AG310" s="24" t="n">
        <x:v>46260</x:v>
      </x:c>
      <x:c r="AH310" s="21" t="str"/>
      <x:c r="AI310" s="21" t="n">
        <x:v>1</x:v>
      </x:c>
      <x:c r="AJ310" s="21" t="str">
        <x:v>未评估（本事件表不建立热浪因果关系）</x:v>
      </x:c>
      <x:c r="AK310" s="21" t="str">
        <x:v>缺失/待核实</x:v>
      </x:c>
    </x:row>
    <x:row r="311" ht="42" customHeight="1">
      <x:c r="A311" s="33" t="n">
        <x:v>310</x:v>
      </x:c>
      <x:c r="B311" s="33" t="str">
        <x:v>RAW-0310</x:v>
      </x:c>
      <x:c r="C311" s="36" t="str">
        <x:v>北美洲</x:v>
      </x:c>
      <x:c r="D311" s="36" t="str">
        <x:v>United States</x:v>
      </x:c>
      <x:c r="E311" s="21" t="str">
        <x:v>Chicago</x:v>
      </x:c>
      <x:c r="F311" s="21" t="str">
        <x:v>LaSalle National Bank Building fire</x:v>
      </x:c>
      <x:c r="G311" s="39" t="n">
        <x:v>38328</x:v>
      </x:c>
      <x:c r="H311" s="21" t="str">
        <x:v>LaSalle National Bank Building高层建筑火灾；建筑高度记录为 163.1 m。死亡人数：0。25 injured</x:v>
      </x:c>
      <x:c r="I311" s="21" t="str">
        <x:v>未检索到/待核实</x:v>
      </x:c>
      <x:c r="J311" s="21" t="str">
        <x:v>死亡人数：0。25 injured</x:v>
      </x:c>
      <x:c r="K311" s="21" t="str">
        <x:v>https://www.chicagotribune.com/chi-0412070131dec07-story.html</x:v>
      </x:c>
      <x:c r="L311" s="27"/>
      <x:c r="M311" s="27"/>
      <x:c r="N311" s="21" t="str">
        <x:v>未提供坐标</x:v>
      </x:c>
      <x:c r="O311" s="21" t="str">
        <x:v>高层建筑火灾</x:v>
      </x:c>
      <x:c r="P311" s="21" t="str">
        <x:v>未检索到</x:v>
      </x:c>
      <x:c r="Q311" s="21" t="str">
        <x:v>163.1 m</x:v>
      </x:c>
      <x:c r="R311" s="21" t="str">
        <x:v>未检索到</x:v>
      </x:c>
      <x:c r="S311" s="21" t="str">
        <x:v>未检索到</x:v>
      </x:c>
      <x:c r="T311" s="42" t="n">
        <x:v>0</x:v>
      </x:c>
      <x:c r="U311" s="42"/>
      <x:c r="V311" s="42"/>
      <x:c r="W311" s="33" t="str">
        <x:v>C</x:v>
      </x:c>
      <x:c r="X311" s="33" t="str">
        <x:v>compendium_needs_independent_verification</x:v>
      </x:c>
      <x:c r="Y311" s="33" t="str">
        <x:v>候选待核实</x:v>
      </x:c>
      <x:c r="Z311" s="21" t="str">
        <x:v>Wikipedia高层建筑专题表；需补充独立来源核验</x:v>
      </x:c>
      <x:c r="AA311" s="21" t="str">
        <x:v>List of fires in high-rise buildings</x:v>
      </x:c>
      <x:c r="AB311" s="21" t="str">
        <x:v>Wikipedia专题列表</x:v>
      </x:c>
      <x:c r="AC311" s="21" t="str"/>
      <x:c r="AD311" s="21" t="n">
        <x:v>1</x:v>
      </x:c>
      <x:c r="AE311" s="21" t="str">
        <x:v>未检查</x:v>
      </x:c>
      <x:c r="AF311" s="21" t="str"/>
      <x:c r="AG311" s="24" t="n">
        <x:v>46260</x:v>
      </x:c>
      <x:c r="AH311" s="21" t="str"/>
      <x:c r="AI311" s="21" t="n">
        <x:v>1</x:v>
      </x:c>
      <x:c r="AJ311" s="21" t="str">
        <x:v>未评估（本事件表不建立热浪因果关系）</x:v>
      </x:c>
      <x:c r="AK311" s="21" t="str">
        <x:v>缺失/待核实</x:v>
      </x:c>
    </x:row>
    <x:row r="312" ht="42" customHeight="1">
      <x:c r="A312" s="33" t="n">
        <x:v>311</x:v>
      </x:c>
      <x:c r="B312" s="33" t="str">
        <x:v>RAW-0311</x:v>
      </x:c>
      <x:c r="C312" s="36" t="str">
        <x:v>欧洲</x:v>
      </x:c>
      <x:c r="D312" s="36" t="str">
        <x:v>United Kingdom</x:v>
      </x:c>
      <x:c r="E312" s="21" t="str">
        <x:v>Hertfordshire</x:v>
      </x:c>
      <x:c r="F312" s="21" t="str">
        <x:v>Harrow Court fire</x:v>
      </x:c>
      <x:c r="G312" s="39" t="n">
        <x:v>38385</x:v>
      </x:c>
      <x:c r="H312" s="21" t="str">
        <x:v>Harrow Court高层建筑火灾；建筑高度记录为 56.1 m。死亡人数：3。Harrow Court fire</x:v>
      </x:c>
      <x:c r="I312" s="21" t="str">
        <x:v>未检索到/待核实</x:v>
      </x:c>
      <x:c r="J312" s="21" t="str">
        <x:v>死亡人数：3。Harrow Court fire</x:v>
      </x:c>
      <x:c r="K312" s="21" t="str">
        <x:v>https://en.wikipedia.org/wiki/Harrow_Court_fire</x:v>
      </x:c>
      <x:c r="L312" s="27"/>
      <x:c r="M312" s="27"/>
      <x:c r="N312" s="21" t="str">
        <x:v>未提供坐标</x:v>
      </x:c>
      <x:c r="O312" s="21" t="str">
        <x:v>高层建筑火灾</x:v>
      </x:c>
      <x:c r="P312" s="21" t="str">
        <x:v>未检索到</x:v>
      </x:c>
      <x:c r="Q312" s="21" t="str">
        <x:v>56.1 m</x:v>
      </x:c>
      <x:c r="R312" s="21" t="str">
        <x:v>未检索到</x:v>
      </x:c>
      <x:c r="S312" s="21" t="str">
        <x:v>未检索到</x:v>
      </x:c>
      <x:c r="T312" s="42" t="n">
        <x:v>3</x:v>
      </x:c>
      <x:c r="U312" s="42"/>
      <x:c r="V312" s="42"/>
      <x:c r="W312" s="33" t="str">
        <x:v>B</x:v>
      </x:c>
      <x:c r="X312" s="33" t="str">
        <x:v>compendium_needs_independent_verification</x:v>
      </x:c>
      <x:c r="Y312" s="33" t="str">
        <x:v>候选待核实</x:v>
      </x:c>
      <x:c r="Z312" s="21" t="str">
        <x:v>Wikipedia具名事件页+高层建筑专题表</x:v>
      </x:c>
      <x:c r="AA312" s="21" t="str">
        <x:v>List of fires in high-rise buildings</x:v>
      </x:c>
      <x:c r="AB312" s="21" t="str">
        <x:v>Wikipedia专题列表</x:v>
      </x:c>
      <x:c r="AC312" s="21" t="str"/>
      <x:c r="AD312" s="21" t="n">
        <x:v>1</x:v>
      </x:c>
      <x:c r="AE312" s="21" t="str">
        <x:v>未检查</x:v>
      </x:c>
      <x:c r="AF312" s="21" t="str"/>
      <x:c r="AG312" s="24" t="n">
        <x:v>46260</x:v>
      </x:c>
      <x:c r="AH312" s="21" t="str"/>
      <x:c r="AI312" s="21" t="n">
        <x:v>1</x:v>
      </x:c>
      <x:c r="AJ312" s="21" t="str">
        <x:v>未评估（本事件表不建立热浪因果关系）</x:v>
      </x:c>
      <x:c r="AK312" s="21" t="str">
        <x:v>缺失/待核实</x:v>
      </x:c>
    </x:row>
    <x:row r="313" ht="42" customHeight="1">
      <x:c r="A313" s="33" t="n">
        <x:v>312</x:v>
      </x:c>
      <x:c r="B313" s="33" t="str">
        <x:v>RAW-0312</x:v>
      </x:c>
      <x:c r="C313" s="36" t="str">
        <x:v>欧洲</x:v>
      </x:c>
      <x:c r="D313" s="36" t="str">
        <x:v>Spain</x:v>
      </x:c>
      <x:c r="E313" s="21" t="str">
        <x:v>Madrid</x:v>
      </x:c>
      <x:c r="F313" s="21" t="str">
        <x:v>Windsor Tower fire</x:v>
      </x:c>
      <x:c r="G313" s="39" t="n">
        <x:v>38395</x:v>
      </x:c>
      <x:c r="H313" s="21" t="str">
        <x:v>Windsor Tower高层建筑火灾；建筑高度记录为 106 m。死亡人数：0。Partially collapsed; subsequently demolished</x:v>
      </x:c>
      <x:c r="I313" s="21" t="str">
        <x:v>未检索到/待核实</x:v>
      </x:c>
      <x:c r="J313" s="21" t="str">
        <x:v>死亡人数：0。Partially collapsed; subsequently demolished</x:v>
      </x:c>
      <x:c r="K313" s="21" t="str">
        <x:v>https://en.wikipedia.org/wiki/List_of_fires_in_high-rise_buildings</x:v>
      </x:c>
      <x:c r="L313" s="27"/>
      <x:c r="M313" s="27"/>
      <x:c r="N313" s="21" t="str">
        <x:v>未提供坐标</x:v>
      </x:c>
      <x:c r="O313" s="21" t="str">
        <x:v>高层建筑火灾</x:v>
      </x:c>
      <x:c r="P313" s="21" t="str">
        <x:v>未检索到</x:v>
      </x:c>
      <x:c r="Q313" s="21" t="str">
        <x:v>106 m</x:v>
      </x:c>
      <x:c r="R313" s="21" t="str">
        <x:v>未检索到</x:v>
      </x:c>
      <x:c r="S313" s="21" t="str">
        <x:v>未检索到</x:v>
      </x:c>
      <x:c r="T313" s="42" t="n">
        <x:v>0</x:v>
      </x:c>
      <x:c r="U313" s="42"/>
      <x:c r="V313" s="42"/>
      <x:c r="W313" s="33" t="str">
        <x:v>C</x:v>
      </x:c>
      <x:c r="X313" s="33" t="str">
        <x:v>compendium_needs_independent_verification</x:v>
      </x:c>
      <x:c r="Y313" s="33" t="str">
        <x:v>候选待核实</x:v>
      </x:c>
      <x:c r="Z313" s="21" t="str">
        <x:v>Wikipedia高层建筑专题表；需补充独立来源核验</x:v>
      </x:c>
      <x:c r="AA313" s="21" t="str">
        <x:v>List of fires in high-rise buildings</x:v>
      </x:c>
      <x:c r="AB313" s="21" t="str">
        <x:v>Wikipedia专题列表</x:v>
      </x:c>
      <x:c r="AC313" s="21" t="str"/>
      <x:c r="AD313" s="21" t="n">
        <x:v>1</x:v>
      </x:c>
      <x:c r="AE313" s="21" t="str">
        <x:v>未检查</x:v>
      </x:c>
      <x:c r="AF313" s="21" t="str"/>
      <x:c r="AG313" s="24" t="n">
        <x:v>46260</x:v>
      </x:c>
      <x:c r="AH313" s="21" t="str"/>
      <x:c r="AI313" s="21" t="n">
        <x:v>1</x:v>
      </x:c>
      <x:c r="AJ313" s="21" t="str">
        <x:v>未评估（本事件表不建立热浪因果关系）</x:v>
      </x:c>
      <x:c r="AK313" s="21" t="str">
        <x:v>缺失/待核实</x:v>
      </x:c>
    </x:row>
    <x:row r="314" ht="42" customHeight="1">
      <x:c r="A314" s="33" t="n">
        <x:v>313</x:v>
      </x:c>
      <x:c r="B314" s="33" t="str">
        <x:v>RAW-0313</x:v>
      </x:c>
      <x:c r="C314" s="36" t="str">
        <x:v>亚洲</x:v>
      </x:c>
      <x:c r="D314" s="36" t="str">
        <x:v>Iran</x:v>
      </x:c>
      <x:c r="E314" s="21" t="str">
        <x:v>Tehran</x:v>
      </x:c>
      <x:c r="F314" s="21" t="str">
        <x:v>Tohid Town Residential fire</x:v>
      </x:c>
      <x:c r="G314" s="39" t="n">
        <x:v>38692</x:v>
      </x:c>
      <x:c r="H314" s="21" t="str">
        <x:v>Tohid Town Residential高层建筑火灾；建筑高度记录为 33 m。死亡人数：106。Plane crash: 2005 Iranian Air Force C-130 crash</x:v>
      </x:c>
      <x:c r="I314" s="21" t="str">
        <x:v>Plane crash: 2005 Iranian Air Force C-130 crash</x:v>
      </x:c>
      <x:c r="J314" s="21" t="str">
        <x:v>死亡人数：106。Plane crash: 2005 Iranian Air Force C-130 crash</x:v>
      </x:c>
      <x:c r="K314" s="21" t="str">
        <x:v>https://en.wikipedia.org/wiki/List_of_fires_in_high-rise_buildings</x:v>
      </x:c>
      <x:c r="L314" s="27"/>
      <x:c r="M314" s="27"/>
      <x:c r="N314" s="21" t="str">
        <x:v>未提供坐标</x:v>
      </x:c>
      <x:c r="O314" s="21" t="str">
        <x:v>高层建筑火灾</x:v>
      </x:c>
      <x:c r="P314" s="21" t="str">
        <x:v>未检索到</x:v>
      </x:c>
      <x:c r="Q314" s="21" t="str">
        <x:v>33 m</x:v>
      </x:c>
      <x:c r="R314" s="21" t="str">
        <x:v>未检索到</x:v>
      </x:c>
      <x:c r="S314" s="21" t="str">
        <x:v>未检索到</x:v>
      </x:c>
      <x:c r="T314" s="42" t="n">
        <x:v>106</x:v>
      </x:c>
      <x:c r="U314" s="42"/>
      <x:c r="V314" s="42"/>
      <x:c r="W314" s="33" t="str">
        <x:v>C</x:v>
      </x:c>
      <x:c r="X314" s="33" t="str">
        <x:v>compendium_needs_independent_verification</x:v>
      </x:c>
      <x:c r="Y314" s="33" t="str">
        <x:v>候选待核实</x:v>
      </x:c>
      <x:c r="Z314" s="21" t="str">
        <x:v>Wikipedia高层建筑专题表；需补充独立来源核验</x:v>
      </x:c>
      <x:c r="AA314" s="21" t="str">
        <x:v>List of fires in high-rise buildings</x:v>
      </x:c>
      <x:c r="AB314" s="21" t="str">
        <x:v>Wikipedia专题列表</x:v>
      </x:c>
      <x:c r="AC314" s="21" t="str"/>
      <x:c r="AD314" s="21" t="n">
        <x:v>1</x:v>
      </x:c>
      <x:c r="AE314" s="21" t="str">
        <x:v>未检查</x:v>
      </x:c>
      <x:c r="AF314" s="21" t="str"/>
      <x:c r="AG314" s="24" t="n">
        <x:v>46260</x:v>
      </x:c>
      <x:c r="AH314" s="21" t="str"/>
      <x:c r="AI314" s="21" t="n">
        <x:v>1</x:v>
      </x:c>
      <x:c r="AJ314" s="21" t="str">
        <x:v>未评估（本事件表不建立热浪因果关系）</x:v>
      </x:c>
      <x:c r="AK314" s="21" t="str">
        <x:v>已有来源描述</x:v>
      </x:c>
    </x:row>
    <x:row r="315" ht="42" customHeight="1">
      <x:c r="A315" s="33" t="n">
        <x:v>314</x:v>
      </x:c>
      <x:c r="B315" s="33" t="str">
        <x:v>RAW-0314</x:v>
      </x:c>
      <x:c r="C315" s="36" t="str">
        <x:v>亚洲</x:v>
      </x:c>
      <x:c r="D315" s="36" t="str">
        <x:v>Kazakhstan</x:v>
      </x:c>
      <x:c r="E315" s="21" t="str">
        <x:v>Astana</x:v>
      </x:c>
      <x:c r="F315" s="21" t="str">
        <x:v>Transport Tower fire</x:v>
      </x:c>
      <x:c r="G315" s="39" t="n">
        <x:v>38867</x:v>
      </x:c>
      <x:c r="H315" s="21" t="str">
        <x:v>Transport Tower高层建筑火灾；建筑高度记录为 112.2 m。死亡人数：0。Fire destroyed upper floors of 34-story government building</x:v>
      </x:c>
      <x:c r="I315" s="21" t="str">
        <x:v>未检索到/待核实</x:v>
      </x:c>
      <x:c r="J315" s="21" t="str">
        <x:v>死亡人数：0。Fire destroyed upper floors of 34-story government building</x:v>
      </x:c>
      <x:c r="K315" s="21" t="str">
        <x:v>https://en.wikipedia.org/wiki/List_of_fires_in_high-rise_buildings</x:v>
      </x:c>
      <x:c r="L315" s="27"/>
      <x:c r="M315" s="27"/>
      <x:c r="N315" s="21" t="str">
        <x:v>未提供坐标</x:v>
      </x:c>
      <x:c r="O315" s="21" t="str">
        <x:v>高层建筑火灾</x:v>
      </x:c>
      <x:c r="P315" s="21" t="str">
        <x:v>未检索到</x:v>
      </x:c>
      <x:c r="Q315" s="21" t="str">
        <x:v>112.2 m</x:v>
      </x:c>
      <x:c r="R315" s="21" t="str">
        <x:v>未检索到</x:v>
      </x:c>
      <x:c r="S315" s="21" t="str">
        <x:v>未检索到</x:v>
      </x:c>
      <x:c r="T315" s="42" t="n">
        <x:v>0</x:v>
      </x:c>
      <x:c r="U315" s="42"/>
      <x:c r="V315" s="42"/>
      <x:c r="W315" s="33" t="str">
        <x:v>C</x:v>
      </x:c>
      <x:c r="X315" s="33" t="str">
        <x:v>compendium_needs_independent_verification</x:v>
      </x:c>
      <x:c r="Y315" s="33" t="str">
        <x:v>候选待核实</x:v>
      </x:c>
      <x:c r="Z315" s="21" t="str">
        <x:v>Wikipedia高层建筑专题表；需补充独立来源核验</x:v>
      </x:c>
      <x:c r="AA315" s="21" t="str">
        <x:v>List of fires in high-rise buildings</x:v>
      </x:c>
      <x:c r="AB315" s="21" t="str">
        <x:v>Wikipedia专题列表</x:v>
      </x:c>
      <x:c r="AC315" s="21" t="str"/>
      <x:c r="AD315" s="21" t="n">
        <x:v>1</x:v>
      </x:c>
      <x:c r="AE315" s="21" t="str">
        <x:v>未检查</x:v>
      </x:c>
      <x:c r="AF315" s="21" t="str"/>
      <x:c r="AG315" s="24" t="n">
        <x:v>46260</x:v>
      </x:c>
      <x:c r="AH315" s="21" t="str"/>
      <x:c r="AI315" s="21" t="n">
        <x:v>1</x:v>
      </x:c>
      <x:c r="AJ315" s="21" t="str">
        <x:v>未评估（本事件表不建立热浪因果关系）</x:v>
      </x:c>
      <x:c r="AK315" s="21" t="str">
        <x:v>缺失/待核实</x:v>
      </x:c>
    </x:row>
    <x:row r="316" ht="42" customHeight="1">
      <x:c r="A316" s="33" t="n">
        <x:v>315</x:v>
      </x:c>
      <x:c r="B316" s="33" t="str">
        <x:v>RAW-0315</x:v>
      </x:c>
      <x:c r="C316" s="36" t="str">
        <x:v>北美洲</x:v>
      </x:c>
      <x:c r="D316" s="36" t="str">
        <x:v>United States</x:v>
      </x:c>
      <x:c r="E316" s="21" t="str">
        <x:v>New York City</x:v>
      </x:c>
      <x:c r="F316" s="21" t="str">
        <x:v>Belaire Apartments fire</x:v>
      </x:c>
      <x:c r="G316" s="39" t="n">
        <x:v>39001</x:v>
      </x:c>
      <x:c r="H316" s="21" t="str">
        <x:v>Belaire Apartments高层建筑火灾；建筑高度记录为 156 m。死亡人数：2。Plane crash</x:v>
      </x:c>
      <x:c r="I316" s="21" t="str">
        <x:v>Plane crash</x:v>
      </x:c>
      <x:c r="J316" s="21" t="str">
        <x:v>死亡人数：2。Plane crash</x:v>
      </x:c>
      <x:c r="K316" s="21" t="str">
        <x:v>https://en.wikipedia.org/wiki/List_of_fires_in_high-rise_buildings</x:v>
      </x:c>
      <x:c r="L316" s="27"/>
      <x:c r="M316" s="27"/>
      <x:c r="N316" s="21" t="str">
        <x:v>未提供坐标</x:v>
      </x:c>
      <x:c r="O316" s="21" t="str">
        <x:v>高层建筑火灾</x:v>
      </x:c>
      <x:c r="P316" s="21" t="str">
        <x:v>未检索到</x:v>
      </x:c>
      <x:c r="Q316" s="21" t="str">
        <x:v>156 m</x:v>
      </x:c>
      <x:c r="R316" s="21" t="str">
        <x:v>未检索到</x:v>
      </x:c>
      <x:c r="S316" s="21" t="str">
        <x:v>未检索到</x:v>
      </x:c>
      <x:c r="T316" s="42" t="n">
        <x:v>2</x:v>
      </x:c>
      <x:c r="U316" s="42"/>
      <x:c r="V316" s="42"/>
      <x:c r="W316" s="33" t="str">
        <x:v>C</x:v>
      </x:c>
      <x:c r="X316" s="33" t="str">
        <x:v>compendium_needs_independent_verification</x:v>
      </x:c>
      <x:c r="Y316" s="33" t="str">
        <x:v>候选待核实</x:v>
      </x:c>
      <x:c r="Z316" s="21" t="str">
        <x:v>Wikipedia高层建筑专题表；需补充独立来源核验</x:v>
      </x:c>
      <x:c r="AA316" s="21" t="str">
        <x:v>List of fires in high-rise buildings</x:v>
      </x:c>
      <x:c r="AB316" s="21" t="str">
        <x:v>Wikipedia专题列表</x:v>
      </x:c>
      <x:c r="AC316" s="21" t="str"/>
      <x:c r="AD316" s="21" t="n">
        <x:v>1</x:v>
      </x:c>
      <x:c r="AE316" s="21" t="str">
        <x:v>未检查</x:v>
      </x:c>
      <x:c r="AF316" s="21" t="str"/>
      <x:c r="AG316" s="24" t="n">
        <x:v>46260</x:v>
      </x:c>
      <x:c r="AH316" s="21" t="str"/>
      <x:c r="AI316" s="21" t="n">
        <x:v>1</x:v>
      </x:c>
      <x:c r="AJ316" s="21" t="str">
        <x:v>未评估（本事件表不建立热浪因果关系）</x:v>
      </x:c>
      <x:c r="AK316" s="21" t="str">
        <x:v>已有来源描述</x:v>
      </x:c>
    </x:row>
    <x:row r="317" ht="42" customHeight="1">
      <x:c r="A317" s="33" t="n">
        <x:v>316</x:v>
      </x:c>
      <x:c r="B317" s="33" t="str">
        <x:v>RAW-0316</x:v>
      </x:c>
      <x:c r="C317" s="36" t="str">
        <x:v>亚洲</x:v>
      </x:c>
      <x:c r="D317" s="36" t="str">
        <x:v>United Arab Emirates</x:v>
      </x:c>
      <x:c r="E317" s="21" t="str">
        <x:v>Dubai</x:v>
      </x:c>
      <x:c r="F317" s="21" t="str">
        <x:v>Fortune Tower fire</x:v>
      </x:c>
      <x:c r="G317" s="39" t="n">
        <x:v>39100</x:v>
      </x:c>
      <x:c r="H317" s="21" t="str">
        <x:v>Fortune Tower高层建筑火灾；建筑高度记录为 未列明。死亡人数：4。Occurred during construction, 57 injured</x:v>
      </x:c>
      <x:c r="I317" s="21" t="str">
        <x:v>未检索到/待核实</x:v>
      </x:c>
      <x:c r="J317" s="21" t="str">
        <x:v>死亡人数：4。Occurred during construction, 57 injured</x:v>
      </x:c>
      <x:c r="K317" s="21" t="str">
        <x:v>https://en.wikipedia.org/wiki/List_of_fires_in_high-rise_buildings</x:v>
      </x:c>
      <x:c r="L317" s="27"/>
      <x:c r="M317" s="27"/>
      <x:c r="N317" s="21" t="str">
        <x:v>未提供坐标</x:v>
      </x:c>
      <x:c r="O317" s="21" t="str">
        <x:v>高层建筑火灾</x:v>
      </x:c>
      <x:c r="P317" s="21" t="str">
        <x:v>未检索到</x:v>
      </x:c>
      <x:c r="Q317" s="21" t="str">
        <x:v>未检索到</x:v>
      </x:c>
      <x:c r="R317" s="21" t="str">
        <x:v>未检索到</x:v>
      </x:c>
      <x:c r="S317" s="21" t="str">
        <x:v>未检索到</x:v>
      </x:c>
      <x:c r="T317" s="42" t="n">
        <x:v>4</x:v>
      </x:c>
      <x:c r="U317" s="42"/>
      <x:c r="V317" s="42"/>
      <x:c r="W317" s="33" t="str">
        <x:v>C</x:v>
      </x:c>
      <x:c r="X317" s="33" t="str">
        <x:v>compendium_needs_independent_verification</x:v>
      </x:c>
      <x:c r="Y317" s="33" t="str">
        <x:v>候选待核实</x:v>
      </x:c>
      <x:c r="Z317" s="21" t="str">
        <x:v>Wikipedia高层建筑专题表；需补充独立来源核验</x:v>
      </x:c>
      <x:c r="AA317" s="21" t="str">
        <x:v>List of fires in high-rise buildings</x:v>
      </x:c>
      <x:c r="AB317" s="21" t="str">
        <x:v>Wikipedia专题列表</x:v>
      </x:c>
      <x:c r="AC317" s="21" t="str"/>
      <x:c r="AD317" s="21" t="n">
        <x:v>1</x:v>
      </x:c>
      <x:c r="AE317" s="21" t="str">
        <x:v>未检查</x:v>
      </x:c>
      <x:c r="AF317" s="21" t="str"/>
      <x:c r="AG317" s="24" t="n">
        <x:v>46260</x:v>
      </x:c>
      <x:c r="AH317" s="21" t="str"/>
      <x:c r="AI317" s="21" t="n">
        <x:v>1</x:v>
      </x:c>
      <x:c r="AJ317" s="21" t="str">
        <x:v>未评估（本事件表不建立热浪因果关系）</x:v>
      </x:c>
      <x:c r="AK317" s="21" t="str">
        <x:v>缺失/待核实</x:v>
      </x:c>
    </x:row>
    <x:row r="318" ht="42" customHeight="1">
      <x:c r="A318" s="33" t="n">
        <x:v>317</x:v>
      </x:c>
      <x:c r="B318" s="33" t="str">
        <x:v>RAW-0317</x:v>
      </x:c>
      <x:c r="C318" s="36" t="str">
        <x:v>亚洲</x:v>
      </x:c>
      <x:c r="D318" s="36" t="str">
        <x:v>China</x:v>
      </x:c>
      <x:c r="E318" s="21" t="str">
        <x:v>Shanghai</x:v>
      </x:c>
      <x:c r="F318" s="21" t="str">
        <x:v>Shanghai World Financial Center fire</x:v>
      </x:c>
      <x:c r="G318" s="39" t="n">
        <x:v>39308</x:v>
      </x:c>
      <x:c r="H318" s="21" t="str">
        <x:v>Shanghai World Financial Center高层建筑火灾；建筑高度记录为 494.3 m。死亡人数：0。Occurred on 40th floor during construction</x:v>
      </x:c>
      <x:c r="I318" s="21" t="str">
        <x:v>未检索到/待核实</x:v>
      </x:c>
      <x:c r="J318" s="21" t="str">
        <x:v>死亡人数：0。Occurred on 40th floor during construction</x:v>
      </x:c>
      <x:c r="K318" s="21" t="str">
        <x:v>https://en.wikipedia.org/wiki/List_of_fires_in_high-rise_buildings</x:v>
      </x:c>
      <x:c r="L318" s="27"/>
      <x:c r="M318" s="27"/>
      <x:c r="N318" s="21" t="str">
        <x:v>未提供坐标</x:v>
      </x:c>
      <x:c r="O318" s="21" t="str">
        <x:v>高层建筑火灾</x:v>
      </x:c>
      <x:c r="P318" s="21" t="str">
        <x:v>未检索到</x:v>
      </x:c>
      <x:c r="Q318" s="21" t="str">
        <x:v>494.3 m</x:v>
      </x:c>
      <x:c r="R318" s="21" t="str">
        <x:v>未检索到</x:v>
      </x:c>
      <x:c r="S318" s="21" t="str">
        <x:v>未检索到</x:v>
      </x:c>
      <x:c r="T318" s="42" t="n">
        <x:v>0</x:v>
      </x:c>
      <x:c r="U318" s="42"/>
      <x:c r="V318" s="42"/>
      <x:c r="W318" s="33" t="str">
        <x:v>C</x:v>
      </x:c>
      <x:c r="X318" s="33" t="str">
        <x:v>compendium_needs_independent_verification</x:v>
      </x:c>
      <x:c r="Y318" s="33" t="str">
        <x:v>候选待核实</x:v>
      </x:c>
      <x:c r="Z318" s="21" t="str">
        <x:v>Wikipedia高层建筑专题表；需补充独立来源核验</x:v>
      </x:c>
      <x:c r="AA318" s="21" t="str">
        <x:v>List of fires in high-rise buildings</x:v>
      </x:c>
      <x:c r="AB318" s="21" t="str">
        <x:v>Wikipedia专题列表</x:v>
      </x:c>
      <x:c r="AC318" s="21" t="str"/>
      <x:c r="AD318" s="21" t="n">
        <x:v>1</x:v>
      </x:c>
      <x:c r="AE318" s="21" t="str">
        <x:v>未检查</x:v>
      </x:c>
      <x:c r="AF318" s="21" t="str"/>
      <x:c r="AG318" s="24" t="n">
        <x:v>46260</x:v>
      </x:c>
      <x:c r="AH318" s="21" t="str"/>
      <x:c r="AI318" s="21" t="n">
        <x:v>1</x:v>
      </x:c>
      <x:c r="AJ318" s="21" t="str">
        <x:v>未评估（本事件表不建立热浪因果关系）</x:v>
      </x:c>
      <x:c r="AK318" s="21" t="str">
        <x:v>缺失/待核实</x:v>
      </x:c>
    </x:row>
    <x:row r="319" ht="42" customHeight="1">
      <x:c r="A319" s="33" t="n">
        <x:v>318</x:v>
      </x:c>
      <x:c r="B319" s="33" t="str">
        <x:v>RAW-0318</x:v>
      </x:c>
      <x:c r="C319" s="36" t="str">
        <x:v>北美洲</x:v>
      </x:c>
      <x:c r="D319" s="36" t="str">
        <x:v>United States</x:v>
      </x:c>
      <x:c r="E319" s="21" t="str">
        <x:v>New York City</x:v>
      </x:c>
      <x:c r="F319" s="21" t="str">
        <x:v>Deutsche Bank Building fire</x:v>
      </x:c>
      <x:c r="G319" s="39" t="n">
        <x:v>39312</x:v>
      </x:c>
      <x:c r="H319" s="21" t="str">
        <x:v>Deutsche Bank Building高层建筑火灾；建筑高度记录为 157.6 m。死亡人数：2。Occurred during dismantling, demolished due to damage from the September 11 attacks</x:v>
      </x:c>
      <x:c r="I319" s="21" t="str">
        <x:v>未检索到/待核实</x:v>
      </x:c>
      <x:c r="J319" s="21" t="str">
        <x:v>死亡人数：2。Occurred during dismantling, demolished due to damage from the September 11 attacks</x:v>
      </x:c>
      <x:c r="K319" s="21" t="str">
        <x:v>https://en.wikipedia.org/wiki/List_of_fires_in_high-rise_buildings</x:v>
      </x:c>
      <x:c r="L319" s="27"/>
      <x:c r="M319" s="27"/>
      <x:c r="N319" s="21" t="str">
        <x:v>未提供坐标</x:v>
      </x:c>
      <x:c r="O319" s="21" t="str">
        <x:v>高层建筑火灾</x:v>
      </x:c>
      <x:c r="P319" s="21" t="str">
        <x:v>未检索到</x:v>
      </x:c>
      <x:c r="Q319" s="21" t="str">
        <x:v>157.6 m</x:v>
      </x:c>
      <x:c r="R319" s="21" t="str">
        <x:v>未检索到</x:v>
      </x:c>
      <x:c r="S319" s="21" t="str">
        <x:v>未检索到</x:v>
      </x:c>
      <x:c r="T319" s="42" t="n">
        <x:v>2</x:v>
      </x:c>
      <x:c r="U319" s="42"/>
      <x:c r="V319" s="42"/>
      <x:c r="W319" s="33" t="str">
        <x:v>C</x:v>
      </x:c>
      <x:c r="X319" s="33" t="str">
        <x:v>compendium_needs_independent_verification</x:v>
      </x:c>
      <x:c r="Y319" s="33" t="str">
        <x:v>候选待核实</x:v>
      </x:c>
      <x:c r="Z319" s="21" t="str">
        <x:v>Wikipedia高层建筑专题表；需补充独立来源核验</x:v>
      </x:c>
      <x:c r="AA319" s="21" t="str">
        <x:v>List of fires in high-rise buildings</x:v>
      </x:c>
      <x:c r="AB319" s="21" t="str">
        <x:v>Wikipedia专题列表</x:v>
      </x:c>
      <x:c r="AC319" s="21" t="str"/>
      <x:c r="AD319" s="21" t="n">
        <x:v>1</x:v>
      </x:c>
      <x:c r="AE319" s="21" t="str">
        <x:v>未检查</x:v>
      </x:c>
      <x:c r="AF319" s="21" t="str"/>
      <x:c r="AG319" s="24" t="n">
        <x:v>46260</x:v>
      </x:c>
      <x:c r="AH319" s="21" t="str"/>
      <x:c r="AI319" s="21" t="n">
        <x:v>1</x:v>
      </x:c>
      <x:c r="AJ319" s="21" t="str">
        <x:v>未评估（本事件表不建立热浪因果关系）</x:v>
      </x:c>
      <x:c r="AK319" s="21" t="str">
        <x:v>缺失/待核实</x:v>
      </x:c>
    </x:row>
    <x:row r="320" ht="42" customHeight="1">
      <x:c r="A320" s="33" t="n">
        <x:v>319</x:v>
      </x:c>
      <x:c r="B320" s="33" t="str">
        <x:v>RAW-0319</x:v>
      </x:c>
      <x:c r="C320" s="36" t="str">
        <x:v>未判定</x:v>
      </x:c>
      <x:c r="D320" s="36" t="str">
        <x:v>The Netherlands</x:v>
      </x:c>
      <x:c r="E320" s="21" t="str">
        <x:v>Delft</x:v>
      </x:c>
      <x:c r="F320" s="21" t="str">
        <x:v>TU Delft Faculteitsgebouw Bouwkunde fire</x:v>
      </x:c>
      <x:c r="G320" s="39" t="n">
        <x:v>39551</x:v>
      </x:c>
      <x:c r="H320" s="21" t="str">
        <x:v>TU Delft Faculteitsgebouw Bouwkunde高层建筑火灾；建筑高度记录为 56 m。死亡人数：0。A broken water pipe on the 8th floor caused a short circuit in a coffee machine a floor below, resulting in a fire. The building was demolished afterwards.</x:v>
      </x:c>
      <x:c r="I320" s="21" t="str">
        <x:v>A broken water pipe on the 8th floor caused a short circuit in a coffee machine a floor below, resulting in a fire.</x:v>
      </x:c>
      <x:c r="J320" s="21" t="str">
        <x:v>死亡人数：0。A broken water pipe on the 8th floor caused a short circuit in a coffee machine a floor below, resulting in a fire. The building was demolished afterwards.</x:v>
      </x:c>
      <x:c r="K320" s="21" t="str">
        <x:v>https://architectenweb.nl/nieuws/artikel.aspx?ID=14108</x:v>
      </x:c>
      <x:c r="L320" s="27"/>
      <x:c r="M320" s="27"/>
      <x:c r="N320" s="21" t="str">
        <x:v>未提供坐标</x:v>
      </x:c>
      <x:c r="O320" s="21" t="str">
        <x:v>高层建筑火灾</x:v>
      </x:c>
      <x:c r="P320" s="21" t="str">
        <x:v>未检索到</x:v>
      </x:c>
      <x:c r="Q320" s="21" t="str">
        <x:v>56 m</x:v>
      </x:c>
      <x:c r="R320" s="21" t="str">
        <x:v>未检索到</x:v>
      </x:c>
      <x:c r="S320" s="21" t="str">
        <x:v>未检索到</x:v>
      </x:c>
      <x:c r="T320" s="42" t="n">
        <x:v>0</x:v>
      </x:c>
      <x:c r="U320" s="42"/>
      <x:c r="V320" s="42"/>
      <x:c r="W320" s="33" t="str">
        <x:v>C</x:v>
      </x:c>
      <x:c r="X320" s="33" t="str">
        <x:v>compendium_needs_independent_verification</x:v>
      </x:c>
      <x:c r="Y320" s="33" t="str">
        <x:v>候选待核实</x:v>
      </x:c>
      <x:c r="Z320" s="21" t="str">
        <x:v>Wikipedia高层建筑专题表；需补充独立来源核验</x:v>
      </x:c>
      <x:c r="AA320" s="21" t="str">
        <x:v>List of fires in high-rise buildings</x:v>
      </x:c>
      <x:c r="AB320" s="21" t="str">
        <x:v>Wikipedia专题列表</x:v>
      </x:c>
      <x:c r="AC320" s="21" t="str"/>
      <x:c r="AD320" s="21" t="n">
        <x:v>1</x:v>
      </x:c>
      <x:c r="AE320" s="21" t="str">
        <x:v>未检查</x:v>
      </x:c>
      <x:c r="AF320" s="21" t="str"/>
      <x:c r="AG320" s="24" t="n">
        <x:v>46260</x:v>
      </x:c>
      <x:c r="AH320" s="21" t="str"/>
      <x:c r="AI320" s="21" t="n">
        <x:v>1</x:v>
      </x:c>
      <x:c r="AJ320" s="21" t="str">
        <x:v>未评估（本事件表不建立热浪因果关系）</x:v>
      </x:c>
      <x:c r="AK320" s="21" t="str">
        <x:v>已有来源描述</x:v>
      </x:c>
    </x:row>
    <x:row r="321" ht="42" customHeight="1">
      <x:c r="A321" s="33" t="n">
        <x:v>320</x:v>
      </x:c>
      <x:c r="B321" s="33" t="str">
        <x:v>RAW-0320</x:v>
      </x:c>
      <x:c r="C321" s="36" t="str">
        <x:v>亚洲</x:v>
      </x:c>
      <x:c r="D321" s="36" t="str">
        <x:v>Saudi Arabia</x:v>
      </x:c>
      <x:c r="E321" s="21" t="str">
        <x:v>Mecca</x:v>
      </x:c>
      <x:c r="F321" s="21" t="str">
        <x:v>Abraj Al Bait Towers fire</x:v>
      </x:c>
      <x:c r="G321" s="39" t="n">
        <x:v>39749</x:v>
      </x:c>
      <x:c r="H321" s="21" t="str">
        <x:v>Abraj Al Bait Towers高层建筑火灾；建筑高度记录为 601 m。死亡人数：0。Occurred during construction; fire consumed nine floors</x:v>
      </x:c>
      <x:c r="I321" s="21" t="str">
        <x:v>未检索到/待核实</x:v>
      </x:c>
      <x:c r="J321" s="21" t="str">
        <x:v>死亡人数：0。Occurred during construction; fire consumed nine floors</x:v>
      </x:c>
      <x:c r="K321" s="21" t="str">
        <x:v>https://en.wikipedia.org/wiki/List_of_fires_in_high-rise_buildings</x:v>
      </x:c>
      <x:c r="L321" s="27"/>
      <x:c r="M321" s="27"/>
      <x:c r="N321" s="21" t="str">
        <x:v>未提供坐标</x:v>
      </x:c>
      <x:c r="O321" s="21" t="str">
        <x:v>高层建筑火灾</x:v>
      </x:c>
      <x:c r="P321" s="21" t="str">
        <x:v>未检索到</x:v>
      </x:c>
      <x:c r="Q321" s="21" t="str">
        <x:v>601 m</x:v>
      </x:c>
      <x:c r="R321" s="21" t="str">
        <x:v>未检索到</x:v>
      </x:c>
      <x:c r="S321" s="21" t="str">
        <x:v>未检索到</x:v>
      </x:c>
      <x:c r="T321" s="42" t="n">
        <x:v>0</x:v>
      </x:c>
      <x:c r="U321" s="42"/>
      <x:c r="V321" s="42"/>
      <x:c r="W321" s="33" t="str">
        <x:v>C</x:v>
      </x:c>
      <x:c r="X321" s="33" t="str">
        <x:v>compendium_needs_independent_verification</x:v>
      </x:c>
      <x:c r="Y321" s="33" t="str">
        <x:v>候选待核实</x:v>
      </x:c>
      <x:c r="Z321" s="21" t="str">
        <x:v>Wikipedia高层建筑专题表；需补充独立来源核验</x:v>
      </x:c>
      <x:c r="AA321" s="21" t="str">
        <x:v>List of fires in high-rise buildings</x:v>
      </x:c>
      <x:c r="AB321" s="21" t="str">
        <x:v>Wikipedia专题列表</x:v>
      </x:c>
      <x:c r="AC321" s="21" t="str"/>
      <x:c r="AD321" s="21" t="n">
        <x:v>1</x:v>
      </x:c>
      <x:c r="AE321" s="21" t="str">
        <x:v>未检查</x:v>
      </x:c>
      <x:c r="AF321" s="21" t="str"/>
      <x:c r="AG321" s="24" t="n">
        <x:v>46260</x:v>
      </x:c>
      <x:c r="AH321" s="21" t="str"/>
      <x:c r="AI321" s="21" t="n">
        <x:v>1</x:v>
      </x:c>
      <x:c r="AJ321" s="21" t="str">
        <x:v>未评估（本事件表不建立热浪因果关系）</x:v>
      </x:c>
      <x:c r="AK321" s="21" t="str">
        <x:v>缺失/待核实</x:v>
      </x:c>
    </x:row>
    <x:row r="322" ht="42" customHeight="1">
      <x:c r="A322" s="33" t="n">
        <x:v>321</x:v>
      </x:c>
      <x:c r="B322" s="33" t="str">
        <x:v>RAW-0321</x:v>
      </x:c>
      <x:c r="C322" s="36" t="str">
        <x:v>亚洲</x:v>
      </x:c>
      <x:c r="D322" s="36" t="str">
        <x:v>China</x:v>
      </x:c>
      <x:c r="E322" s="21" t="str">
        <x:v>Beijing</x:v>
      </x:c>
      <x:c r="F322" s="21" t="str">
        <x:v>Beijing Television Cultural Center fire</x:v>
      </x:c>
      <x:c r="G322" s="39" t="n">
        <x:v>39853</x:v>
      </x:c>
      <x:c r="H322" s="21" t="str">
        <x:v>Beijing Television Cultural Center高层建筑火灾；建筑高度记录为 159 m。死亡人数：1。Beijing Television Cultural Center fire</x:v>
      </x:c>
      <x:c r="I322" s="21" t="str">
        <x:v>未检索到/待核实</x:v>
      </x:c>
      <x:c r="J322" s="21" t="str">
        <x:v>死亡人数：1。Beijing Television Cultural Center fire</x:v>
      </x:c>
      <x:c r="K322" s="21" t="str">
        <x:v>https://en.wikipedia.org/wiki/Beijing_Television_Cultural_Center_fire</x:v>
      </x:c>
      <x:c r="L322" s="27"/>
      <x:c r="M322" s="27"/>
      <x:c r="N322" s="21" t="str">
        <x:v>未提供坐标</x:v>
      </x:c>
      <x:c r="O322" s="21" t="str">
        <x:v>高层建筑火灾</x:v>
      </x:c>
      <x:c r="P322" s="21" t="str">
        <x:v>未检索到</x:v>
      </x:c>
      <x:c r="Q322" s="21" t="str">
        <x:v>159 m</x:v>
      </x:c>
      <x:c r="R322" s="21" t="str">
        <x:v>未检索到</x:v>
      </x:c>
      <x:c r="S322" s="21" t="str">
        <x:v>未检索到</x:v>
      </x:c>
      <x:c r="T322" s="42" t="n">
        <x:v>1</x:v>
      </x:c>
      <x:c r="U322" s="42"/>
      <x:c r="V322" s="42"/>
      <x:c r="W322" s="33" t="str">
        <x:v>B</x:v>
      </x:c>
      <x:c r="X322" s="33" t="str">
        <x:v>compendium_needs_independent_verification</x:v>
      </x:c>
      <x:c r="Y322" s="33" t="str">
        <x:v>候选待核实</x:v>
      </x:c>
      <x:c r="Z322" s="21" t="str">
        <x:v>Wikipedia具名事件页+高层建筑专题表</x:v>
      </x:c>
      <x:c r="AA322" s="21" t="str">
        <x:v>List of fires in high-rise buildings</x:v>
      </x:c>
      <x:c r="AB322" s="21" t="str">
        <x:v>Wikipedia专题列表</x:v>
      </x:c>
      <x:c r="AC322" s="21" t="str"/>
      <x:c r="AD322" s="21" t="n">
        <x:v>1</x:v>
      </x:c>
      <x:c r="AE322" s="21" t="str">
        <x:v>未检查</x:v>
      </x:c>
      <x:c r="AF322" s="21" t="str"/>
      <x:c r="AG322" s="24" t="n">
        <x:v>46260</x:v>
      </x:c>
      <x:c r="AH322" s="21" t="str"/>
      <x:c r="AI322" s="21" t="n">
        <x:v>1</x:v>
      </x:c>
      <x:c r="AJ322" s="21" t="str">
        <x:v>未评估（本事件表不建立热浪因果关系）</x:v>
      </x:c>
      <x:c r="AK322" s="21" t="str">
        <x:v>缺失/待核实</x:v>
      </x:c>
    </x:row>
    <x:row r="323" ht="42" customHeight="1">
      <x:c r="A323" s="33" t="n">
        <x:v>322</x:v>
      </x:c>
      <x:c r="B323" s="33" t="str">
        <x:v>RAW-0322</x:v>
      </x:c>
      <x:c r="C323" s="36" t="str">
        <x:v>亚洲</x:v>
      </x:c>
      <x:c r="D323" s="36" t="str">
        <x:v>Bangladesh</x:v>
      </x:c>
      <x:c r="E323" s="21" t="str">
        <x:v>Dhaka</x:v>
      </x:c>
      <x:c r="F323" s="21" t="str">
        <x:v>Bashundhara City Tower fire</x:v>
      </x:c>
      <x:c r="G323" s="39" t="n">
        <x:v>39885</x:v>
      </x:c>
      <x:c r="H323" s="21" t="str">
        <x:v>Bashundhara City Tower高层建筑火灾；建筑高度记录为 62.7 m。死亡人数：4。</x:v>
      </x:c>
      <x:c r="I323" s="21" t="str">
        <x:v>未检索到/待核实</x:v>
      </x:c>
      <x:c r="J323" s="21" t="str">
        <x:v>死亡人数：4。</x:v>
      </x:c>
      <x:c r="K323" s="21" t="str">
        <x:v>https://en.wikipedia.org/wiki/List_of_fires_in_high-rise_buildings</x:v>
      </x:c>
      <x:c r="L323" s="27"/>
      <x:c r="M323" s="27"/>
      <x:c r="N323" s="21" t="str">
        <x:v>未提供坐标</x:v>
      </x:c>
      <x:c r="O323" s="21" t="str">
        <x:v>高层建筑火灾</x:v>
      </x:c>
      <x:c r="P323" s="21" t="str">
        <x:v>未检索到</x:v>
      </x:c>
      <x:c r="Q323" s="21" t="str">
        <x:v>62.7 m</x:v>
      </x:c>
      <x:c r="R323" s="21" t="str">
        <x:v>未检索到</x:v>
      </x:c>
      <x:c r="S323" s="21" t="str">
        <x:v>未检索到</x:v>
      </x:c>
      <x:c r="T323" s="42" t="n">
        <x:v>4</x:v>
      </x:c>
      <x:c r="U323" s="42"/>
      <x:c r="V323" s="42"/>
      <x:c r="W323" s="33" t="str">
        <x:v>C</x:v>
      </x:c>
      <x:c r="X323" s="33" t="str">
        <x:v>compendium_needs_independent_verification</x:v>
      </x:c>
      <x:c r="Y323" s="33" t="str">
        <x:v>候选待核实</x:v>
      </x:c>
      <x:c r="Z323" s="21" t="str">
        <x:v>Wikipedia高层建筑专题表；需补充独立来源核验</x:v>
      </x:c>
      <x:c r="AA323" s="21" t="str">
        <x:v>List of fires in high-rise buildings</x:v>
      </x:c>
      <x:c r="AB323" s="21" t="str">
        <x:v>Wikipedia专题列表</x:v>
      </x:c>
      <x:c r="AC323" s="21" t="str"/>
      <x:c r="AD323" s="21" t="n">
        <x:v>1</x:v>
      </x:c>
      <x:c r="AE323" s="21" t="str">
        <x:v>未检查</x:v>
      </x:c>
      <x:c r="AF323" s="21" t="str"/>
      <x:c r="AG323" s="24" t="n">
        <x:v>46260</x:v>
      </x:c>
      <x:c r="AH323" s="21" t="str"/>
      <x:c r="AI323" s="21" t="n">
        <x:v>1</x:v>
      </x:c>
      <x:c r="AJ323" s="21" t="str">
        <x:v>未评估（本事件表不建立热浪因果关系）</x:v>
      </x:c>
      <x:c r="AK323" s="21" t="str">
        <x:v>缺失/待核实</x:v>
      </x:c>
    </x:row>
    <x:row r="324" ht="42" customHeight="1">
      <x:c r="A324" s="33" t="n">
        <x:v>323</x:v>
      </x:c>
      <x:c r="B324" s="33" t="str">
        <x:v>RAW-0323</x:v>
      </x:c>
      <x:c r="C324" s="36" t="str">
        <x:v>亚洲</x:v>
      </x:c>
      <x:c r="D324" s="36" t="str">
        <x:v>Saudi Arabia</x:v>
      </x:c>
      <x:c r="E324" s="21" t="str">
        <x:v>Mecca</x:v>
      </x:c>
      <x:c r="F324" s="21" t="str">
        <x:v>Abraj Al Bait Towers fire</x:v>
      </x:c>
      <x:c r="G324" s="39" t="n">
        <x:v>39934</x:v>
      </x:c>
      <x:c r="H324" s="21" t="str">
        <x:v>Abraj Al Bait Towers高层建筑火灾；建筑高度记录为 未列明。死亡人数：0。Occurred during construction</x:v>
      </x:c>
      <x:c r="I324" s="21" t="str">
        <x:v>未检索到/待核实</x:v>
      </x:c>
      <x:c r="J324" s="21" t="str">
        <x:v>死亡人数：0。Occurred during construction</x:v>
      </x:c>
      <x:c r="K324" s="21" t="str">
        <x:v>https://en.wikipedia.org/wiki/List_of_fires_in_high-rise_buildings</x:v>
      </x:c>
      <x:c r="L324" s="27"/>
      <x:c r="M324" s="27"/>
      <x:c r="N324" s="21" t="str">
        <x:v>未提供坐标</x:v>
      </x:c>
      <x:c r="O324" s="21" t="str">
        <x:v>高层建筑火灾</x:v>
      </x:c>
      <x:c r="P324" s="21" t="str">
        <x:v>未检索到</x:v>
      </x:c>
      <x:c r="Q324" s="21" t="str">
        <x:v>未检索到</x:v>
      </x:c>
      <x:c r="R324" s="21" t="str">
        <x:v>未检索到</x:v>
      </x:c>
      <x:c r="S324" s="21" t="str">
        <x:v>未检索到</x:v>
      </x:c>
      <x:c r="T324" s="42" t="n">
        <x:v>0</x:v>
      </x:c>
      <x:c r="U324" s="42"/>
      <x:c r="V324" s="42"/>
      <x:c r="W324" s="33" t="str">
        <x:v>C</x:v>
      </x:c>
      <x:c r="X324" s="33" t="str">
        <x:v>compendium_needs_independent_verification</x:v>
      </x:c>
      <x:c r="Y324" s="33" t="str">
        <x:v>候选待核实</x:v>
      </x:c>
      <x:c r="Z324" s="21" t="str">
        <x:v>Wikipedia高层建筑专题表；需补充独立来源核验</x:v>
      </x:c>
      <x:c r="AA324" s="21" t="str">
        <x:v>List of fires in high-rise buildings</x:v>
      </x:c>
      <x:c r="AB324" s="21" t="str">
        <x:v>Wikipedia专题列表</x:v>
      </x:c>
      <x:c r="AC324" s="21" t="str"/>
      <x:c r="AD324" s="21" t="n">
        <x:v>1</x:v>
      </x:c>
      <x:c r="AE324" s="21" t="str">
        <x:v>未检查</x:v>
      </x:c>
      <x:c r="AF324" s="21" t="str"/>
      <x:c r="AG324" s="24" t="n">
        <x:v>46260</x:v>
      </x:c>
      <x:c r="AH324" s="21" t="str"/>
      <x:c r="AI324" s="21" t="n">
        <x:v>1</x:v>
      </x:c>
      <x:c r="AJ324" s="21" t="str">
        <x:v>未评估（本事件表不建立热浪因果关系）</x:v>
      </x:c>
      <x:c r="AK324" s="21" t="str">
        <x:v>缺失/待核实</x:v>
      </x:c>
    </x:row>
    <x:row r="325" ht="42" customHeight="1">
      <x:c r="A325" s="33" t="n">
        <x:v>324</x:v>
      </x:c>
      <x:c r="B325" s="33" t="str">
        <x:v>RAW-0324</x:v>
      </x:c>
      <x:c r="C325" s="36" t="str">
        <x:v>欧洲</x:v>
      </x:c>
      <x:c r="D325" s="36" t="str">
        <x:v>United Kingdom</x:v>
      </x:c>
      <x:c r="E325" s="21" t="str">
        <x:v>London</x:v>
      </x:c>
      <x:c r="F325" s="21" t="str">
        <x:v>Lakanal House fire</x:v>
      </x:c>
      <x:c r="G325" s="39" t="n">
        <x:v>39997</x:v>
      </x:c>
      <x:c r="H325" s="21" t="str">
        <x:v>Lakanal House高层建筑火灾；建筑高度记录为 46.2 m。死亡人数：6。Lakanal House fire</x:v>
      </x:c>
      <x:c r="I325" s="21" t="str">
        <x:v>未检索到/待核实</x:v>
      </x:c>
      <x:c r="J325" s="21" t="str">
        <x:v>死亡人数：6。Lakanal House fire</x:v>
      </x:c>
      <x:c r="K325" s="21" t="str">
        <x:v>https://en.wikipedia.org/wiki/Lakanal_House_fire</x:v>
      </x:c>
      <x:c r="L325" s="27"/>
      <x:c r="M325" s="27"/>
      <x:c r="N325" s="21" t="str">
        <x:v>未提供坐标</x:v>
      </x:c>
      <x:c r="O325" s="21" t="str">
        <x:v>高层建筑火灾</x:v>
      </x:c>
      <x:c r="P325" s="21" t="str">
        <x:v>未检索到</x:v>
      </x:c>
      <x:c r="Q325" s="21" t="str">
        <x:v>46.2 m</x:v>
      </x:c>
      <x:c r="R325" s="21" t="str">
        <x:v>未检索到</x:v>
      </x:c>
      <x:c r="S325" s="21" t="str">
        <x:v>未检索到</x:v>
      </x:c>
      <x:c r="T325" s="42" t="n">
        <x:v>6</x:v>
      </x:c>
      <x:c r="U325" s="42"/>
      <x:c r="V325" s="42"/>
      <x:c r="W325" s="33" t="str">
        <x:v>B</x:v>
      </x:c>
      <x:c r="X325" s="33" t="str">
        <x:v>compendium_needs_independent_verification</x:v>
      </x:c>
      <x:c r="Y325" s="33" t="str">
        <x:v>候选待核实</x:v>
      </x:c>
      <x:c r="Z325" s="21" t="str">
        <x:v>Wikipedia具名事件页+高层建筑专题表</x:v>
      </x:c>
      <x:c r="AA325" s="21" t="str">
        <x:v>List of fires in high-rise buildings</x:v>
      </x:c>
      <x:c r="AB325" s="21" t="str">
        <x:v>Wikipedia专题列表</x:v>
      </x:c>
      <x:c r="AC325" s="21" t="str"/>
      <x:c r="AD325" s="21" t="n">
        <x:v>1</x:v>
      </x:c>
      <x:c r="AE325" s="21" t="str">
        <x:v>未检查</x:v>
      </x:c>
      <x:c r="AF325" s="21" t="str"/>
      <x:c r="AG325" s="24" t="n">
        <x:v>46260</x:v>
      </x:c>
      <x:c r="AH325" s="21" t="str"/>
      <x:c r="AI325" s="21" t="n">
        <x:v>1</x:v>
      </x:c>
      <x:c r="AJ325" s="21" t="str">
        <x:v>未评估（本事件表不建立热浪因果关系）</x:v>
      </x:c>
      <x:c r="AK325" s="21" t="str">
        <x:v>缺失/待核实</x:v>
      </x:c>
    </x:row>
    <x:row r="326" ht="42" customHeight="1">
      <x:c r="A326" s="33" t="n">
        <x:v>325</x:v>
      </x:c>
      <x:c r="B326" s="33" t="str">
        <x:v>RAW-0325</x:v>
      </x:c>
      <x:c r="C326" s="36" t="str">
        <x:v>欧洲</x:v>
      </x:c>
      <x:c r="D326" s="36" t="str">
        <x:v>Netherlands</x:v>
      </x:c>
      <x:c r="E326" s="21" t="str">
        <x:v>Utrecht</x:v>
      </x:c>
      <x:c r="F326" s="21" t="str">
        <x:v>Rabobank Bestuurscentrum fire</x:v>
      </x:c>
      <x:c r="G326" s="39" t="n">
        <x:v>40356</x:v>
      </x:c>
      <x:c r="H326" s="21" t="str">
        <x:v>Rabobank Bestuurscentrum高层建筑火灾；建筑高度记录为 105 m。死亡人数：0。Occurred on the 25th and 26th floor during the construction. The exact cause of the fire has never been identified.</x:v>
      </x:c>
      <x:c r="I326" s="21" t="str">
        <x:v>The exact cause of the fire has never been identified.</x:v>
      </x:c>
      <x:c r="J326" s="21" t="str">
        <x:v>死亡人数：0。Occurred on the 25th and 26th floor during the construction. The exact cause of the fire has never been identified.</x:v>
      </x:c>
      <x:c r="K326" s="21" t="str">
        <x:v>https://www.trouw.nl/nieuws/explosie-bij-brand-in-rabo-toren-utrecht~bd0429e0</x:v>
      </x:c>
      <x:c r="L326" s="27"/>
      <x:c r="M326" s="27"/>
      <x:c r="N326" s="21" t="str">
        <x:v>未提供坐标</x:v>
      </x:c>
      <x:c r="O326" s="21" t="str">
        <x:v>高层建筑火灾</x:v>
      </x:c>
      <x:c r="P326" s="21" t="str">
        <x:v>未检索到</x:v>
      </x:c>
      <x:c r="Q326" s="21" t="str">
        <x:v>105 m</x:v>
      </x:c>
      <x:c r="R326" s="21" t="str">
        <x:v>未检索到</x:v>
      </x:c>
      <x:c r="S326" s="21" t="str">
        <x:v>未检索到</x:v>
      </x:c>
      <x:c r="T326" s="42" t="n">
        <x:v>0</x:v>
      </x:c>
      <x:c r="U326" s="42"/>
      <x:c r="V326" s="42"/>
      <x:c r="W326" s="33" t="str">
        <x:v>C</x:v>
      </x:c>
      <x:c r="X326" s="33" t="str">
        <x:v>compendium_needs_independent_verification</x:v>
      </x:c>
      <x:c r="Y326" s="33" t="str">
        <x:v>候选待核实</x:v>
      </x:c>
      <x:c r="Z326" s="21" t="str">
        <x:v>Wikipedia高层建筑专题表；需补充独立来源核验</x:v>
      </x:c>
      <x:c r="AA326" s="21" t="str">
        <x:v>List of fires in high-rise buildings</x:v>
      </x:c>
      <x:c r="AB326" s="21" t="str">
        <x:v>Wikipedia专题列表</x:v>
      </x:c>
      <x:c r="AC326" s="21" t="str"/>
      <x:c r="AD326" s="21" t="n">
        <x:v>1</x:v>
      </x:c>
      <x:c r="AE326" s="21" t="str">
        <x:v>未检查</x:v>
      </x:c>
      <x:c r="AF326" s="21" t="str"/>
      <x:c r="AG326" s="24" t="n">
        <x:v>46260</x:v>
      </x:c>
      <x:c r="AH326" s="21" t="str"/>
      <x:c r="AI326" s="21" t="n">
        <x:v>1</x:v>
      </x:c>
      <x:c r="AJ326" s="21" t="str">
        <x:v>未评估（本事件表不建立热浪因果关系）</x:v>
      </x:c>
      <x:c r="AK326" s="21" t="str">
        <x:v>已有来源描述</x:v>
      </x:c>
    </x:row>
    <x:row r="327" ht="42" customHeight="1">
      <x:c r="A327" s="33" t="n">
        <x:v>326</x:v>
      </x:c>
      <x:c r="B327" s="33" t="str">
        <x:v>RAW-0326</x:v>
      </x:c>
      <x:c r="C327" s="36" t="str">
        <x:v>亚洲</x:v>
      </x:c>
      <x:c r="D327" s="36" t="str">
        <x:v>South Korea</x:v>
      </x:c>
      <x:c r="E327" s="21" t="str">
        <x:v>Busan</x:v>
      </x:c>
      <x:c r="F327" s="21" t="str">
        <x:v>Wooshin Golden Suites fire</x:v>
      </x:c>
      <x:c r="G327" s="39" t="n">
        <x:v>40422</x:v>
      </x:c>
      <x:c r="H327" s="21" t="str">
        <x:v>Wooshin Golden Suites高层建筑火灾；建筑高度记录为 未列明。死亡人数：0。Wooshin Golden Suites fire</x:v>
      </x:c>
      <x:c r="I327" s="21" t="str">
        <x:v>未检索到/待核实</x:v>
      </x:c>
      <x:c r="J327" s="21" t="str">
        <x:v>死亡人数：0。Wooshin Golden Suites fire</x:v>
      </x:c>
      <x:c r="K327" s="21" t="str">
        <x:v>https://en.wikipedia.org/wiki/Wooshin_Golden_Suites_fire</x:v>
      </x:c>
      <x:c r="L327" s="27"/>
      <x:c r="M327" s="27"/>
      <x:c r="N327" s="21" t="str">
        <x:v>未提供坐标</x:v>
      </x:c>
      <x:c r="O327" s="21" t="str">
        <x:v>高层建筑火灾</x:v>
      </x:c>
      <x:c r="P327" s="21" t="str">
        <x:v>未检索到</x:v>
      </x:c>
      <x:c r="Q327" s="21" t="str">
        <x:v>未检索到</x:v>
      </x:c>
      <x:c r="R327" s="21" t="str">
        <x:v>未检索到</x:v>
      </x:c>
      <x:c r="S327" s="21" t="str">
        <x:v>未检索到</x:v>
      </x:c>
      <x:c r="T327" s="42" t="n">
        <x:v>0</x:v>
      </x:c>
      <x:c r="U327" s="42"/>
      <x:c r="V327" s="42"/>
      <x:c r="W327" s="33" t="str">
        <x:v>B</x:v>
      </x:c>
      <x:c r="X327" s="33" t="str">
        <x:v>compendium_needs_independent_verification</x:v>
      </x:c>
      <x:c r="Y327" s="33" t="str">
        <x:v>候选待核实</x:v>
      </x:c>
      <x:c r="Z327" s="21" t="str">
        <x:v>Wikipedia具名事件页+高层建筑专题表</x:v>
      </x:c>
      <x:c r="AA327" s="21" t="str">
        <x:v>List of fires in high-rise buildings</x:v>
      </x:c>
      <x:c r="AB327" s="21" t="str">
        <x:v>Wikipedia专题列表</x:v>
      </x:c>
      <x:c r="AC327" s="21" t="str"/>
      <x:c r="AD327" s="21" t="n">
        <x:v>1</x:v>
      </x:c>
      <x:c r="AE327" s="21" t="str">
        <x:v>未检查</x:v>
      </x:c>
      <x:c r="AF327" s="21" t="str"/>
      <x:c r="AG327" s="24" t="n">
        <x:v>46260</x:v>
      </x:c>
      <x:c r="AH327" s="21" t="str"/>
      <x:c r="AI327" s="21" t="n">
        <x:v>1</x:v>
      </x:c>
      <x:c r="AJ327" s="21" t="str">
        <x:v>未评估（本事件表不建立热浪因果关系）</x:v>
      </x:c>
      <x:c r="AK327" s="21" t="str">
        <x:v>缺失/待核实</x:v>
      </x:c>
    </x:row>
    <x:row r="328" ht="42" customHeight="1">
      <x:c r="A328" s="33" t="n">
        <x:v>327</x:v>
      </x:c>
      <x:c r="B328" s="33" t="str">
        <x:v>RAW-0327</x:v>
      </x:c>
      <x:c r="C328" s="36" t="str">
        <x:v>欧洲</x:v>
      </x:c>
      <x:c r="D328" s="36" t="str">
        <x:v>France</x:v>
      </x:c>
      <x:c r="E328" s="21" t="str">
        <x:v>Dijon</x:v>
      </x:c>
      <x:c r="F328" s="21" t="str">
        <x:v>Dijon residential complex fire</x:v>
      </x:c>
      <x:c r="G328" s="39" t="n">
        <x:v>40465</x:v>
      </x:c>
      <x:c r="H328" s="21" t="str">
        <x:v>Dijon residential complex高层建筑火灾；建筑高度记录为 79.2 m。死亡人数：7。</x:v>
      </x:c>
      <x:c r="I328" s="21" t="str">
        <x:v>未检索到/待核实</x:v>
      </x:c>
      <x:c r="J328" s="21" t="str">
        <x:v>死亡人数：7。</x:v>
      </x:c>
      <x:c r="K328" s="21" t="str">
        <x:v>https://books.google.com/books?id=bbA0CgAAQBAJ&amp;pg=PA37</x:v>
      </x:c>
      <x:c r="L328" s="27"/>
      <x:c r="M328" s="27"/>
      <x:c r="N328" s="21" t="str">
        <x:v>未提供坐标</x:v>
      </x:c>
      <x:c r="O328" s="21" t="str">
        <x:v>高层建筑火灾</x:v>
      </x:c>
      <x:c r="P328" s="21" t="str">
        <x:v>未检索到</x:v>
      </x:c>
      <x:c r="Q328" s="21" t="str">
        <x:v>79.2 m</x:v>
      </x:c>
      <x:c r="R328" s="21" t="str">
        <x:v>未检索到</x:v>
      </x:c>
      <x:c r="S328" s="21" t="str">
        <x:v>未检索到</x:v>
      </x:c>
      <x:c r="T328" s="42" t="n">
        <x:v>7</x:v>
      </x:c>
      <x:c r="U328" s="42"/>
      <x:c r="V328" s="42"/>
      <x:c r="W328" s="33" t="str">
        <x:v>C</x:v>
      </x:c>
      <x:c r="X328" s="33" t="str">
        <x:v>compendium_needs_independent_verification</x:v>
      </x:c>
      <x:c r="Y328" s="33" t="str">
        <x:v>候选待核实</x:v>
      </x:c>
      <x:c r="Z328" s="21" t="str">
        <x:v>Wikipedia高层建筑专题表；需补充独立来源核验</x:v>
      </x:c>
      <x:c r="AA328" s="21" t="str">
        <x:v>List of fires in high-rise buildings</x:v>
      </x:c>
      <x:c r="AB328" s="21" t="str">
        <x:v>Wikipedia专题列表</x:v>
      </x:c>
      <x:c r="AC328" s="21" t="str"/>
      <x:c r="AD328" s="21" t="n">
        <x:v>1</x:v>
      </x:c>
      <x:c r="AE328" s="21" t="str">
        <x:v>未检查</x:v>
      </x:c>
      <x:c r="AF328" s="21" t="str"/>
      <x:c r="AG328" s="24" t="n">
        <x:v>46260</x:v>
      </x:c>
      <x:c r="AH328" s="21" t="str"/>
      <x:c r="AI328" s="21" t="n">
        <x:v>1</x:v>
      </x:c>
      <x:c r="AJ328" s="21" t="str">
        <x:v>未评估（本事件表不建立热浪因果关系）</x:v>
      </x:c>
      <x:c r="AK328" s="21" t="str">
        <x:v>缺失/待核实</x:v>
      </x:c>
    </x:row>
    <x:row r="329" ht="42" customHeight="1">
      <x:c r="A329" s="33" t="n">
        <x:v>328</x:v>
      </x:c>
      <x:c r="B329" s="33" t="str">
        <x:v>RAW-0328</x:v>
      </x:c>
      <x:c r="C329" s="36" t="str">
        <x:v>亚洲</x:v>
      </x:c>
      <x:c r="D329" s="36" t="str">
        <x:v>China</x:v>
      </x:c>
      <x:c r="E329" s="21" t="str">
        <x:v>Shanghai</x:v>
      </x:c>
      <x:c r="F329" s="21" t="str">
        <x:v>2010 Shanghai fire</x:v>
      </x:c>
      <x:c r="G329" s="39" t="n">
        <x:v>40497</x:v>
      </x:c>
      <x:c r="H329" s="21" t="str">
        <x:v>Unnamed high-rise apartment block高层建筑火灾；建筑高度记录为 85 m。死亡人数：58。Occurred during renovation; 2010 Shanghai fire</x:v>
      </x:c>
      <x:c r="I329" s="21" t="str">
        <x:v>未检索到/待核实</x:v>
      </x:c>
      <x:c r="J329" s="21" t="str">
        <x:v>死亡人数：58。Occurred during renovation; 2010 Shanghai fire</x:v>
      </x:c>
      <x:c r="K329" s="21" t="str">
        <x:v>https://en.wikipedia.org/wiki/2010_Shanghai_fire</x:v>
      </x:c>
      <x:c r="L329" s="27"/>
      <x:c r="M329" s="27"/>
      <x:c r="N329" s="21" t="str">
        <x:v>未提供坐标</x:v>
      </x:c>
      <x:c r="O329" s="21" t="str">
        <x:v>高层建筑火灾</x:v>
      </x:c>
      <x:c r="P329" s="21" t="str">
        <x:v>未检索到</x:v>
      </x:c>
      <x:c r="Q329" s="21" t="str">
        <x:v>85 m</x:v>
      </x:c>
      <x:c r="R329" s="21" t="str">
        <x:v>未检索到</x:v>
      </x:c>
      <x:c r="S329" s="21" t="str">
        <x:v>未检索到</x:v>
      </x:c>
      <x:c r="T329" s="42" t="n">
        <x:v>58</x:v>
      </x:c>
      <x:c r="U329" s="42"/>
      <x:c r="V329" s="42"/>
      <x:c r="W329" s="33" t="str">
        <x:v>B</x:v>
      </x:c>
      <x:c r="X329" s="33" t="str">
        <x:v>compendium_needs_independent_verification</x:v>
      </x:c>
      <x:c r="Y329" s="33" t="str">
        <x:v>候选待核实</x:v>
      </x:c>
      <x:c r="Z329" s="21" t="str">
        <x:v>Wikipedia具名事件页+高层建筑专题表</x:v>
      </x:c>
      <x:c r="AA329" s="21" t="str">
        <x:v>List of fires in high-rise buildings</x:v>
      </x:c>
      <x:c r="AB329" s="21" t="str">
        <x:v>Wikipedia专题列表</x:v>
      </x:c>
      <x:c r="AC329" s="21" t="str"/>
      <x:c r="AD329" s="21" t="n">
        <x:v>1</x:v>
      </x:c>
      <x:c r="AE329" s="21" t="str">
        <x:v>未检查</x:v>
      </x:c>
      <x:c r="AF329" s="21" t="str"/>
      <x:c r="AG329" s="24" t="n">
        <x:v>46260</x:v>
      </x:c>
      <x:c r="AH329" s="21" t="str"/>
      <x:c r="AI329" s="21" t="n">
        <x:v>1</x:v>
      </x:c>
      <x:c r="AJ329" s="21" t="str">
        <x:v>未评估（本事件表不建立热浪因果关系）</x:v>
      </x:c>
      <x:c r="AK329" s="21" t="str">
        <x:v>缺失/待核实</x:v>
      </x:c>
    </x:row>
    <x:row r="330" ht="42" customHeight="1">
      <x:c r="A330" s="33" t="n">
        <x:v>329</x:v>
      </x:c>
      <x:c r="B330" s="33" t="str">
        <x:v>RAW-0329</x:v>
      </x:c>
      <x:c r="C330" s="36" t="str">
        <x:v>亚洲</x:v>
      </x:c>
      <x:c r="D330" s="36" t="str">
        <x:v>Vietnam</x:v>
      </x:c>
      <x:c r="E330" s="21" t="str">
        <x:v>Hanoi</x:v>
      </x:c>
      <x:c r="F330" s="21" t="str">
        <x:v>EVN Headquarters Tower 1 fire</x:v>
      </x:c>
      <x:c r="G330" s="39" t="n">
        <x:v>40893</x:v>
      </x:c>
      <x:c r="H330" s="21" t="str">
        <x:v>EVN Headquarters Tower 1高层建筑火灾；建筑高度记录为 147 m。死亡人数：0。Fire occurred during construction, 11 workers injured.</x:v>
      </x:c>
      <x:c r="I330" s="21" t="str">
        <x:v>未检索到/待核实</x:v>
      </x:c>
      <x:c r="J330" s="21" t="str">
        <x:v>死亡人数：0。Fire occurred during construction, 11 workers injured.</x:v>
      </x:c>
      <x:c r="K330" s="21" t="str">
        <x:v>http://www.thanhniennews.com/2010/pages/20111216-skyscraper-on-fire-11-injured-in-vietnam-capital.aspx</x:v>
      </x:c>
      <x:c r="L330" s="27"/>
      <x:c r="M330" s="27"/>
      <x:c r="N330" s="21" t="str">
        <x:v>未提供坐标</x:v>
      </x:c>
      <x:c r="O330" s="21" t="str">
        <x:v>高层建筑火灾</x:v>
      </x:c>
      <x:c r="P330" s="21" t="str">
        <x:v>未检索到</x:v>
      </x:c>
      <x:c r="Q330" s="21" t="str">
        <x:v>147 m</x:v>
      </x:c>
      <x:c r="R330" s="21" t="str">
        <x:v>未检索到</x:v>
      </x:c>
      <x:c r="S330" s="21" t="str">
        <x:v>未检索到</x:v>
      </x:c>
      <x:c r="T330" s="42" t="n">
        <x:v>0</x:v>
      </x:c>
      <x:c r="U330" s="42"/>
      <x:c r="V330" s="42"/>
      <x:c r="W330" s="33" t="str">
        <x:v>C</x:v>
      </x:c>
      <x:c r="X330" s="33" t="str">
        <x:v>compendium_needs_independent_verification</x:v>
      </x:c>
      <x:c r="Y330" s="33" t="str">
        <x:v>候选待核实</x:v>
      </x:c>
      <x:c r="Z330" s="21" t="str">
        <x:v>Wikipedia高层建筑专题表；需补充独立来源核验</x:v>
      </x:c>
      <x:c r="AA330" s="21" t="str">
        <x:v>List of fires in high-rise buildings</x:v>
      </x:c>
      <x:c r="AB330" s="21" t="str">
        <x:v>Wikipedia专题列表</x:v>
      </x:c>
      <x:c r="AC330" s="21" t="str"/>
      <x:c r="AD330" s="21" t="n">
        <x:v>1</x:v>
      </x:c>
      <x:c r="AE330" s="21" t="str">
        <x:v>未检查</x:v>
      </x:c>
      <x:c r="AF330" s="21" t="str"/>
      <x:c r="AG330" s="24" t="n">
        <x:v>46260</x:v>
      </x:c>
      <x:c r="AH330" s="21" t="str"/>
      <x:c r="AI330" s="21" t="n">
        <x:v>1</x:v>
      </x:c>
      <x:c r="AJ330" s="21" t="str">
        <x:v>未评估（本事件表不建立热浪因果关系）</x:v>
      </x:c>
      <x:c r="AK330" s="21" t="str">
        <x:v>缺失/待核实</x:v>
      </x:c>
    </x:row>
    <x:row r="331" ht="42" customHeight="1">
      <x:c r="A331" s="33" t="n">
        <x:v>330</x:v>
      </x:c>
      <x:c r="B331" s="33" t="str">
        <x:v>RAW-0330</x:v>
      </x:c>
      <x:c r="C331" s="36" t="str">
        <x:v>亚洲</x:v>
      </x:c>
      <x:c r="D331" s="36" t="str">
        <x:v>Malaysia</x:v>
      </x:c>
      <x:c r="E331" s="21" t="str">
        <x:v>Kuala Lumpur</x:v>
      </x:c>
      <x:c r="F331" s="21" t="str">
        <x:v>Uncompleted high rise block fire</x:v>
      </x:c>
      <x:c r="G331" s="39" t="n">
        <x:v>40926</x:v>
      </x:c>
      <x:c r="H331" s="21" t="str">
        <x:v>Uncompleted high rise block高层建筑火灾；建筑高度记录为 未列明。死亡人数：0。</x:v>
      </x:c>
      <x:c r="I331" s="21" t="str">
        <x:v>未检索到/待核实</x:v>
      </x:c>
      <x:c r="J331" s="21" t="str">
        <x:v>死亡人数：0。</x:v>
      </x:c>
      <x:c r="K331" s="21" t="str">
        <x:v>https://web.archive.org/web/20120120203454/http://thestar.com.my/news/story.asp?file=%2F2012%2F1%2F19%2Fnation%2F10287478&amp;sec=nation</x:v>
      </x:c>
      <x:c r="L331" s="27"/>
      <x:c r="M331" s="27"/>
      <x:c r="N331" s="21" t="str">
        <x:v>未提供坐标</x:v>
      </x:c>
      <x:c r="O331" s="21" t="str">
        <x:v>高层建筑火灾</x:v>
      </x:c>
      <x:c r="P331" s="21" t="str">
        <x:v>未检索到</x:v>
      </x:c>
      <x:c r="Q331" s="21" t="str">
        <x:v>未检索到</x:v>
      </x:c>
      <x:c r="R331" s="21" t="str">
        <x:v>未检索到</x:v>
      </x:c>
      <x:c r="S331" s="21" t="str">
        <x:v>未检索到</x:v>
      </x:c>
      <x:c r="T331" s="42" t="n">
        <x:v>0</x:v>
      </x:c>
      <x:c r="U331" s="42"/>
      <x:c r="V331" s="42"/>
      <x:c r="W331" s="33" t="str">
        <x:v>C</x:v>
      </x:c>
      <x:c r="X331" s="33" t="str">
        <x:v>compendium_needs_independent_verification</x:v>
      </x:c>
      <x:c r="Y331" s="33" t="str">
        <x:v>候选待核实</x:v>
      </x:c>
      <x:c r="Z331" s="21" t="str">
        <x:v>Wikipedia高层建筑专题表；需补充独立来源核验</x:v>
      </x:c>
      <x:c r="AA331" s="21" t="str">
        <x:v>List of fires in high-rise buildings</x:v>
      </x:c>
      <x:c r="AB331" s="21" t="str">
        <x:v>Wikipedia专题列表</x:v>
      </x:c>
      <x:c r="AC331" s="21" t="str"/>
      <x:c r="AD331" s="21" t="n">
        <x:v>1</x:v>
      </x:c>
      <x:c r="AE331" s="21" t="str">
        <x:v>未检查</x:v>
      </x:c>
      <x:c r="AF331" s="21" t="str"/>
      <x:c r="AG331" s="24" t="n">
        <x:v>46260</x:v>
      </x:c>
      <x:c r="AH331" s="21" t="str"/>
      <x:c r="AI331" s="21" t="n">
        <x:v>1</x:v>
      </x:c>
      <x:c r="AJ331" s="21" t="str">
        <x:v>未评估（本事件表不建立热浪因果关系）</x:v>
      </x:c>
      <x:c r="AK331" s="21" t="str">
        <x:v>缺失/待核实</x:v>
      </x:c>
    </x:row>
    <x:row r="332" ht="42" customHeight="1">
      <x:c r="A332" s="33" t="n">
        <x:v>331</x:v>
      </x:c>
      <x:c r="B332" s="33" t="str">
        <x:v>RAW-0331</x:v>
      </x:c>
      <x:c r="C332" s="36" t="str">
        <x:v>亚洲</x:v>
      </x:c>
      <x:c r="D332" s="36" t="str">
        <x:v>Thailand</x:v>
      </x:c>
      <x:c r="E332" s="21" t="str">
        <x:v>Bangkok</x:v>
      </x:c>
      <x:c r="F332" s="21" t="str">
        <x:v>Fico Place fire</x:v>
      </x:c>
      <x:c r="G332" s="39" t="n">
        <x:v>40971</x:v>
      </x:c>
      <x:c r="H332" s="21" t="str">
        <x:v>Fico Place高层建筑火灾；建筑高度记录为 未列明。死亡人数：0。Two firemen injured</x:v>
      </x:c>
      <x:c r="I332" s="21" t="str">
        <x:v>未检索到/待核实</x:v>
      </x:c>
      <x:c r="J332" s="21" t="str">
        <x:v>死亡人数：0。Two firemen injured</x:v>
      </x:c>
      <x:c r="K332" s="21" t="str">
        <x:v>http://bangkok.coconuts.co/news/fico-blaze-prompts-bangkok-city-hall-sprinkler-initiative</x:v>
      </x:c>
      <x:c r="L332" s="27"/>
      <x:c r="M332" s="27"/>
      <x:c r="N332" s="21" t="str">
        <x:v>未提供坐标</x:v>
      </x:c>
      <x:c r="O332" s="21" t="str">
        <x:v>高层建筑火灾</x:v>
      </x:c>
      <x:c r="P332" s="21" t="str">
        <x:v>未检索到</x:v>
      </x:c>
      <x:c r="Q332" s="21" t="str">
        <x:v>未检索到</x:v>
      </x:c>
      <x:c r="R332" s="21" t="str">
        <x:v>未检索到</x:v>
      </x:c>
      <x:c r="S332" s="21" t="str">
        <x:v>未检索到</x:v>
      </x:c>
      <x:c r="T332" s="42" t="n">
        <x:v>0</x:v>
      </x:c>
      <x:c r="U332" s="42"/>
      <x:c r="V332" s="42"/>
      <x:c r="W332" s="33" t="str">
        <x:v>C</x:v>
      </x:c>
      <x:c r="X332" s="33" t="str">
        <x:v>compendium_needs_independent_verification</x:v>
      </x:c>
      <x:c r="Y332" s="33" t="str">
        <x:v>候选待核实</x:v>
      </x:c>
      <x:c r="Z332" s="21" t="str">
        <x:v>Wikipedia高层建筑专题表；需补充独立来源核验</x:v>
      </x:c>
      <x:c r="AA332" s="21" t="str">
        <x:v>List of fires in high-rise buildings</x:v>
      </x:c>
      <x:c r="AB332" s="21" t="str">
        <x:v>Wikipedia专题列表</x:v>
      </x:c>
      <x:c r="AC332" s="21" t="str"/>
      <x:c r="AD332" s="21" t="n">
        <x:v>1</x:v>
      </x:c>
      <x:c r="AE332" s="21" t="str">
        <x:v>未检查</x:v>
      </x:c>
      <x:c r="AF332" s="21" t="str"/>
      <x:c r="AG332" s="24" t="n">
        <x:v>46260</x:v>
      </x:c>
      <x:c r="AH332" s="21" t="str"/>
      <x:c r="AI332" s="21" t="n">
        <x:v>1</x:v>
      </x:c>
      <x:c r="AJ332" s="21" t="str">
        <x:v>未评估（本事件表不建立热浪因果关系）</x:v>
      </x:c>
      <x:c r="AK332" s="21" t="str">
        <x:v>缺失/待核实</x:v>
      </x:c>
    </x:row>
    <x:row r="333" ht="42" customHeight="1">
      <x:c r="A333" s="33" t="n">
        <x:v>332</x:v>
      </x:c>
      <x:c r="B333" s="33" t="str">
        <x:v>RAW-0332</x:v>
      </x:c>
      <x:c r="C333" s="36" t="str">
        <x:v>欧洲</x:v>
      </x:c>
      <x:c r="D333" s="36" t="str">
        <x:v>Russia</x:v>
      </x:c>
      <x:c r="E333" s="21" t="str">
        <x:v>Moscow</x:v>
      </x:c>
      <x:c r="F333" s="21" t="str">
        <x:v>Federation Tower (East Tower) fire</x:v>
      </x:c>
      <x:c r="G333" s="39" t="n">
        <x:v>41001</x:v>
      </x:c>
      <x:c r="H333" s="21" t="str">
        <x:v>Federation Tower (East Tower)高层建筑火灾；建筑高度记录为 450 m。死亡人数：0。Occurred while the building was under construction</x:v>
      </x:c>
      <x:c r="I333" s="21" t="str">
        <x:v>未检索到/待核实</x:v>
      </x:c>
      <x:c r="J333" s="21" t="str">
        <x:v>死亡人数：0。Occurred while the building was under construction</x:v>
      </x:c>
      <x:c r="K333" s="21" t="str">
        <x:v>https://en.wikipedia.org/wiki/List_of_fires_in_high-rise_buildings</x:v>
      </x:c>
      <x:c r="L333" s="27"/>
      <x:c r="M333" s="27"/>
      <x:c r="N333" s="21" t="str">
        <x:v>未提供坐标</x:v>
      </x:c>
      <x:c r="O333" s="21" t="str">
        <x:v>高层建筑火灾</x:v>
      </x:c>
      <x:c r="P333" s="21" t="str">
        <x:v>未检索到</x:v>
      </x:c>
      <x:c r="Q333" s="21" t="str">
        <x:v>450 m</x:v>
      </x:c>
      <x:c r="R333" s="21" t="str">
        <x:v>未检索到</x:v>
      </x:c>
      <x:c r="S333" s="21" t="str">
        <x:v>未检索到</x:v>
      </x:c>
      <x:c r="T333" s="42" t="n">
        <x:v>0</x:v>
      </x:c>
      <x:c r="U333" s="42"/>
      <x:c r="V333" s="42"/>
      <x:c r="W333" s="33" t="str">
        <x:v>C</x:v>
      </x:c>
      <x:c r="X333" s="33" t="str">
        <x:v>compendium_needs_independent_verification</x:v>
      </x:c>
      <x:c r="Y333" s="33" t="str">
        <x:v>候选待核实</x:v>
      </x:c>
      <x:c r="Z333" s="21" t="str">
        <x:v>Wikipedia高层建筑专题表；需补充独立来源核验</x:v>
      </x:c>
      <x:c r="AA333" s="21" t="str">
        <x:v>List of fires in high-rise buildings</x:v>
      </x:c>
      <x:c r="AB333" s="21" t="str">
        <x:v>Wikipedia专题列表</x:v>
      </x:c>
      <x:c r="AC333" s="21" t="str"/>
      <x:c r="AD333" s="21" t="n">
        <x:v>1</x:v>
      </x:c>
      <x:c r="AE333" s="21" t="str">
        <x:v>未检查</x:v>
      </x:c>
      <x:c r="AF333" s="21" t="str"/>
      <x:c r="AG333" s="24" t="n">
        <x:v>46260</x:v>
      </x:c>
      <x:c r="AH333" s="21" t="str"/>
      <x:c r="AI333" s="21" t="n">
        <x:v>1</x:v>
      </x:c>
      <x:c r="AJ333" s="21" t="str">
        <x:v>未评估（本事件表不建立热浪因果关系）</x:v>
      </x:c>
      <x:c r="AK333" s="21" t="str">
        <x:v>缺失/待核实</x:v>
      </x:c>
    </x:row>
    <x:row r="334" ht="42" customHeight="1">
      <x:c r="A334" s="33" t="n">
        <x:v>333</x:v>
      </x:c>
      <x:c r="B334" s="33" t="str">
        <x:v>RAW-0333</x:v>
      </x:c>
      <x:c r="C334" s="36" t="str">
        <x:v>亚洲</x:v>
      </x:c>
      <x:c r="D334" s="36" t="str">
        <x:v>United Arab Emirates</x:v>
      </x:c>
      <x:c r="E334" s="21" t="str">
        <x:v>Sharjah</x:v>
      </x:c>
      <x:c r="F334" s="21" t="str">
        <x:v>Al Tayer Tower fire</x:v>
      </x:c>
      <x:c r="G334" s="39" t="n">
        <x:v>41027</x:v>
      </x:c>
      <x:c r="H334" s="21" t="str">
        <x:v>Al Tayer Tower高层建筑火灾；建筑高度记录为 未列明。死亡人数：0。</x:v>
      </x:c>
      <x:c r="I334" s="21" t="str">
        <x:v>未检索到/待核实</x:v>
      </x:c>
      <x:c r="J334" s="21" t="str">
        <x:v>死亡人数：0。</x:v>
      </x:c>
      <x:c r="K334" s="21" t="str">
        <x:v>https://web.archive.org/web/20121006223821/http://www.khaleejtimes.com/kt-article-display-1.asp?xfile=data%2Fnationgeneral%2F2012%2Fapril%2Fnationgeneral_april207.xml&amp;section=nationgeneral</x:v>
      </x:c>
      <x:c r="L334" s="27"/>
      <x:c r="M334" s="27"/>
      <x:c r="N334" s="21" t="str">
        <x:v>未提供坐标</x:v>
      </x:c>
      <x:c r="O334" s="21" t="str">
        <x:v>高层建筑火灾</x:v>
      </x:c>
      <x:c r="P334" s="21" t="str">
        <x:v>未检索到</x:v>
      </x:c>
      <x:c r="Q334" s="21" t="str">
        <x:v>未检索到</x:v>
      </x:c>
      <x:c r="R334" s="21" t="str">
        <x:v>未检索到</x:v>
      </x:c>
      <x:c r="S334" s="21" t="str">
        <x:v>未检索到</x:v>
      </x:c>
      <x:c r="T334" s="42" t="n">
        <x:v>0</x:v>
      </x:c>
      <x:c r="U334" s="42"/>
      <x:c r="V334" s="42"/>
      <x:c r="W334" s="33" t="str">
        <x:v>C</x:v>
      </x:c>
      <x:c r="X334" s="33" t="str">
        <x:v>compendium_needs_independent_verification</x:v>
      </x:c>
      <x:c r="Y334" s="33" t="str">
        <x:v>候选待核实</x:v>
      </x:c>
      <x:c r="Z334" s="21" t="str">
        <x:v>Wikipedia高层建筑专题表；需补充独立来源核验</x:v>
      </x:c>
      <x:c r="AA334" s="21" t="str">
        <x:v>List of fires in high-rise buildings</x:v>
      </x:c>
      <x:c r="AB334" s="21" t="str">
        <x:v>Wikipedia专题列表</x:v>
      </x:c>
      <x:c r="AC334" s="21" t="str"/>
      <x:c r="AD334" s="21" t="n">
        <x:v>1</x:v>
      </x:c>
      <x:c r="AE334" s="21" t="str">
        <x:v>未检查</x:v>
      </x:c>
      <x:c r="AF334" s="21" t="str"/>
      <x:c r="AG334" s="24" t="n">
        <x:v>46260</x:v>
      </x:c>
      <x:c r="AH334" s="21" t="str"/>
      <x:c r="AI334" s="21" t="n">
        <x:v>1</x:v>
      </x:c>
      <x:c r="AJ334" s="21" t="str">
        <x:v>未评估（本事件表不建立热浪因果关系）</x:v>
      </x:c>
      <x:c r="AK334" s="21" t="str">
        <x:v>缺失/待核实</x:v>
      </x:c>
    </x:row>
    <x:row r="335" ht="42" customHeight="1">
      <x:c r="A335" s="33" t="n">
        <x:v>334</x:v>
      </x:c>
      <x:c r="B335" s="33" t="str">
        <x:v>RAW-0334</x:v>
      </x:c>
      <x:c r="C335" s="36" t="str">
        <x:v>亚洲</x:v>
      </x:c>
      <x:c r="D335" s="36" t="str">
        <x:v>Turkey</x:v>
      </x:c>
      <x:c r="E335" s="21" t="str">
        <x:v>Istanbul</x:v>
      </x:c>
      <x:c r="F335" s="21" t="str">
        <x:v>Polat Tower Residence fire</x:v>
      </x:c>
      <x:c r="G335" s="39" t="n">
        <x:v>41107</x:v>
      </x:c>
      <x:c r="H335" s="21" t="str">
        <x:v>Polat Tower Residence高层建筑火灾；建筑高度记录为 140 m。死亡人数：0。</x:v>
      </x:c>
      <x:c r="I335" s="21" t="str">
        <x:v>未检索到/待核实</x:v>
      </x:c>
      <x:c r="J335" s="21" t="str">
        <x:v>死亡人数：0。</x:v>
      </x:c>
      <x:c r="K335" s="21" t="str">
        <x:v>https://www.bbc.co.uk/news/world-europe-18867266</x:v>
      </x:c>
      <x:c r="L335" s="27"/>
      <x:c r="M335" s="27"/>
      <x:c r="N335" s="21" t="str">
        <x:v>未提供坐标</x:v>
      </x:c>
      <x:c r="O335" s="21" t="str">
        <x:v>高层建筑火灾</x:v>
      </x:c>
      <x:c r="P335" s="21" t="str">
        <x:v>未检索到</x:v>
      </x:c>
      <x:c r="Q335" s="21" t="str">
        <x:v>140 m</x:v>
      </x:c>
      <x:c r="R335" s="21" t="str">
        <x:v>未检索到</x:v>
      </x:c>
      <x:c r="S335" s="21" t="str">
        <x:v>未检索到</x:v>
      </x:c>
      <x:c r="T335" s="42" t="n">
        <x:v>0</x:v>
      </x:c>
      <x:c r="U335" s="42"/>
      <x:c r="V335" s="42"/>
      <x:c r="W335" s="33" t="str">
        <x:v>C</x:v>
      </x:c>
      <x:c r="X335" s="33" t="str">
        <x:v>compendium_needs_independent_verification</x:v>
      </x:c>
      <x:c r="Y335" s="33" t="str">
        <x:v>候选待核实</x:v>
      </x:c>
      <x:c r="Z335" s="21" t="str">
        <x:v>Wikipedia高层建筑专题表；需补充独立来源核验</x:v>
      </x:c>
      <x:c r="AA335" s="21" t="str">
        <x:v>List of fires in high-rise buildings</x:v>
      </x:c>
      <x:c r="AB335" s="21" t="str">
        <x:v>Wikipedia专题列表</x:v>
      </x:c>
      <x:c r="AC335" s="21" t="str"/>
      <x:c r="AD335" s="21" t="n">
        <x:v>1</x:v>
      </x:c>
      <x:c r="AE335" s="21" t="str">
        <x:v>未检查</x:v>
      </x:c>
      <x:c r="AF335" s="21" t="str"/>
      <x:c r="AG335" s="24" t="n">
        <x:v>46260</x:v>
      </x:c>
      <x:c r="AH335" s="21" t="str"/>
      <x:c r="AI335" s="21" t="n">
        <x:v>1</x:v>
      </x:c>
      <x:c r="AJ335" s="21" t="str">
        <x:v>未评估（本事件表不建立热浪因果关系）</x:v>
      </x:c>
      <x:c r="AK335" s="21" t="str">
        <x:v>缺失/待核实</x:v>
      </x:c>
    </x:row>
    <x:row r="336" ht="42" customHeight="1">
      <x:c r="A336" s="33" t="n">
        <x:v>335</x:v>
      </x:c>
      <x:c r="B336" s="33" t="str">
        <x:v>RAW-0335</x:v>
      </x:c>
      <x:c r="C336" s="36" t="str">
        <x:v>亚洲</x:v>
      </x:c>
      <x:c r="D336" s="36" t="str">
        <x:v>United Arab Emirates</x:v>
      </x:c>
      <x:c r="E336" s="21" t="str">
        <x:v>Dubai</x:v>
      </x:c>
      <x:c r="F336" s="21" t="str">
        <x:v>Tamweel Tower fire</x:v>
      </x:c>
      <x:c r="G336" s="39" t="n">
        <x:v>41231</x:v>
      </x:c>
      <x:c r="H336" s="21" t="str">
        <x:v>Tamweel Tower高层建筑火灾；建筑高度记录为 160 m。死亡人数：0。</x:v>
      </x:c>
      <x:c r="I336" s="21" t="str">
        <x:v>未检索到/待核实</x:v>
      </x:c>
      <x:c r="J336" s="21" t="str">
        <x:v>死亡人数：0。</x:v>
      </x:c>
      <x:c r="K336" s="21" t="str">
        <x:v>http://www.emirates247.com/news/emirates/jlt-s-tamweel-tower-fire-residents-recount-waking-up-to-nightmare-2012-11-19-1.483506</x:v>
      </x:c>
      <x:c r="L336" s="27"/>
      <x:c r="M336" s="27"/>
      <x:c r="N336" s="21" t="str">
        <x:v>未提供坐标</x:v>
      </x:c>
      <x:c r="O336" s="21" t="str">
        <x:v>高层建筑火灾</x:v>
      </x:c>
      <x:c r="P336" s="21" t="str">
        <x:v>未检索到</x:v>
      </x:c>
      <x:c r="Q336" s="21" t="str">
        <x:v>160 m</x:v>
      </x:c>
      <x:c r="R336" s="21" t="str">
        <x:v>未检索到</x:v>
      </x:c>
      <x:c r="S336" s="21" t="str">
        <x:v>未检索到</x:v>
      </x:c>
      <x:c r="T336" s="42" t="n">
        <x:v>0</x:v>
      </x:c>
      <x:c r="U336" s="42"/>
      <x:c r="V336" s="42"/>
      <x:c r="W336" s="33" t="str">
        <x:v>C</x:v>
      </x:c>
      <x:c r="X336" s="33" t="str">
        <x:v>compendium_needs_independent_verification</x:v>
      </x:c>
      <x:c r="Y336" s="33" t="str">
        <x:v>候选待核实</x:v>
      </x:c>
      <x:c r="Z336" s="21" t="str">
        <x:v>Wikipedia高层建筑专题表；需补充独立来源核验</x:v>
      </x:c>
      <x:c r="AA336" s="21" t="str">
        <x:v>List of fires in high-rise buildings</x:v>
      </x:c>
      <x:c r="AB336" s="21" t="str">
        <x:v>Wikipedia专题列表</x:v>
      </x:c>
      <x:c r="AC336" s="21" t="str"/>
      <x:c r="AD336" s="21" t="n">
        <x:v>1</x:v>
      </x:c>
      <x:c r="AE336" s="21" t="str">
        <x:v>未检查</x:v>
      </x:c>
      <x:c r="AF336" s="21" t="str"/>
      <x:c r="AG336" s="24" t="n">
        <x:v>46260</x:v>
      </x:c>
      <x:c r="AH336" s="21" t="str"/>
      <x:c r="AI336" s="21" t="n">
        <x:v>1</x:v>
      </x:c>
      <x:c r="AJ336" s="21" t="str">
        <x:v>未评估（本事件表不建立热浪因果关系）</x:v>
      </x:c>
      <x:c r="AK336" s="21" t="str">
        <x:v>缺失/待核实</x:v>
      </x:c>
    </x:row>
    <x:row r="337" ht="42" customHeight="1">
      <x:c r="A337" s="33" t="n">
        <x:v>336</x:v>
      </x:c>
      <x:c r="B337" s="33" t="str">
        <x:v>RAW-0336</x:v>
      </x:c>
      <x:c r="C337" s="36" t="str">
        <x:v>欧洲</x:v>
      </x:c>
      <x:c r="D337" s="36" t="str">
        <x:v>Russia</x:v>
      </x:c>
      <x:c r="E337" s="21" t="str">
        <x:v>Moscow</x:v>
      </x:c>
      <x:c r="F337" s="21" t="str">
        <x:v>Oko Tower 1 fire</x:v>
      </x:c>
      <x:c r="G337" s="39" t="n">
        <x:v>41299</x:v>
      </x:c>
      <x:c r="H337" s="21" t="str">
        <x:v>Oko Tower 1高层建筑火灾；建筑高度记录为 354.1 m。死亡人数：0。Fire occurred on 24th floor during construction, one worker was injured.</x:v>
      </x:c>
      <x:c r="I337" s="21" t="str">
        <x:v>未检索到/待核实</x:v>
      </x:c>
      <x:c r="J337" s="21" t="str">
        <x:v>死亡人数：0。Fire occurred on 24th floor during construction, one worker was injured.</x:v>
      </x:c>
      <x:c r="K337" s="21" t="str">
        <x:v>https://www.reuters.com/article/uk-russia-skyscraper-fire-idUSLNE90O02B20130125</x:v>
      </x:c>
      <x:c r="L337" s="27"/>
      <x:c r="M337" s="27"/>
      <x:c r="N337" s="21" t="str">
        <x:v>未提供坐标</x:v>
      </x:c>
      <x:c r="O337" s="21" t="str">
        <x:v>高层建筑火灾</x:v>
      </x:c>
      <x:c r="P337" s="21" t="str">
        <x:v>未检索到</x:v>
      </x:c>
      <x:c r="Q337" s="21" t="str">
        <x:v>354.1 m</x:v>
      </x:c>
      <x:c r="R337" s="21" t="str">
        <x:v>未检索到</x:v>
      </x:c>
      <x:c r="S337" s="21" t="str">
        <x:v>未检索到</x:v>
      </x:c>
      <x:c r="T337" s="42" t="n">
        <x:v>0</x:v>
      </x:c>
      <x:c r="U337" s="42"/>
      <x:c r="V337" s="42"/>
      <x:c r="W337" s="33" t="str">
        <x:v>C</x:v>
      </x:c>
      <x:c r="X337" s="33" t="str">
        <x:v>compendium_needs_independent_verification</x:v>
      </x:c>
      <x:c r="Y337" s="33" t="str">
        <x:v>候选待核实</x:v>
      </x:c>
      <x:c r="Z337" s="21" t="str">
        <x:v>Wikipedia高层建筑专题表；需补充独立来源核验</x:v>
      </x:c>
      <x:c r="AA337" s="21" t="str">
        <x:v>List of fires in high-rise buildings</x:v>
      </x:c>
      <x:c r="AB337" s="21" t="str">
        <x:v>Wikipedia专题列表</x:v>
      </x:c>
      <x:c r="AC337" s="21" t="str"/>
      <x:c r="AD337" s="21" t="n">
        <x:v>1</x:v>
      </x:c>
      <x:c r="AE337" s="21" t="str">
        <x:v>未检查</x:v>
      </x:c>
      <x:c r="AF337" s="21" t="str"/>
      <x:c r="AG337" s="24" t="n">
        <x:v>46260</x:v>
      </x:c>
      <x:c r="AH337" s="21" t="str"/>
      <x:c r="AI337" s="21" t="n">
        <x:v>1</x:v>
      </x:c>
      <x:c r="AJ337" s="21" t="str">
        <x:v>未评估（本事件表不建立热浪因果关系）</x:v>
      </x:c>
      <x:c r="AK337" s="21" t="str">
        <x:v>缺失/待核实</x:v>
      </x:c>
    </x:row>
    <x:row r="338" ht="42" customHeight="1">
      <x:c r="A338" s="33" t="n">
        <x:v>337</x:v>
      </x:c>
      <x:c r="B338" s="33" t="str">
        <x:v>RAW-0337</x:v>
      </x:c>
      <x:c r="C338" s="36" t="str">
        <x:v>北美洲</x:v>
      </x:c>
      <x:c r="D338" s="36" t="str">
        <x:v>Mexico</x:v>
      </x:c>
      <x:c r="E338" s="21" t="str">
        <x:v>Mexico City</x:v>
      </x:c>
      <x:c r="F338" s="21" t="str">
        <x:v>Torre Ejecutiva Pemex explosion</x:v>
      </x:c>
      <x:c r="G338" s="39" t="n">
        <x:v>41305</x:v>
      </x:c>
      <x:c r="H338" s="21" t="str">
        <x:v>Torre Ejecutiva Pemex Tower高层建筑火灾；建筑高度记录为 214 m。死亡人数：33。Gas explosion affecting the main building's 14-story annex Torre Ejecutiva Pemex explosion</x:v>
      </x:c>
      <x:c r="I338" s="21" t="str">
        <x:v>Gas explosion affecting the main building's 14-story annex Torre Ejecutiva Pemex explosion</x:v>
      </x:c>
      <x:c r="J338" s="21" t="str">
        <x:v>死亡人数：33。Gas explosion affecting the main building's 14-story annex Torre Ejecutiva Pemex explosion</x:v>
      </x:c>
      <x:c r="K338" s="21" t="str">
        <x:v>https://en.wikipedia.org/wiki/Torre_Ejecutiva_Pemex_explosion</x:v>
      </x:c>
      <x:c r="L338" s="27"/>
      <x:c r="M338" s="27"/>
      <x:c r="N338" s="21" t="str">
        <x:v>未提供坐标</x:v>
      </x:c>
      <x:c r="O338" s="21" t="str">
        <x:v>高层建筑火灾</x:v>
      </x:c>
      <x:c r="P338" s="21" t="str">
        <x:v>未检索到</x:v>
      </x:c>
      <x:c r="Q338" s="21" t="str">
        <x:v>214 m</x:v>
      </x:c>
      <x:c r="R338" s="21" t="str">
        <x:v>未检索到</x:v>
      </x:c>
      <x:c r="S338" s="21" t="str">
        <x:v>未检索到</x:v>
      </x:c>
      <x:c r="T338" s="42" t="n">
        <x:v>33</x:v>
      </x:c>
      <x:c r="U338" s="42"/>
      <x:c r="V338" s="42"/>
      <x:c r="W338" s="33" t="str">
        <x:v>B</x:v>
      </x:c>
      <x:c r="X338" s="33" t="str">
        <x:v>compendium_needs_independent_verification</x:v>
      </x:c>
      <x:c r="Y338" s="33" t="str">
        <x:v>候选待核实</x:v>
      </x:c>
      <x:c r="Z338" s="21" t="str">
        <x:v>Wikipedia具名事件页+高层建筑专题表</x:v>
      </x:c>
      <x:c r="AA338" s="21" t="str">
        <x:v>List of fires in high-rise buildings</x:v>
      </x:c>
      <x:c r="AB338" s="21" t="str">
        <x:v>Wikipedia专题列表</x:v>
      </x:c>
      <x:c r="AC338" s="21" t="str"/>
      <x:c r="AD338" s="21" t="n">
        <x:v>1</x:v>
      </x:c>
      <x:c r="AE338" s="21" t="str">
        <x:v>未检查</x:v>
      </x:c>
      <x:c r="AF338" s="21" t="str"/>
      <x:c r="AG338" s="24" t="n">
        <x:v>46260</x:v>
      </x:c>
      <x:c r="AH338" s="21" t="str"/>
      <x:c r="AI338" s="21" t="n">
        <x:v>1</x:v>
      </x:c>
      <x:c r="AJ338" s="21" t="str">
        <x:v>未评估（本事件表不建立热浪因果关系）</x:v>
      </x:c>
      <x:c r="AK338" s="21" t="str">
        <x:v>已有来源描述</x:v>
      </x:c>
    </x:row>
    <x:row r="339" ht="42" customHeight="1">
      <x:c r="A339" s="33" t="n">
        <x:v>338</x:v>
      </x:c>
      <x:c r="B339" s="33" t="str">
        <x:v>RAW-0338</x:v>
      </x:c>
      <x:c r="C339" s="36" t="str">
        <x:v>欧洲</x:v>
      </x:c>
      <x:c r="D339" s="36" t="str">
        <x:v>Russia</x:v>
      </x:c>
      <x:c r="E339" s="21" t="str">
        <x:v>Grozny</x:v>
      </x:c>
      <x:c r="F339" s="21" t="str">
        <x:v>Grozny-City Towers fire</x:v>
      </x:c>
      <x:c r="G339" s="39" t="n">
        <x:v>41367</x:v>
      </x:c>
      <x:c r="H339" s="21" t="str">
        <x:v>Grozny-City Towers高层建筑火灾；建筑高度记录为 150 m。死亡人数：0。[citation needed]</x:v>
      </x:c>
      <x:c r="I339" s="21" t="str">
        <x:v>未检索到/待核实</x:v>
      </x:c>
      <x:c r="J339" s="21" t="str">
        <x:v>死亡人数：0。[citation needed]</x:v>
      </x:c>
      <x:c r="K339" s="21" t="str">
        <x:v>https://en.wikipedia.org/wiki/List_of_fires_in_high-rise_buildings</x:v>
      </x:c>
      <x:c r="L339" s="27"/>
      <x:c r="M339" s="27"/>
      <x:c r="N339" s="21" t="str">
        <x:v>未提供坐标</x:v>
      </x:c>
      <x:c r="O339" s="21" t="str">
        <x:v>高层建筑火灾</x:v>
      </x:c>
      <x:c r="P339" s="21" t="str">
        <x:v>未检索到</x:v>
      </x:c>
      <x:c r="Q339" s="21" t="str">
        <x:v>150 m</x:v>
      </x:c>
      <x:c r="R339" s="21" t="str">
        <x:v>未检索到</x:v>
      </x:c>
      <x:c r="S339" s="21" t="str">
        <x:v>未检索到</x:v>
      </x:c>
      <x:c r="T339" s="42" t="n">
        <x:v>0</x:v>
      </x:c>
      <x:c r="U339" s="42"/>
      <x:c r="V339" s="42"/>
      <x:c r="W339" s="33" t="str">
        <x:v>C</x:v>
      </x:c>
      <x:c r="X339" s="33" t="str">
        <x:v>compendium_needs_independent_verification</x:v>
      </x:c>
      <x:c r="Y339" s="33" t="str">
        <x:v>候选待核实</x:v>
      </x:c>
      <x:c r="Z339" s="21" t="str">
        <x:v>Wikipedia高层建筑专题表；需补充独立来源核验</x:v>
      </x:c>
      <x:c r="AA339" s="21" t="str">
        <x:v>List of fires in high-rise buildings</x:v>
      </x:c>
      <x:c r="AB339" s="21" t="str">
        <x:v>Wikipedia专题列表</x:v>
      </x:c>
      <x:c r="AC339" s="21" t="str"/>
      <x:c r="AD339" s="21" t="n">
        <x:v>1</x:v>
      </x:c>
      <x:c r="AE339" s="21" t="str">
        <x:v>未检查</x:v>
      </x:c>
      <x:c r="AF339" s="21" t="str"/>
      <x:c r="AG339" s="24" t="n">
        <x:v>46260</x:v>
      </x:c>
      <x:c r="AH339" s="21" t="str"/>
      <x:c r="AI339" s="21" t="n">
        <x:v>1</x:v>
      </x:c>
      <x:c r="AJ339" s="21" t="str">
        <x:v>未评估（本事件表不建立热浪因果关系）</x:v>
      </x:c>
      <x:c r="AK339" s="21" t="str">
        <x:v>缺失/待核实</x:v>
      </x:c>
    </x:row>
    <x:row r="340" ht="42" customHeight="1">
      <x:c r="A340" s="33" t="n">
        <x:v>339</x:v>
      </x:c>
      <x:c r="B340" s="33" t="str">
        <x:v>RAW-0339</x:v>
      </x:c>
      <x:c r="C340" s="36" t="str">
        <x:v>亚洲</x:v>
      </x:c>
      <x:c r="D340" s="36" t="str">
        <x:v>China</x:v>
      </x:c>
      <x:c r="E340" s="21" t="str">
        <x:v>Guangzhou</x:v>
      </x:c>
      <x:c r="F340" s="21" t="str">
        <x:v>Guangzhou Jianye Building Fire</x:v>
      </x:c>
      <x:c r="G340" s="39" t="n">
        <x:v>41367</x:v>
      </x:c>
      <x:c r="H340" s="21" t="str">
        <x:v>Guangzhou Jianye Building Fire高层建筑火灾；建筑高度记录为 未列明。死亡人数：0。</x:v>
      </x:c>
      <x:c r="I340" s="21" t="str">
        <x:v>未检索到/待核实</x:v>
      </x:c>
      <x:c r="J340" s="21" t="str">
        <x:v>死亡人数：0。</x:v>
      </x:c>
      <x:c r="K340" s="21" t="str">
        <x:v>https://en.wikipedia.org/wiki/Guangzhou_Jianye_Building_Fire?action=edit&amp;redlink=1</x:v>
      </x:c>
      <x:c r="L340" s="27"/>
      <x:c r="M340" s="27"/>
      <x:c r="N340" s="21" t="str">
        <x:v>未提供坐标</x:v>
      </x:c>
      <x:c r="O340" s="21" t="str">
        <x:v>高层建筑火灾</x:v>
      </x:c>
      <x:c r="P340" s="21" t="str">
        <x:v>未检索到</x:v>
      </x:c>
      <x:c r="Q340" s="21" t="str">
        <x:v>未检索到</x:v>
      </x:c>
      <x:c r="R340" s="21" t="str">
        <x:v>未检索到</x:v>
      </x:c>
      <x:c r="S340" s="21" t="str">
        <x:v>未检索到</x:v>
      </x:c>
      <x:c r="T340" s="42" t="n">
        <x:v>0</x:v>
      </x:c>
      <x:c r="U340" s="42"/>
      <x:c r="V340" s="42"/>
      <x:c r="W340" s="33" t="str">
        <x:v>B</x:v>
      </x:c>
      <x:c r="X340" s="33" t="str">
        <x:v>compendium_needs_independent_verification</x:v>
      </x:c>
      <x:c r="Y340" s="33" t="str">
        <x:v>候选待核实</x:v>
      </x:c>
      <x:c r="Z340" s="21" t="str">
        <x:v>Wikipedia具名事件页+高层建筑专题表</x:v>
      </x:c>
      <x:c r="AA340" s="21" t="str">
        <x:v>List of fires in high-rise buildings</x:v>
      </x:c>
      <x:c r="AB340" s="21" t="str">
        <x:v>Wikipedia专题列表</x:v>
      </x:c>
      <x:c r="AC340" s="21" t="str"/>
      <x:c r="AD340" s="21" t="n">
        <x:v>1</x:v>
      </x:c>
      <x:c r="AE340" s="21" t="str">
        <x:v>未检查</x:v>
      </x:c>
      <x:c r="AF340" s="21" t="str"/>
      <x:c r="AG340" s="24" t="n">
        <x:v>46260</x:v>
      </x:c>
      <x:c r="AH340" s="21" t="str"/>
      <x:c r="AI340" s="21" t="n">
        <x:v>1</x:v>
      </x:c>
      <x:c r="AJ340" s="21" t="str">
        <x:v>未评估（本事件表不建立热浪因果关系）</x:v>
      </x:c>
      <x:c r="AK340" s="21" t="str">
        <x:v>缺失/待核实</x:v>
      </x:c>
    </x:row>
    <x:row r="341" ht="42" customHeight="1">
      <x:c r="A341" s="33" t="n">
        <x:v>340</x:v>
      </x:c>
      <x:c r="B341" s="33" t="str">
        <x:v>RAW-0340</x:v>
      </x:c>
      <x:c r="C341" s="36" t="str">
        <x:v>北美洲</x:v>
      </x:c>
      <x:c r="D341" s="36" t="str">
        <x:v>United States</x:v>
      </x:c>
      <x:c r="E341" s="21" t="str">
        <x:v>New York City</x:v>
      </x:c>
      <x:c r="F341" s="21" t="str">
        <x:v>The Strand fire</x:v>
      </x:c>
      <x:c r="G341" s="39" t="n">
        <x:v>41644</x:v>
      </x:c>
      <x:c r="H341" s="21" t="str">
        <x:v>The Strand高层建筑火灾；建筑高度记录为 未列明。死亡人数：1。</x:v>
      </x:c>
      <x:c r="I341" s="21" t="str">
        <x:v>未检索到/待核实</x:v>
      </x:c>
      <x:c r="J341" s="21" t="str">
        <x:v>死亡人数：1。</x:v>
      </x:c>
      <x:c r="K341" s="21" t="str">
        <x:v>https://www.nytimes.com/2014/01/06/nyregion/fire-at-manhattan-high-rise-injures-two.html</x:v>
      </x:c>
      <x:c r="L341" s="27"/>
      <x:c r="M341" s="27"/>
      <x:c r="N341" s="21" t="str">
        <x:v>未提供坐标</x:v>
      </x:c>
      <x:c r="O341" s="21" t="str">
        <x:v>高层建筑火灾</x:v>
      </x:c>
      <x:c r="P341" s="21" t="str">
        <x:v>未检索到</x:v>
      </x:c>
      <x:c r="Q341" s="21" t="str">
        <x:v>未检索到</x:v>
      </x:c>
      <x:c r="R341" s="21" t="str">
        <x:v>未检索到</x:v>
      </x:c>
      <x:c r="S341" s="21" t="str">
        <x:v>未检索到</x:v>
      </x:c>
      <x:c r="T341" s="42" t="n">
        <x:v>1</x:v>
      </x:c>
      <x:c r="U341" s="42"/>
      <x:c r="V341" s="42"/>
      <x:c r="W341" s="33" t="str">
        <x:v>C</x:v>
      </x:c>
      <x:c r="X341" s="33" t="str">
        <x:v>compendium_needs_independent_verification</x:v>
      </x:c>
      <x:c r="Y341" s="33" t="str">
        <x:v>候选待核实</x:v>
      </x:c>
      <x:c r="Z341" s="21" t="str">
        <x:v>Wikipedia高层建筑专题表；需补充独立来源核验</x:v>
      </x:c>
      <x:c r="AA341" s="21" t="str">
        <x:v>List of fires in high-rise buildings</x:v>
      </x:c>
      <x:c r="AB341" s="21" t="str">
        <x:v>Wikipedia专题列表</x:v>
      </x:c>
      <x:c r="AC341" s="21" t="str"/>
      <x:c r="AD341" s="21" t="n">
        <x:v>1</x:v>
      </x:c>
      <x:c r="AE341" s="21" t="str">
        <x:v>未检查</x:v>
      </x:c>
      <x:c r="AF341" s="21" t="str"/>
      <x:c r="AG341" s="24" t="n">
        <x:v>46260</x:v>
      </x:c>
      <x:c r="AH341" s="21" t="str"/>
      <x:c r="AI341" s="21" t="n">
        <x:v>1</x:v>
      </x:c>
      <x:c r="AJ341" s="21" t="str">
        <x:v>未评估（本事件表不建立热浪因果关系）</x:v>
      </x:c>
      <x:c r="AK341" s="21" t="str">
        <x:v>缺失/待核实</x:v>
      </x:c>
    </x:row>
    <x:row r="342" ht="42" customHeight="1">
      <x:c r="A342" s="33" t="n">
        <x:v>341</x:v>
      </x:c>
      <x:c r="B342" s="33" t="str">
        <x:v>RAW-0341</x:v>
      </x:c>
      <x:c r="C342" s="36" t="str">
        <x:v>北美洲</x:v>
      </x:c>
      <x:c r="D342" s="36" t="str">
        <x:v>United States</x:v>
      </x:c>
      <x:c r="E342" s="21" t="str">
        <x:v>New York City</x:v>
      </x:c>
      <x:c r="F342" s="21" t="str">
        <x:v>One57 fire</x:v>
      </x:c>
      <x:c r="G342" s="39" t="n">
        <x:v>41712</x:v>
      </x:c>
      <x:c r="H342" s="21" t="str">
        <x:v>One57高层建筑火灾；建筑高度记录为 306 m。死亡人数：0。Fire broke out in the loading dock, then spread to the courtyard and a neighboring property.</x:v>
      </x:c>
      <x:c r="I342" s="21" t="str">
        <x:v>未检索到/待核实</x:v>
      </x:c>
      <x:c r="J342" s="21" t="str">
        <x:v>死亡人数：0。Fire broke out in the loading dock, then spread to the courtyard and a neighboring property.</x:v>
      </x:c>
      <x:c r="K342" s="21" t="str">
        <x:v>https://www.dnainfo.com/new-york/20140316/midtown/fire-breaks-out-at-problematic-one57-construction-site</x:v>
      </x:c>
      <x:c r="L342" s="27"/>
      <x:c r="M342" s="27"/>
      <x:c r="N342" s="21" t="str">
        <x:v>未提供坐标</x:v>
      </x:c>
      <x:c r="O342" s="21" t="str">
        <x:v>高层建筑火灾</x:v>
      </x:c>
      <x:c r="P342" s="21" t="str">
        <x:v>未检索到</x:v>
      </x:c>
      <x:c r="Q342" s="21" t="str">
        <x:v>306 m</x:v>
      </x:c>
      <x:c r="R342" s="21" t="str">
        <x:v>未检索到</x:v>
      </x:c>
      <x:c r="S342" s="21" t="str">
        <x:v>未检索到</x:v>
      </x:c>
      <x:c r="T342" s="42" t="n">
        <x:v>0</x:v>
      </x:c>
      <x:c r="U342" s="42"/>
      <x:c r="V342" s="42"/>
      <x:c r="W342" s="33" t="str">
        <x:v>C</x:v>
      </x:c>
      <x:c r="X342" s="33" t="str">
        <x:v>compendium_needs_independent_verification</x:v>
      </x:c>
      <x:c r="Y342" s="33" t="str">
        <x:v>候选待核实</x:v>
      </x:c>
      <x:c r="Z342" s="21" t="str">
        <x:v>Wikipedia高层建筑专题表；需补充独立来源核验</x:v>
      </x:c>
      <x:c r="AA342" s="21" t="str">
        <x:v>List of fires in high-rise buildings</x:v>
      </x:c>
      <x:c r="AB342" s="21" t="str">
        <x:v>Wikipedia专题列表</x:v>
      </x:c>
      <x:c r="AC342" s="21" t="str"/>
      <x:c r="AD342" s="21" t="n">
        <x:v>1</x:v>
      </x:c>
      <x:c r="AE342" s="21" t="str">
        <x:v>未检查</x:v>
      </x:c>
      <x:c r="AF342" s="21" t="str"/>
      <x:c r="AG342" s="24" t="n">
        <x:v>46260</x:v>
      </x:c>
      <x:c r="AH342" s="21" t="str"/>
      <x:c r="AI342" s="21" t="n">
        <x:v>1</x:v>
      </x:c>
      <x:c r="AJ342" s="21" t="str">
        <x:v>未评估（本事件表不建立热浪因果关系）</x:v>
      </x:c>
      <x:c r="AK342" s="21" t="str">
        <x:v>缺失/待核实</x:v>
      </x:c>
    </x:row>
    <x:row r="343" ht="42" customHeight="1">
      <x:c r="A343" s="33" t="n">
        <x:v>342</x:v>
      </x:c>
      <x:c r="B343" s="33" t="str">
        <x:v>RAW-0342</x:v>
      </x:c>
      <x:c r="C343" s="36" t="str">
        <x:v>欧洲</x:v>
      </x:c>
      <x:c r="D343" s="36" t="str">
        <x:v>France</x:v>
      </x:c>
      <x:c r="E343" s="21" t="str">
        <x:v>Roubaix</x:v>
      </x:c>
      <x:c r="F343" s="21" t="str">
        <x:v>Mermoz Tower fire</x:v>
      </x:c>
      <x:c r="G343" s="39" t="n">
        <x:v>41043</x:v>
      </x:c>
      <x:c r="H343" s="21" t="str">
        <x:v>Mermoz Tower高层建筑火灾；建筑高度记录为 52.8 m。死亡人数：0。</x:v>
      </x:c>
      <x:c r="I343" s="21" t="str">
        <x:v>未检索到/待核实</x:v>
      </x:c>
      <x:c r="J343" s="21" t="str">
        <x:v>死亡人数：0。</x:v>
      </x:c>
      <x:c r="K343" s="21" t="str">
        <x:v>https://en.wikipedia.org/wiki/List_of_fires_in_high-rise_buildings</x:v>
      </x:c>
      <x:c r="L343" s="27"/>
      <x:c r="M343" s="27"/>
      <x:c r="N343" s="21" t="str">
        <x:v>未提供坐标</x:v>
      </x:c>
      <x:c r="O343" s="21" t="str">
        <x:v>高层建筑火灾</x:v>
      </x:c>
      <x:c r="P343" s="21" t="str">
        <x:v>未检索到</x:v>
      </x:c>
      <x:c r="Q343" s="21" t="str">
        <x:v>52.8 m</x:v>
      </x:c>
      <x:c r="R343" s="21" t="str">
        <x:v>未检索到</x:v>
      </x:c>
      <x:c r="S343" s="21" t="str">
        <x:v>未检索到</x:v>
      </x:c>
      <x:c r="T343" s="42" t="n">
        <x:v>0</x:v>
      </x:c>
      <x:c r="U343" s="42"/>
      <x:c r="V343" s="42"/>
      <x:c r="W343" s="33" t="str">
        <x:v>C</x:v>
      </x:c>
      <x:c r="X343" s="33" t="str">
        <x:v>compendium_needs_independent_verification</x:v>
      </x:c>
      <x:c r="Y343" s="33" t="str">
        <x:v>候选待核实</x:v>
      </x:c>
      <x:c r="Z343" s="21" t="str">
        <x:v>Wikipedia高层建筑专题表；需补充独立来源核验</x:v>
      </x:c>
      <x:c r="AA343" s="21" t="str">
        <x:v>List of fires in high-rise buildings</x:v>
      </x:c>
      <x:c r="AB343" s="21" t="str">
        <x:v>Wikipedia专题列表</x:v>
      </x:c>
      <x:c r="AC343" s="21" t="str"/>
      <x:c r="AD343" s="21" t="n">
        <x:v>1</x:v>
      </x:c>
      <x:c r="AE343" s="21" t="str">
        <x:v>未检查</x:v>
      </x:c>
      <x:c r="AF343" s="21" t="str"/>
      <x:c r="AG343" s="24" t="n">
        <x:v>46260</x:v>
      </x:c>
      <x:c r="AH343" s="21" t="str"/>
      <x:c r="AI343" s="21" t="n">
        <x:v>1</x:v>
      </x:c>
      <x:c r="AJ343" s="21" t="str">
        <x:v>未评估（本事件表不建立热浪因果关系）</x:v>
      </x:c>
      <x:c r="AK343" s="21" t="str">
        <x:v>缺失/待核实</x:v>
      </x:c>
    </x:row>
    <x:row r="344" ht="42" customHeight="1">
      <x:c r="A344" s="33" t="n">
        <x:v>343</x:v>
      </x:c>
      <x:c r="B344" s="33" t="str">
        <x:v>RAW-0343</x:v>
      </x:c>
      <x:c r="C344" s="36" t="str">
        <x:v>亚洲</x:v>
      </x:c>
      <x:c r="D344" s="36" t="str">
        <x:v>India</x:v>
      </x:c>
      <x:c r="E344" s="21" t="str">
        <x:v>Mumbai</x:v>
      </x:c>
      <x:c r="F344" s="21" t="str">
        <x:v>Lotus Park building fire</x:v>
      </x:c>
      <x:c r="G344" s="39" t="n">
        <x:v>41838</x:v>
      </x:c>
      <x:c r="H344" s="21" t="str">
        <x:v>Lotus Park building高层建筑火灾；建筑高度记录为 未列明。死亡人数：1。</x:v>
      </x:c>
      <x:c r="I344" s="21" t="str">
        <x:v>未检索到/待核实</x:v>
      </x:c>
      <x:c r="J344" s="21" t="str">
        <x:v>死亡人数：1。</x:v>
      </x:c>
      <x:c r="K344" s="21" t="str">
        <x:v>http://us.india.com/loudspeaker/mumbai-fire-fireman-killed-in-mumbai-high-rise-blaze-98392/</x:v>
      </x:c>
      <x:c r="L344" s="27"/>
      <x:c r="M344" s="27"/>
      <x:c r="N344" s="21" t="str">
        <x:v>未提供坐标</x:v>
      </x:c>
      <x:c r="O344" s="21" t="str">
        <x:v>高层建筑火灾</x:v>
      </x:c>
      <x:c r="P344" s="21" t="str">
        <x:v>未检索到</x:v>
      </x:c>
      <x:c r="Q344" s="21" t="str">
        <x:v>未检索到</x:v>
      </x:c>
      <x:c r="R344" s="21" t="str">
        <x:v>未检索到</x:v>
      </x:c>
      <x:c r="S344" s="21" t="str">
        <x:v>未检索到</x:v>
      </x:c>
      <x:c r="T344" s="42" t="n">
        <x:v>1</x:v>
      </x:c>
      <x:c r="U344" s="42"/>
      <x:c r="V344" s="42"/>
      <x:c r="W344" s="33" t="str">
        <x:v>C</x:v>
      </x:c>
      <x:c r="X344" s="33" t="str">
        <x:v>compendium_needs_independent_verification</x:v>
      </x:c>
      <x:c r="Y344" s="33" t="str">
        <x:v>候选待核实</x:v>
      </x:c>
      <x:c r="Z344" s="21" t="str">
        <x:v>Wikipedia高层建筑专题表；需补充独立来源核验</x:v>
      </x:c>
      <x:c r="AA344" s="21" t="str">
        <x:v>List of fires in high-rise buildings</x:v>
      </x:c>
      <x:c r="AB344" s="21" t="str">
        <x:v>Wikipedia专题列表</x:v>
      </x:c>
      <x:c r="AC344" s="21" t="str"/>
      <x:c r="AD344" s="21" t="n">
        <x:v>1</x:v>
      </x:c>
      <x:c r="AE344" s="21" t="str">
        <x:v>未检查</x:v>
      </x:c>
      <x:c r="AF344" s="21" t="str"/>
      <x:c r="AG344" s="24" t="n">
        <x:v>46260</x:v>
      </x:c>
      <x:c r="AH344" s="21" t="str"/>
      <x:c r="AI344" s="21" t="n">
        <x:v>1</x:v>
      </x:c>
      <x:c r="AJ344" s="21" t="str">
        <x:v>未评估（本事件表不建立热浪因果关系）</x:v>
      </x:c>
      <x:c r="AK344" s="21" t="str">
        <x:v>缺失/待核实</x:v>
      </x:c>
    </x:row>
    <x:row r="345" ht="42" customHeight="1">
      <x:c r="A345" s="33" t="n">
        <x:v>344</x:v>
      </x:c>
      <x:c r="B345" s="33" t="str">
        <x:v>RAW-0344</x:v>
      </x:c>
      <x:c r="C345" s="36" t="str">
        <x:v>大洋洲</x:v>
      </x:c>
      <x:c r="D345" s="36" t="str">
        <x:v>Australia</x:v>
      </x:c>
      <x:c r="E345" s="21" t="str">
        <x:v>Melbourne</x:v>
      </x:c>
      <x:c r="F345" s="21" t="str">
        <x:v>Lacrosse Apartments fire</x:v>
      </x:c>
      <x:c r="G345" s="39" t="n">
        <x:v>41968</x:v>
      </x:c>
      <x:c r="H345" s="21" t="str">
        <x:v>Lacrosse Apartments高层建筑火灾；建筑高度记录为 未列明。死亡人数：0。Fire started on an 8th floor balcony and rapidly spread up the facade cladding.</x:v>
      </x:c>
      <x:c r="I345" s="21" t="str">
        <x:v>Fire started on an 8th floor balcony and rapidly spread up the facade cladding.</x:v>
      </x:c>
      <x:c r="J345" s="21" t="str">
        <x:v>死亡人数：0。Fire started on an 8th floor balcony and rapidly spread up the facade cladding.</x:v>
      </x:c>
      <x:c r="K345" s="21" t="str">
        <x:v>http://www.theage.com.au/victoria/docklands-apartment-tower-fire-fuelled-by-material-in-buildings-walls-says-mfb-20150427-1mukhx.html</x:v>
      </x:c>
      <x:c r="L345" s="27"/>
      <x:c r="M345" s="27"/>
      <x:c r="N345" s="21" t="str">
        <x:v>未提供坐标</x:v>
      </x:c>
      <x:c r="O345" s="21" t="str">
        <x:v>高层建筑火灾</x:v>
      </x:c>
      <x:c r="P345" s="21" t="str">
        <x:v>未检索到</x:v>
      </x:c>
      <x:c r="Q345" s="21" t="str">
        <x:v>未检索到</x:v>
      </x:c>
      <x:c r="R345" s="21" t="str">
        <x:v>未检索到</x:v>
      </x:c>
      <x:c r="S345" s="21" t="str">
        <x:v>未检索到</x:v>
      </x:c>
      <x:c r="T345" s="42" t="n">
        <x:v>0</x:v>
      </x:c>
      <x:c r="U345" s="42"/>
      <x:c r="V345" s="42"/>
      <x:c r="W345" s="33" t="str">
        <x:v>C</x:v>
      </x:c>
      <x:c r="X345" s="33" t="str">
        <x:v>compendium_needs_independent_verification</x:v>
      </x:c>
      <x:c r="Y345" s="33" t="str">
        <x:v>候选待核实</x:v>
      </x:c>
      <x:c r="Z345" s="21" t="str">
        <x:v>Wikipedia高层建筑专题表；需补充独立来源核验</x:v>
      </x:c>
      <x:c r="AA345" s="21" t="str">
        <x:v>List of fires in high-rise buildings</x:v>
      </x:c>
      <x:c r="AB345" s="21" t="str">
        <x:v>Wikipedia专题列表</x:v>
      </x:c>
      <x:c r="AC345" s="21" t="str"/>
      <x:c r="AD345" s="21" t="n">
        <x:v>1</x:v>
      </x:c>
      <x:c r="AE345" s="21" t="str">
        <x:v>未检查</x:v>
      </x:c>
      <x:c r="AF345" s="21" t="str"/>
      <x:c r="AG345" s="24" t="n">
        <x:v>46260</x:v>
      </x:c>
      <x:c r="AH345" s="21" t="str"/>
      <x:c r="AI345" s="21" t="n">
        <x:v>1</x:v>
      </x:c>
      <x:c r="AJ345" s="21" t="str">
        <x:v>未评估（本事件表不建立热浪因果关系）</x:v>
      </x:c>
      <x:c r="AK345" s="21" t="str">
        <x:v>已有来源描述</x:v>
      </x:c>
    </x:row>
    <x:row r="346" ht="42" customHeight="1">
      <x:c r="A346" s="33" t="n">
        <x:v>345</x:v>
      </x:c>
      <x:c r="B346" s="33" t="str">
        <x:v>RAW-0345</x:v>
      </x:c>
      <x:c r="C346" s="36" t="str">
        <x:v>北美洲</x:v>
      </x:c>
      <x:c r="D346" s="36" t="str">
        <x:v>United States</x:v>
      </x:c>
      <x:c r="E346" s="21" t="str">
        <x:v>Castle Hills</x:v>
      </x:c>
      <x:c r="F346" s="21" t="str">
        <x:v>The Wedgwood fire</x:v>
      </x:c>
      <x:c r="G346" s="39" t="n">
        <x:v>42001</x:v>
      </x:c>
      <x:c r="H346" s="21" t="str">
        <x:v>The Wedgwood高层建筑火灾；建筑高度记录为 30 m。死亡人数：5。The fire occurred on one wing of the third floor causing extensive smoke damage.</x:v>
      </x:c>
      <x:c r="I346" s="21" t="str">
        <x:v>未检索到/待核实</x:v>
      </x:c>
      <x:c r="J346" s="21" t="str">
        <x:v>死亡人数：5。The fire occurred on one wing of the third floor causing extensive smoke damage.</x:v>
      </x:c>
      <x:c r="K346" s="21" t="str">
        <x:v>https://www.cbsnews.com/news/at-least-five-killed-in-blaze-at-senior-apartments-in-san-antonio/</x:v>
      </x:c>
      <x:c r="L346" s="27"/>
      <x:c r="M346" s="27"/>
      <x:c r="N346" s="21" t="str">
        <x:v>未提供坐标</x:v>
      </x:c>
      <x:c r="O346" s="21" t="str">
        <x:v>高层建筑火灾</x:v>
      </x:c>
      <x:c r="P346" s="21" t="str">
        <x:v>未检索到</x:v>
      </x:c>
      <x:c r="Q346" s="21" t="str">
        <x:v>30 m</x:v>
      </x:c>
      <x:c r="R346" s="21" t="str">
        <x:v>未检索到</x:v>
      </x:c>
      <x:c r="S346" s="21" t="str">
        <x:v>未检索到</x:v>
      </x:c>
      <x:c r="T346" s="42" t="n">
        <x:v>5</x:v>
      </x:c>
      <x:c r="U346" s="42"/>
      <x:c r="V346" s="42"/>
      <x:c r="W346" s="33" t="str">
        <x:v>C</x:v>
      </x:c>
      <x:c r="X346" s="33" t="str">
        <x:v>compendium_needs_independent_verification</x:v>
      </x:c>
      <x:c r="Y346" s="33" t="str">
        <x:v>候选待核实</x:v>
      </x:c>
      <x:c r="Z346" s="21" t="str">
        <x:v>Wikipedia高层建筑专题表；需补充独立来源核验</x:v>
      </x:c>
      <x:c r="AA346" s="21" t="str">
        <x:v>List of fires in high-rise buildings</x:v>
      </x:c>
      <x:c r="AB346" s="21" t="str">
        <x:v>Wikipedia专题列表</x:v>
      </x:c>
      <x:c r="AC346" s="21" t="str"/>
      <x:c r="AD346" s="21" t="n">
        <x:v>1</x:v>
      </x:c>
      <x:c r="AE346" s="21" t="str">
        <x:v>未检查</x:v>
      </x:c>
      <x:c r="AF346" s="21" t="str"/>
      <x:c r="AG346" s="24" t="n">
        <x:v>46260</x:v>
      </x:c>
      <x:c r="AH346" s="21" t="str"/>
      <x:c r="AI346" s="21" t="n">
        <x:v>1</x:v>
      </x:c>
      <x:c r="AJ346" s="21" t="str">
        <x:v>未评估（本事件表不建立热浪因果关系）</x:v>
      </x:c>
      <x:c r="AK346" s="21" t="str">
        <x:v>缺失/待核实</x:v>
      </x:c>
    </x:row>
    <x:row r="347" ht="42" customHeight="1">
      <x:c r="A347" s="33" t="n">
        <x:v>346</x:v>
      </x:c>
      <x:c r="B347" s="33" t="str">
        <x:v>RAW-0346</x:v>
      </x:c>
      <x:c r="C347" s="36" t="str">
        <x:v>亚洲</x:v>
      </x:c>
      <x:c r="D347" s="36" t="str">
        <x:v>United Arab Emirates</x:v>
      </x:c>
      <x:c r="E347" s="21" t="str">
        <x:v>Dubai</x:v>
      </x:c>
      <x:c r="F347" s="21" t="str">
        <x:v>The Marina Torch fire</x:v>
      </x:c>
      <x:c r="G347" s="39" t="n">
        <x:v>42056</x:v>
      </x:c>
      <x:c r="H347" s="21" t="str">
        <x:v>The Marina Torch高层建筑火灾；建筑高度记录为 336.8 m。死亡人数：0。At least 7 people were injured.</x:v>
      </x:c>
      <x:c r="I347" s="21" t="str">
        <x:v>未检索到/待核实</x:v>
      </x:c>
      <x:c r="J347" s="21" t="str">
        <x:v>死亡人数：0。At least 7 people were injured.</x:v>
      </x:c>
      <x:c r="K347" s="21" t="str">
        <x:v>https://en.wikipedia.org/wiki/List_of_fires_in_high-rise_buildings</x:v>
      </x:c>
      <x:c r="L347" s="27"/>
      <x:c r="M347" s="27"/>
      <x:c r="N347" s="21" t="str">
        <x:v>未提供坐标</x:v>
      </x:c>
      <x:c r="O347" s="21" t="str">
        <x:v>高层建筑火灾</x:v>
      </x:c>
      <x:c r="P347" s="21" t="str">
        <x:v>未检索到</x:v>
      </x:c>
      <x:c r="Q347" s="21" t="str">
        <x:v>336.8 m</x:v>
      </x:c>
      <x:c r="R347" s="21" t="str">
        <x:v>未检索到</x:v>
      </x:c>
      <x:c r="S347" s="21" t="str">
        <x:v>未检索到</x:v>
      </x:c>
      <x:c r="T347" s="42" t="n">
        <x:v>0</x:v>
      </x:c>
      <x:c r="U347" s="42"/>
      <x:c r="V347" s="42"/>
      <x:c r="W347" s="33" t="str">
        <x:v>C</x:v>
      </x:c>
      <x:c r="X347" s="33" t="str">
        <x:v>compendium_needs_independent_verification</x:v>
      </x:c>
      <x:c r="Y347" s="33" t="str">
        <x:v>候选待核实</x:v>
      </x:c>
      <x:c r="Z347" s="21" t="str">
        <x:v>Wikipedia高层建筑专题表；需补充独立来源核验</x:v>
      </x:c>
      <x:c r="AA347" s="21" t="str">
        <x:v>List of fires in high-rise buildings</x:v>
      </x:c>
      <x:c r="AB347" s="21" t="str">
        <x:v>Wikipedia专题列表</x:v>
      </x:c>
      <x:c r="AC347" s="21" t="str"/>
      <x:c r="AD347" s="21" t="n">
        <x:v>1</x:v>
      </x:c>
      <x:c r="AE347" s="21" t="str">
        <x:v>未检查</x:v>
      </x:c>
      <x:c r="AF347" s="21" t="str"/>
      <x:c r="AG347" s="24" t="n">
        <x:v>46260</x:v>
      </x:c>
      <x:c r="AH347" s="21" t="str"/>
      <x:c r="AI347" s="21" t="n">
        <x:v>1</x:v>
      </x:c>
      <x:c r="AJ347" s="21" t="str">
        <x:v>未评估（本事件表不建立热浪因果关系）</x:v>
      </x:c>
      <x:c r="AK347" s="21" t="str">
        <x:v>缺失/待核实</x:v>
      </x:c>
    </x:row>
    <x:row r="348" ht="42" customHeight="1">
      <x:c r="A348" s="33" t="n">
        <x:v>347</x:v>
      </x:c>
      <x:c r="B348" s="33" t="str">
        <x:v>RAW-0347</x:v>
      </x:c>
      <x:c r="C348" s="36" t="str">
        <x:v>亚洲</x:v>
      </x:c>
      <x:c r="D348" s="36" t="str">
        <x:v>Indonesia</x:v>
      </x:c>
      <x:c r="E348" s="21" t="str">
        <x:v>Jakarta</x:v>
      </x:c>
      <x:c r="F348" s="21" t="str">
        <x:v>Wisma Kosgoro fire</x:v>
      </x:c>
      <x:c r="G348" s="39" t="n">
        <x:v>42073</x:v>
      </x:c>
      <x:c r="H348" s="21" t="str">
        <x:v>Wisma Kosgoro高层建筑火灾；建筑高度记录为 未列明。死亡人数：0。Fire destroyed floors 16–20.</x:v>
      </x:c>
      <x:c r="I348" s="21" t="str">
        <x:v>未检索到/待核实</x:v>
      </x:c>
      <x:c r="J348" s="21" t="str">
        <x:v>死亡人数：0。Fire destroyed floors 16–20.</x:v>
      </x:c>
      <x:c r="K348" s="21" t="str">
        <x:v>https://www.thejakartapost.com/news/2015/03/10/wisma-kosgoro-fire-subdued-short-circuiting-possible-cause.html</x:v>
      </x:c>
      <x:c r="L348" s="27"/>
      <x:c r="M348" s="27"/>
      <x:c r="N348" s="21" t="str">
        <x:v>未提供坐标</x:v>
      </x:c>
      <x:c r="O348" s="21" t="str">
        <x:v>高层建筑火灾</x:v>
      </x:c>
      <x:c r="P348" s="21" t="str">
        <x:v>未检索到</x:v>
      </x:c>
      <x:c r="Q348" s="21" t="str">
        <x:v>未检索到</x:v>
      </x:c>
      <x:c r="R348" s="21" t="str">
        <x:v>未检索到</x:v>
      </x:c>
      <x:c r="S348" s="21" t="str">
        <x:v>未检索到</x:v>
      </x:c>
      <x:c r="T348" s="42" t="n">
        <x:v>0</x:v>
      </x:c>
      <x:c r="U348" s="42"/>
      <x:c r="V348" s="42"/>
      <x:c r="W348" s="33" t="str">
        <x:v>C</x:v>
      </x:c>
      <x:c r="X348" s="33" t="str">
        <x:v>compendium_needs_independent_verification</x:v>
      </x:c>
      <x:c r="Y348" s="33" t="str">
        <x:v>候选待核实</x:v>
      </x:c>
      <x:c r="Z348" s="21" t="str">
        <x:v>Wikipedia高层建筑专题表；需补充独立来源核验</x:v>
      </x:c>
      <x:c r="AA348" s="21" t="str">
        <x:v>List of fires in high-rise buildings</x:v>
      </x:c>
      <x:c r="AB348" s="21" t="str">
        <x:v>Wikipedia专题列表</x:v>
      </x:c>
      <x:c r="AC348" s="21" t="str"/>
      <x:c r="AD348" s="21" t="n">
        <x:v>1</x:v>
      </x:c>
      <x:c r="AE348" s="21" t="str">
        <x:v>未检查</x:v>
      </x:c>
      <x:c r="AF348" s="21" t="str"/>
      <x:c r="AG348" s="24" t="n">
        <x:v>46260</x:v>
      </x:c>
      <x:c r="AH348" s="21" t="str"/>
      <x:c r="AI348" s="21" t="n">
        <x:v>1</x:v>
      </x:c>
      <x:c r="AJ348" s="21" t="str">
        <x:v>未评估（本事件表不建立热浪因果关系）</x:v>
      </x:c>
      <x:c r="AK348" s="21" t="str">
        <x:v>缺失/待核实</x:v>
      </x:c>
    </x:row>
    <x:row r="349" ht="42" customHeight="1">
      <x:c r="A349" s="33" t="n">
        <x:v>348</x:v>
      </x:c>
      <x:c r="B349" s="33" t="str">
        <x:v>RAW-0348</x:v>
      </x:c>
      <x:c r="C349" s="36" t="str">
        <x:v>欧洲</x:v>
      </x:c>
      <x:c r="D349" s="36" t="str">
        <x:v>France</x:v>
      </x:c>
      <x:c r="E349" s="21" t="str">
        <x:v>Puteaux, Paris</x:v>
      </x:c>
      <x:c r="F349" s="21" t="str">
        <x:v>Franklin Tower, 100-101 Terr. Boieldieu, Tower A fire</x:v>
      </x:c>
      <x:c r="G349" s="39" t="n">
        <x:v>42080</x:v>
      </x:c>
      <x:c r="H349" s="21" t="str">
        <x:v>Franklin Tower, 100-101 Terr. Boieldieu, Tower A高层建筑火灾；建筑高度记录为 120 m。死亡人数：0。Unstated cause, ignition on 40th flr in technical room, contained by 30 firefighters via internal wet column (a pressurized vertical pipe).</x:v>
      </x:c>
      <x:c r="I349" s="21" t="str">
        <x:v>Unstated cause, ignition on 40th flr in technical room, contained by 30 firefighters via internal wet column (a pressurized vertical pipe).</x:v>
      </x:c>
      <x:c r="J349" s="21" t="str">
        <x:v>死亡人数：0。Unstated cause, ignition on 40th flr in technical room, contained by 30 firefighters via internal wet column (a pressurized vertical pipe).</x:v>
      </x:c>
      <x:c r="K349" s="21" t="str">
        <x:v>https://m.youtube.com/watch?v=8R1dmAakaUc</x:v>
      </x:c>
      <x:c r="L349" s="27"/>
      <x:c r="M349" s="27"/>
      <x:c r="N349" s="21" t="str">
        <x:v>未提供坐标</x:v>
      </x:c>
      <x:c r="O349" s="21" t="str">
        <x:v>高层建筑火灾</x:v>
      </x:c>
      <x:c r="P349" s="21" t="str">
        <x:v>未检索到</x:v>
      </x:c>
      <x:c r="Q349" s="21" t="str">
        <x:v>120 m</x:v>
      </x:c>
      <x:c r="R349" s="21" t="str">
        <x:v>未检索到</x:v>
      </x:c>
      <x:c r="S349" s="21" t="str">
        <x:v>未检索到</x:v>
      </x:c>
      <x:c r="T349" s="42" t="n">
        <x:v>0</x:v>
      </x:c>
      <x:c r="U349" s="42"/>
      <x:c r="V349" s="42"/>
      <x:c r="W349" s="33" t="str">
        <x:v>C</x:v>
      </x:c>
      <x:c r="X349" s="33" t="str">
        <x:v>compendium_needs_independent_verification</x:v>
      </x:c>
      <x:c r="Y349" s="33" t="str">
        <x:v>候选待核实</x:v>
      </x:c>
      <x:c r="Z349" s="21" t="str">
        <x:v>Wikipedia高层建筑专题表；需补充独立来源核验</x:v>
      </x:c>
      <x:c r="AA349" s="21" t="str">
        <x:v>List of fires in high-rise buildings</x:v>
      </x:c>
      <x:c r="AB349" s="21" t="str">
        <x:v>Wikipedia专题列表</x:v>
      </x:c>
      <x:c r="AC349" s="21" t="str"/>
      <x:c r="AD349" s="21" t="n">
        <x:v>1</x:v>
      </x:c>
      <x:c r="AE349" s="21" t="str">
        <x:v>未检查</x:v>
      </x:c>
      <x:c r="AF349" s="21" t="str"/>
      <x:c r="AG349" s="24" t="n">
        <x:v>46260</x:v>
      </x:c>
      <x:c r="AH349" s="21" t="str"/>
      <x:c r="AI349" s="21" t="n">
        <x:v>1</x:v>
      </x:c>
      <x:c r="AJ349" s="21" t="str">
        <x:v>未评估（本事件表不建立热浪因果关系）</x:v>
      </x:c>
      <x:c r="AK349" s="21" t="str">
        <x:v>已有来源描述</x:v>
      </x:c>
    </x:row>
    <x:row r="350" ht="42" customHeight="1">
      <x:c r="A350" s="33" t="n">
        <x:v>349</x:v>
      </x:c>
      <x:c r="B350" s="33" t="str">
        <x:v>RAW-0349</x:v>
      </x:c>
      <x:c r="C350" s="36" t="str">
        <x:v>亚洲</x:v>
      </x:c>
      <x:c r="D350" s="36" t="str">
        <x:v>Azerbaijan</x:v>
      </x:c>
      <x:c r="E350" s="21" t="str">
        <x:v>Baku</x:v>
      </x:c>
      <x:c r="F350" s="21" t="str">
        <x:v>2015 Baku residence building fire</x:v>
      </x:c>
      <x:c r="G350" s="39" t="n">
        <x:v>42143</x:v>
      </x:c>
      <x:c r="H350" s="21" t="str">
        <x:v>Unnamed Highrise高层建筑火灾；建筑高度记录为 未列明。死亡人数：16。See 2015 Baku residence building fire</x:v>
      </x:c>
      <x:c r="I350" s="21" t="str">
        <x:v>未检索到/待核实</x:v>
      </x:c>
      <x:c r="J350" s="21" t="str">
        <x:v>死亡人数：16。See 2015 Baku residence building fire</x:v>
      </x:c>
      <x:c r="K350" s="21" t="str">
        <x:v>https://en.wikipedia.org/wiki/2015_Baku_residence_building_fire</x:v>
      </x:c>
      <x:c r="L350" s="27"/>
      <x:c r="M350" s="27"/>
      <x:c r="N350" s="21" t="str">
        <x:v>未提供坐标</x:v>
      </x:c>
      <x:c r="O350" s="21" t="str">
        <x:v>高层建筑火灾</x:v>
      </x:c>
      <x:c r="P350" s="21" t="str">
        <x:v>未检索到</x:v>
      </x:c>
      <x:c r="Q350" s="21" t="str">
        <x:v>未检索到</x:v>
      </x:c>
      <x:c r="R350" s="21" t="str">
        <x:v>未检索到</x:v>
      </x:c>
      <x:c r="S350" s="21" t="str">
        <x:v>未检索到</x:v>
      </x:c>
      <x:c r="T350" s="42" t="n">
        <x:v>16</x:v>
      </x:c>
      <x:c r="U350" s="42"/>
      <x:c r="V350" s="42"/>
      <x:c r="W350" s="33" t="str">
        <x:v>B</x:v>
      </x:c>
      <x:c r="X350" s="33" t="str">
        <x:v>compendium_needs_independent_verification</x:v>
      </x:c>
      <x:c r="Y350" s="33" t="str">
        <x:v>候选待核实</x:v>
      </x:c>
      <x:c r="Z350" s="21" t="str">
        <x:v>Wikipedia具名事件页+高层建筑专题表</x:v>
      </x:c>
      <x:c r="AA350" s="21" t="str">
        <x:v>List of fires in high-rise buildings</x:v>
      </x:c>
      <x:c r="AB350" s="21" t="str">
        <x:v>Wikipedia专题列表</x:v>
      </x:c>
      <x:c r="AC350" s="21" t="str"/>
      <x:c r="AD350" s="21" t="n">
        <x:v>1</x:v>
      </x:c>
      <x:c r="AE350" s="21" t="str">
        <x:v>未检查</x:v>
      </x:c>
      <x:c r="AF350" s="21" t="str"/>
      <x:c r="AG350" s="24" t="n">
        <x:v>46260</x:v>
      </x:c>
      <x:c r="AH350" s="21" t="str"/>
      <x:c r="AI350" s="21" t="n">
        <x:v>1</x:v>
      </x:c>
      <x:c r="AJ350" s="21" t="str">
        <x:v>未评估（本事件表不建立热浪因果关系）</x:v>
      </x:c>
      <x:c r="AK350" s="21" t="str">
        <x:v>缺失/待核实</x:v>
      </x:c>
    </x:row>
    <x:row r="351" ht="42" customHeight="1">
      <x:c r="A351" s="33" t="n">
        <x:v>350</x:v>
      </x:c>
      <x:c r="B351" s="33" t="str">
        <x:v>RAW-0350</x:v>
      </x:c>
      <x:c r="C351" s="36" t="str">
        <x:v>北美洲</x:v>
      </x:c>
      <x:c r="D351" s="36" t="str">
        <x:v>United States</x:v>
      </x:c>
      <x:c r="E351" s="21" t="str">
        <x:v>Las Vegas</x:v>
      </x:c>
      <x:c r="F351" s="21" t="str">
        <x:v>Cosmopolitan of Las Vegas fire</x:v>
      </x:c>
      <x:c r="G351" s="39" t="n">
        <x:v>42210</x:v>
      </x:c>
      <x:c r="H351" s="21" t="str">
        <x:v>Cosmopolitan of Las Vegas高层建筑火灾；建筑高度记录为 184 m。死亡人数：0。Fire occurred on the pool deck fueled by cabanas and artificial trees; two people were treated for smoke inhalation.</x:v>
      </x:c>
      <x:c r="I351" s="21" t="str">
        <x:v>未检索到/待核实</x:v>
      </x:c>
      <x:c r="J351" s="21" t="str">
        <x:v>死亡人数：0。Fire occurred on the pool deck fueled by cabanas and artificial trees; two people were treated for smoke inhalation.</x:v>
      </x:c>
      <x:c r="K351" s="21" t="str">
        <x:v>https://abcnews.go.com/US/fire-rages-cosmopolitan-hotel-las-vegas/story?id=32685666</x:v>
      </x:c>
      <x:c r="L351" s="27"/>
      <x:c r="M351" s="27"/>
      <x:c r="N351" s="21" t="str">
        <x:v>未提供坐标</x:v>
      </x:c>
      <x:c r="O351" s="21" t="str">
        <x:v>高层建筑火灾</x:v>
      </x:c>
      <x:c r="P351" s="21" t="str">
        <x:v>未检索到</x:v>
      </x:c>
      <x:c r="Q351" s="21" t="str">
        <x:v>184 m</x:v>
      </x:c>
      <x:c r="R351" s="21" t="str">
        <x:v>未检索到</x:v>
      </x:c>
      <x:c r="S351" s="21" t="str">
        <x:v>未检索到</x:v>
      </x:c>
      <x:c r="T351" s="42" t="n">
        <x:v>0</x:v>
      </x:c>
      <x:c r="U351" s="42"/>
      <x:c r="V351" s="42"/>
      <x:c r="W351" s="33" t="str">
        <x:v>C</x:v>
      </x:c>
      <x:c r="X351" s="33" t="str">
        <x:v>compendium_needs_independent_verification</x:v>
      </x:c>
      <x:c r="Y351" s="33" t="str">
        <x:v>候选待核实</x:v>
      </x:c>
      <x:c r="Z351" s="21" t="str">
        <x:v>Wikipedia高层建筑专题表；需补充独立来源核验</x:v>
      </x:c>
      <x:c r="AA351" s="21" t="str">
        <x:v>List of fires in high-rise buildings</x:v>
      </x:c>
      <x:c r="AB351" s="21" t="str">
        <x:v>Wikipedia专题列表</x:v>
      </x:c>
      <x:c r="AC351" s="21" t="str"/>
      <x:c r="AD351" s="21" t="n">
        <x:v>1</x:v>
      </x:c>
      <x:c r="AE351" s="21" t="str">
        <x:v>未检查</x:v>
      </x:c>
      <x:c r="AF351" s="21" t="str"/>
      <x:c r="AG351" s="24" t="n">
        <x:v>46260</x:v>
      </x:c>
      <x:c r="AH351" s="21" t="str"/>
      <x:c r="AI351" s="21" t="n">
        <x:v>1</x:v>
      </x:c>
      <x:c r="AJ351" s="21" t="str">
        <x:v>未评估（本事件表不建立热浪因果关系）</x:v>
      </x:c>
      <x:c r="AK351" s="21" t="str">
        <x:v>缺失/待核实</x:v>
      </x:c>
    </x:row>
    <x:row r="352" ht="42" customHeight="1">
      <x:c r="A352" s="33" t="n">
        <x:v>351</x:v>
      </x:c>
      <x:c r="B352" s="33" t="str">
        <x:v>RAW-0351</x:v>
      </x:c>
      <x:c r="C352" s="36" t="str">
        <x:v>亚洲</x:v>
      </x:c>
      <x:c r="D352" s="36" t="str">
        <x:v>United Arab Emirates</x:v>
      </x:c>
      <x:c r="E352" s="21" t="str">
        <x:v>Sharjah</x:v>
      </x:c>
      <x:c r="F352" s="21" t="str">
        <x:v>Unnamed Residential Tower fire</x:v>
      </x:c>
      <x:c r="G352" s="39" t="n">
        <x:v>42278</x:v>
      </x:c>
      <x:c r="H352" s="21" t="str">
        <x:v>Unnamed Residential Tower高层建筑火灾；建筑高度记录为 未列明。死亡人数：0。Fire burned building facade, 19 treated for smoke inhalation.</x:v>
      </x:c>
      <x:c r="I352" s="21" t="str">
        <x:v>未检索到/待核实</x:v>
      </x:c>
      <x:c r="J352" s="21" t="str">
        <x:v>死亡人数：0。Fire burned building facade, 19 treated for smoke inhalation.</x:v>
      </x:c>
      <x:c r="K352" s="21" t="str">
        <x:v>http://www.nbcchicago.com/news/local/Fire-Reported-at-John-Hancock-Building-352707061.html</x:v>
      </x:c>
      <x:c r="L352" s="27"/>
      <x:c r="M352" s="27"/>
      <x:c r="N352" s="21" t="str">
        <x:v>未提供坐标</x:v>
      </x:c>
      <x:c r="O352" s="21" t="str">
        <x:v>高层建筑火灾</x:v>
      </x:c>
      <x:c r="P352" s="21" t="str">
        <x:v>未检索到</x:v>
      </x:c>
      <x:c r="Q352" s="21" t="str">
        <x:v>未检索到</x:v>
      </x:c>
      <x:c r="R352" s="21" t="str">
        <x:v>未检索到</x:v>
      </x:c>
      <x:c r="S352" s="21" t="str">
        <x:v>未检索到</x:v>
      </x:c>
      <x:c r="T352" s="42" t="n">
        <x:v>0</x:v>
      </x:c>
      <x:c r="U352" s="42"/>
      <x:c r="V352" s="42"/>
      <x:c r="W352" s="33" t="str">
        <x:v>C</x:v>
      </x:c>
      <x:c r="X352" s="33" t="str">
        <x:v>compendium_needs_independent_verification</x:v>
      </x:c>
      <x:c r="Y352" s="33" t="str">
        <x:v>候选待核实</x:v>
      </x:c>
      <x:c r="Z352" s="21" t="str">
        <x:v>Wikipedia高层建筑专题表；需补充独立来源核验</x:v>
      </x:c>
      <x:c r="AA352" s="21" t="str">
        <x:v>List of fires in high-rise buildings</x:v>
      </x:c>
      <x:c r="AB352" s="21" t="str">
        <x:v>Wikipedia专题列表</x:v>
      </x:c>
      <x:c r="AC352" s="21" t="str"/>
      <x:c r="AD352" s="21" t="n">
        <x:v>1</x:v>
      </x:c>
      <x:c r="AE352" s="21" t="str">
        <x:v>未检查</x:v>
      </x:c>
      <x:c r="AF352" s="21" t="str"/>
      <x:c r="AG352" s="24" t="n">
        <x:v>46260</x:v>
      </x:c>
      <x:c r="AH352" s="21" t="str"/>
      <x:c r="AI352" s="21" t="n">
        <x:v>1</x:v>
      </x:c>
      <x:c r="AJ352" s="21" t="str">
        <x:v>未评估（本事件表不建立热浪因果关系）</x:v>
      </x:c>
      <x:c r="AK352" s="21" t="str">
        <x:v>缺失/待核实</x:v>
      </x:c>
    </x:row>
    <x:row r="353" ht="42" customHeight="1">
      <x:c r="A353" s="33" t="n">
        <x:v>352</x:v>
      </x:c>
      <x:c r="B353" s="33" t="str">
        <x:v>RAW-0352</x:v>
      </x:c>
      <x:c r="C353" s="36" t="str">
        <x:v>北美洲</x:v>
      </x:c>
      <x:c r="D353" s="36" t="str">
        <x:v>United States</x:v>
      </x:c>
      <x:c r="E353" s="21" t="str">
        <x:v>Chicago</x:v>
      </x:c>
      <x:c r="F353" s="21" t="str">
        <x:v>John Hancock Center fire</x:v>
      </x:c>
      <x:c r="G353" s="39" t="n">
        <x:v>42329</x:v>
      </x:c>
      <x:c r="H353" s="21" t="str">
        <x:v>John Hancock Center高层建筑火灾；建筑高度记录为 457 m。死亡人数：0。A two-alarm fire broke out on the 50th floor. Five injured.</x:v>
      </x:c>
      <x:c r="I353" s="21" t="str">
        <x:v>未检索到/待核实</x:v>
      </x:c>
      <x:c r="J353" s="21" t="str">
        <x:v>死亡人数：0。A two-alarm fire broke out on the 50th floor. Five injured.</x:v>
      </x:c>
      <x:c r="K353" s="21" t="str">
        <x:v>https://web.archive.org/web/20160316100025/http://news.yahoo.com/high-rise-tower-catches-fire-emirati-city-sharjah-123938249.html?nf=1</x:v>
      </x:c>
      <x:c r="L353" s="27"/>
      <x:c r="M353" s="27"/>
      <x:c r="N353" s="21" t="str">
        <x:v>未提供坐标</x:v>
      </x:c>
      <x:c r="O353" s="21" t="str">
        <x:v>高层建筑火灾</x:v>
      </x:c>
      <x:c r="P353" s="21" t="str">
        <x:v>未检索到</x:v>
      </x:c>
      <x:c r="Q353" s="21" t="str">
        <x:v>457 m</x:v>
      </x:c>
      <x:c r="R353" s="21" t="str">
        <x:v>未检索到</x:v>
      </x:c>
      <x:c r="S353" s="21" t="str">
        <x:v>未检索到</x:v>
      </x:c>
      <x:c r="T353" s="42" t="n">
        <x:v>0</x:v>
      </x:c>
      <x:c r="U353" s="42"/>
      <x:c r="V353" s="42"/>
      <x:c r="W353" s="33" t="str">
        <x:v>C</x:v>
      </x:c>
      <x:c r="X353" s="33" t="str">
        <x:v>compendium_needs_independent_verification</x:v>
      </x:c>
      <x:c r="Y353" s="33" t="str">
        <x:v>候选待核实</x:v>
      </x:c>
      <x:c r="Z353" s="21" t="str">
        <x:v>Wikipedia高层建筑专题表；需补充独立来源核验</x:v>
      </x:c>
      <x:c r="AA353" s="21" t="str">
        <x:v>List of fires in high-rise buildings</x:v>
      </x:c>
      <x:c r="AB353" s="21" t="str">
        <x:v>Wikipedia专题列表</x:v>
      </x:c>
      <x:c r="AC353" s="21" t="str"/>
      <x:c r="AD353" s="21" t="n">
        <x:v>1</x:v>
      </x:c>
      <x:c r="AE353" s="21" t="str">
        <x:v>未检查</x:v>
      </x:c>
      <x:c r="AF353" s="21" t="str"/>
      <x:c r="AG353" s="24" t="n">
        <x:v>46260</x:v>
      </x:c>
      <x:c r="AH353" s="21" t="str"/>
      <x:c r="AI353" s="21" t="n">
        <x:v>1</x:v>
      </x:c>
      <x:c r="AJ353" s="21" t="str">
        <x:v>未评估（本事件表不建立热浪因果关系）</x:v>
      </x:c>
      <x:c r="AK353" s="21" t="str">
        <x:v>缺失/待核实</x:v>
      </x:c>
    </x:row>
    <x:row r="354" ht="42" customHeight="1">
      <x:c r="A354" s="33" t="n">
        <x:v>353</x:v>
      </x:c>
      <x:c r="B354" s="33" t="str">
        <x:v>RAW-0353</x:v>
      </x:c>
      <x:c r="C354" s="36" t="str">
        <x:v>亚洲</x:v>
      </x:c>
      <x:c r="D354" s="36" t="str">
        <x:v>United Arab Emirates</x:v>
      </x:c>
      <x:c r="E354" s="21" t="str">
        <x:v>Dubai</x:v>
      </x:c>
      <x:c r="F354" s="21" t="str">
        <x:v>The Address Downtown Dubai fire</x:v>
      </x:c>
      <x:c r="G354" s="39" t="n">
        <x:v>42369</x:v>
      </x:c>
      <x:c r="H354" s="21" t="str">
        <x:v>The Address Downtown Dubai高层建筑火灾；建筑高度记录为 306.2 m。死亡人数：1。Occurred on New Year's Eve, 14 injured.</x:v>
      </x:c>
      <x:c r="I354" s="21" t="str">
        <x:v>未检索到/待核实</x:v>
      </x:c>
      <x:c r="J354" s="21" t="str">
        <x:v>死亡人数：1。Occurred on New Year's Eve, 14 injured.</x:v>
      </x:c>
      <x:c r="K354" s="21" t="str">
        <x:v>https://www.bbc.com/news/world-middle-east-35207451</x:v>
      </x:c>
      <x:c r="L354" s="27"/>
      <x:c r="M354" s="27"/>
      <x:c r="N354" s="21" t="str">
        <x:v>未提供坐标</x:v>
      </x:c>
      <x:c r="O354" s="21" t="str">
        <x:v>高层建筑火灾</x:v>
      </x:c>
      <x:c r="P354" s="21" t="str">
        <x:v>未检索到</x:v>
      </x:c>
      <x:c r="Q354" s="21" t="str">
        <x:v>306.2 m</x:v>
      </x:c>
      <x:c r="R354" s="21" t="str">
        <x:v>未检索到</x:v>
      </x:c>
      <x:c r="S354" s="21" t="str">
        <x:v>未检索到</x:v>
      </x:c>
      <x:c r="T354" s="42" t="n">
        <x:v>1</x:v>
      </x:c>
      <x:c r="U354" s="42"/>
      <x:c r="V354" s="42"/>
      <x:c r="W354" s="33" t="str">
        <x:v>C</x:v>
      </x:c>
      <x:c r="X354" s="33" t="str">
        <x:v>compendium_needs_independent_verification</x:v>
      </x:c>
      <x:c r="Y354" s="33" t="str">
        <x:v>候选待核实</x:v>
      </x:c>
      <x:c r="Z354" s="21" t="str">
        <x:v>Wikipedia高层建筑专题表；需补充独立来源核验</x:v>
      </x:c>
      <x:c r="AA354" s="21" t="str">
        <x:v>List of fires in high-rise buildings</x:v>
      </x:c>
      <x:c r="AB354" s="21" t="str">
        <x:v>Wikipedia专题列表</x:v>
      </x:c>
      <x:c r="AC354" s="21" t="str"/>
      <x:c r="AD354" s="21" t="n">
        <x:v>1</x:v>
      </x:c>
      <x:c r="AE354" s="21" t="str">
        <x:v>未检查</x:v>
      </x:c>
      <x:c r="AF354" s="21" t="str"/>
      <x:c r="AG354" s="24" t="n">
        <x:v>46260</x:v>
      </x:c>
      <x:c r="AH354" s="21" t="str"/>
      <x:c r="AI354" s="21" t="n">
        <x:v>1</x:v>
      </x:c>
      <x:c r="AJ354" s="21" t="str">
        <x:v>未评估（本事件表不建立热浪因果关系）</x:v>
      </x:c>
      <x:c r="AK354" s="21" t="str">
        <x:v>缺失/待核实</x:v>
      </x:c>
    </x:row>
    <x:row r="355" ht="42" customHeight="1">
      <x:c r="A355" s="33" t="n">
        <x:v>354</x:v>
      </x:c>
      <x:c r="B355" s="33" t="str">
        <x:v>RAW-0354</x:v>
      </x:c>
      <x:c r="C355" s="36" t="str">
        <x:v>欧洲</x:v>
      </x:c>
      <x:c r="D355" s="36" t="str">
        <x:v>France</x:v>
      </x:c>
      <x:c r="E355" s="21" t="str">
        <x:v>Paris</x:v>
      </x:c>
      <x:c r="F355" s="21" t="str">
        <x:v>Tour Anvers (in Les Olympiades residential complex) fire</x:v>
      </x:c>
      <x:c r="G355" s="39" t="n">
        <x:v>42381</x:v>
      </x:c>
      <x:c r="H355" s="21" t="str">
        <x:v>Tour Anvers (in Les Olympiades residential complex)高层建筑火灾；建筑高度记录为 104 m。死亡人数：1。16th of 31 flrs, contained to apt without spreading, 1 killed, 31-year-old woman with muscle disability.</x:v>
      </x:c>
      <x:c r="I355" s="21" t="str">
        <x:v>未检索到/待核实</x:v>
      </x:c>
      <x:c r="J355" s="21" t="str">
        <x:v>死亡人数：1。16th of 31 flrs, contained to apt without spreading, 1 killed, 31-year-old woman with muscle disability.</x:v>
      </x:c>
      <x:c r="K355" s="21" t="str">
        <x:v>https://www.leparisien.fr/paris-75/paris-75013/paris-incendie-mortel-dans-une-tour-des-olympiades-12-01-2016-5444163.php</x:v>
      </x:c>
      <x:c r="L355" s="27"/>
      <x:c r="M355" s="27"/>
      <x:c r="N355" s="21" t="str">
        <x:v>未提供坐标</x:v>
      </x:c>
      <x:c r="O355" s="21" t="str">
        <x:v>高层建筑火灾</x:v>
      </x:c>
      <x:c r="P355" s="21" t="str">
        <x:v>未检索到</x:v>
      </x:c>
      <x:c r="Q355" s="21" t="str">
        <x:v>104 m</x:v>
      </x:c>
      <x:c r="R355" s="21" t="str">
        <x:v>未检索到</x:v>
      </x:c>
      <x:c r="S355" s="21" t="str">
        <x:v>未检索到</x:v>
      </x:c>
      <x:c r="T355" s="42" t="n">
        <x:v>1</x:v>
      </x:c>
      <x:c r="U355" s="42"/>
      <x:c r="V355" s="42"/>
      <x:c r="W355" s="33" t="str">
        <x:v>C</x:v>
      </x:c>
      <x:c r="X355" s="33" t="str">
        <x:v>compendium_needs_independent_verification</x:v>
      </x:c>
      <x:c r="Y355" s="33" t="str">
        <x:v>候选待核实</x:v>
      </x:c>
      <x:c r="Z355" s="21" t="str">
        <x:v>Wikipedia高层建筑专题表；需补充独立来源核验</x:v>
      </x:c>
      <x:c r="AA355" s="21" t="str">
        <x:v>List of fires in high-rise buildings</x:v>
      </x:c>
      <x:c r="AB355" s="21" t="str">
        <x:v>Wikipedia专题列表</x:v>
      </x:c>
      <x:c r="AC355" s="21" t="str"/>
      <x:c r="AD355" s="21" t="n">
        <x:v>1</x:v>
      </x:c>
      <x:c r="AE355" s="21" t="str">
        <x:v>未检查</x:v>
      </x:c>
      <x:c r="AF355" s="21" t="str"/>
      <x:c r="AG355" s="24" t="n">
        <x:v>46260</x:v>
      </x:c>
      <x:c r="AH355" s="21" t="str"/>
      <x:c r="AI355" s="21" t="n">
        <x:v>1</x:v>
      </x:c>
      <x:c r="AJ355" s="21" t="str">
        <x:v>未评估（本事件表不建立热浪因果关系）</x:v>
      </x:c>
      <x:c r="AK355" s="21" t="str">
        <x:v>缺失/待核实</x:v>
      </x:c>
    </x:row>
    <x:row r="356" ht="42" customHeight="1">
      <x:c r="A356" s="33" t="n">
        <x:v>355</x:v>
      </x:c>
      <x:c r="B356" s="33" t="str">
        <x:v>RAW-0355</x:v>
      </x:c>
      <x:c r="C356" s="36" t="str">
        <x:v>欧洲</x:v>
      </x:c>
      <x:c r="D356" s="36" t="str">
        <x:v>France</x:v>
      </x:c>
      <x:c r="E356" s="21" t="str">
        <x:v>Saint-Denis</x:v>
      </x:c>
      <x:c r="F356" s="21" t="str">
        <x:v>An unidentified tower on avenue Romain-Rolland fire</x:v>
      </x:c>
      <x:c r="G356" s="39" t="n">
        <x:v>42382</x:v>
      </x:c>
      <x:c r="H356" s="21" t="str">
        <x:v>An unidentified tower on avenue Romain-Rolland高层建筑火灾；建筑高度记录为 33 m。死亡人数：1。</x:v>
      </x:c>
      <x:c r="I356" s="21" t="str">
        <x:v>未检索到/待核实</x:v>
      </x:c>
      <x:c r="J356" s="21" t="str">
        <x:v>死亡人数：1。</x:v>
      </x:c>
      <x:c r="K356" s="21" t="str">
        <x:v>https://www.leparisien.fr/seine-saint-denis-93/saint-denis-une-femme-meurt-dans-un-incendie-13-01-2016-5448037.php</x:v>
      </x:c>
      <x:c r="L356" s="27"/>
      <x:c r="M356" s="27"/>
      <x:c r="N356" s="21" t="str">
        <x:v>未提供坐标</x:v>
      </x:c>
      <x:c r="O356" s="21" t="str">
        <x:v>高层建筑火灾</x:v>
      </x:c>
      <x:c r="P356" s="21" t="str">
        <x:v>未检索到</x:v>
      </x:c>
      <x:c r="Q356" s="21" t="str">
        <x:v>33 m</x:v>
      </x:c>
      <x:c r="R356" s="21" t="str">
        <x:v>未检索到</x:v>
      </x:c>
      <x:c r="S356" s="21" t="str">
        <x:v>未检索到</x:v>
      </x:c>
      <x:c r="T356" s="42" t="n">
        <x:v>1</x:v>
      </x:c>
      <x:c r="U356" s="42"/>
      <x:c r="V356" s="42"/>
      <x:c r="W356" s="33" t="str">
        <x:v>C</x:v>
      </x:c>
      <x:c r="X356" s="33" t="str">
        <x:v>compendium_needs_independent_verification</x:v>
      </x:c>
      <x:c r="Y356" s="33" t="str">
        <x:v>候选待核实</x:v>
      </x:c>
      <x:c r="Z356" s="21" t="str">
        <x:v>Wikipedia高层建筑专题表；需补充独立来源核验</x:v>
      </x:c>
      <x:c r="AA356" s="21" t="str">
        <x:v>List of fires in high-rise buildings</x:v>
      </x:c>
      <x:c r="AB356" s="21" t="str">
        <x:v>Wikipedia专题列表</x:v>
      </x:c>
      <x:c r="AC356" s="21" t="str"/>
      <x:c r="AD356" s="21" t="n">
        <x:v>1</x:v>
      </x:c>
      <x:c r="AE356" s="21" t="str">
        <x:v>未检查</x:v>
      </x:c>
      <x:c r="AF356" s="21" t="str"/>
      <x:c r="AG356" s="24" t="n">
        <x:v>46260</x:v>
      </x:c>
      <x:c r="AH356" s="21" t="str"/>
      <x:c r="AI356" s="21" t="n">
        <x:v>1</x:v>
      </x:c>
      <x:c r="AJ356" s="21" t="str">
        <x:v>未评估（本事件表不建立热浪因果关系）</x:v>
      </x:c>
      <x:c r="AK356" s="21" t="str">
        <x:v>缺失/待核实</x:v>
      </x:c>
    </x:row>
    <x:row r="357" ht="42" customHeight="1">
      <x:c r="A357" s="33" t="n">
        <x:v>356</x:v>
      </x:c>
      <x:c r="B357" s="33" t="str">
        <x:v>RAW-0356</x:v>
      </x:c>
      <x:c r="C357" s="36" t="str">
        <x:v>欧洲</x:v>
      </x:c>
      <x:c r="D357" s="36" t="str">
        <x:v>France</x:v>
      </x:c>
      <x:c r="E357" s="21" t="str">
        <x:v>Paris 20e</x:v>
      </x:c>
      <x:c r="F357" s="21" t="str">
        <x:v>158 bd Davout fire</x:v>
      </x:c>
      <x:c r="G357" s="39" t="n">
        <x:v>42522</x:v>
      </x:c>
      <x:c r="H357" s="21" t="str">
        <x:v>158 bd Davout高层建筑火灾；建筑高度记录为 21 m。死亡人数：1。3rd through 7th of 7 flrs, 8 injured.</x:v>
      </x:c>
      <x:c r="I357" s="21" t="str">
        <x:v>未检索到/待核实</x:v>
      </x:c>
      <x:c r="J357" s="21" t="str">
        <x:v>死亡人数：1。3rd through 7th of 7 flrs, 8 injured.</x:v>
      </x:c>
      <x:c r="K357" s="21" t="str">
        <x:v>https://www.leparisien.fr/paris-75/paris-75020/paris-xxe-un-mort-et-deux-blesses-graves-dans-l-incendie-d-un-immeuble-01-06-2016-5846939.php</x:v>
      </x:c>
      <x:c r="L357" s="27"/>
      <x:c r="M357" s="27"/>
      <x:c r="N357" s="21" t="str">
        <x:v>未提供坐标</x:v>
      </x:c>
      <x:c r="O357" s="21" t="str">
        <x:v>高层建筑火灾</x:v>
      </x:c>
      <x:c r="P357" s="21" t="str">
        <x:v>未检索到</x:v>
      </x:c>
      <x:c r="Q357" s="21" t="str">
        <x:v>21 m</x:v>
      </x:c>
      <x:c r="R357" s="21" t="str">
        <x:v>未检索到</x:v>
      </x:c>
      <x:c r="S357" s="21" t="str">
        <x:v>未检索到</x:v>
      </x:c>
      <x:c r="T357" s="42" t="n">
        <x:v>1</x:v>
      </x:c>
      <x:c r="U357" s="42"/>
      <x:c r="V357" s="42"/>
      <x:c r="W357" s="33" t="str">
        <x:v>C</x:v>
      </x:c>
      <x:c r="X357" s="33" t="str">
        <x:v>compendium_needs_independent_verification</x:v>
      </x:c>
      <x:c r="Y357" s="33" t="str">
        <x:v>候选待核实</x:v>
      </x:c>
      <x:c r="Z357" s="21" t="str">
        <x:v>Wikipedia高层建筑专题表；需补充独立来源核验</x:v>
      </x:c>
      <x:c r="AA357" s="21" t="str">
        <x:v>List of fires in high-rise buildings</x:v>
      </x:c>
      <x:c r="AB357" s="21" t="str">
        <x:v>Wikipedia专题列表</x:v>
      </x:c>
      <x:c r="AC357" s="21" t="str"/>
      <x:c r="AD357" s="21" t="n">
        <x:v>1</x:v>
      </x:c>
      <x:c r="AE357" s="21" t="str">
        <x:v>未检查</x:v>
      </x:c>
      <x:c r="AF357" s="21" t="str"/>
      <x:c r="AG357" s="24" t="n">
        <x:v>46260</x:v>
      </x:c>
      <x:c r="AH357" s="21" t="str"/>
      <x:c r="AI357" s="21" t="n">
        <x:v>1</x:v>
      </x:c>
      <x:c r="AJ357" s="21" t="str">
        <x:v>未评估（本事件表不建立热浪因果关系）</x:v>
      </x:c>
      <x:c r="AK357" s="21" t="str">
        <x:v>缺失/待核实</x:v>
      </x:c>
    </x:row>
    <x:row r="358" ht="42" customHeight="1">
      <x:c r="A358" s="33" t="n">
        <x:v>357</x:v>
      </x:c>
      <x:c r="B358" s="33" t="str">
        <x:v>RAW-0357</x:v>
      </x:c>
      <x:c r="C358" s="36" t="str">
        <x:v>亚洲</x:v>
      </x:c>
      <x:c r="D358" s="36" t="str">
        <x:v>United Arab Emirates</x:v>
      </x:c>
      <x:c r="E358" s="21" t="str">
        <x:v>Dubai</x:v>
      </x:c>
      <x:c r="F358" s="21" t="str">
        <x:v>Sulafa Tower fire</x:v>
      </x:c>
      <x:c r="G358" s="39" t="n">
        <x:v>42571</x:v>
      </x:c>
      <x:c r="H358" s="21" t="str">
        <x:v>Sulafa Tower高层建筑火灾；建筑高度记录为 288 m。死亡人数：0。</x:v>
      </x:c>
      <x:c r="I358" s="21" t="str">
        <x:v>未检索到/待核实</x:v>
      </x:c>
      <x:c r="J358" s="21" t="str">
        <x:v>死亡人数：0。</x:v>
      </x:c>
      <x:c r="K358" s="21" t="str">
        <x:v>https://en.wikipedia.org/wiki/List_of_fires_in_high-rise_buildings</x:v>
      </x:c>
      <x:c r="L358" s="27"/>
      <x:c r="M358" s="27"/>
      <x:c r="N358" s="21" t="str">
        <x:v>未提供坐标</x:v>
      </x:c>
      <x:c r="O358" s="21" t="str">
        <x:v>高层建筑火灾</x:v>
      </x:c>
      <x:c r="P358" s="21" t="str">
        <x:v>未检索到</x:v>
      </x:c>
      <x:c r="Q358" s="21" t="str">
        <x:v>288 m</x:v>
      </x:c>
      <x:c r="R358" s="21" t="str">
        <x:v>未检索到</x:v>
      </x:c>
      <x:c r="S358" s="21" t="str">
        <x:v>未检索到</x:v>
      </x:c>
      <x:c r="T358" s="42" t="n">
        <x:v>0</x:v>
      </x:c>
      <x:c r="U358" s="42"/>
      <x:c r="V358" s="42"/>
      <x:c r="W358" s="33" t="str">
        <x:v>C</x:v>
      </x:c>
      <x:c r="X358" s="33" t="str">
        <x:v>compendium_needs_independent_verification</x:v>
      </x:c>
      <x:c r="Y358" s="33" t="str">
        <x:v>候选待核实</x:v>
      </x:c>
      <x:c r="Z358" s="21" t="str">
        <x:v>Wikipedia高层建筑专题表；需补充独立来源核验</x:v>
      </x:c>
      <x:c r="AA358" s="21" t="str">
        <x:v>List of fires in high-rise buildings</x:v>
      </x:c>
      <x:c r="AB358" s="21" t="str">
        <x:v>Wikipedia专题列表</x:v>
      </x:c>
      <x:c r="AC358" s="21" t="str"/>
      <x:c r="AD358" s="21" t="n">
        <x:v>1</x:v>
      </x:c>
      <x:c r="AE358" s="21" t="str">
        <x:v>未检查</x:v>
      </x:c>
      <x:c r="AF358" s="21" t="str"/>
      <x:c r="AG358" s="24" t="n">
        <x:v>46260</x:v>
      </x:c>
      <x:c r="AH358" s="21" t="str"/>
      <x:c r="AI358" s="21" t="n">
        <x:v>1</x:v>
      </x:c>
      <x:c r="AJ358" s="21" t="str">
        <x:v>未评估（本事件表不建立热浪因果关系）</x:v>
      </x:c>
      <x:c r="AK358" s="21" t="str">
        <x:v>缺失/待核实</x:v>
      </x:c>
    </x:row>
    <x:row r="359" ht="42" customHeight="1">
      <x:c r="A359" s="33" t="n">
        <x:v>358</x:v>
      </x:c>
      <x:c r="B359" s="33" t="str">
        <x:v>RAW-0358</x:v>
      </x:c>
      <x:c r="C359" s="36" t="str">
        <x:v>亚洲</x:v>
      </x:c>
      <x:c r="D359" s="36" t="str">
        <x:v>Iran</x:v>
      </x:c>
      <x:c r="E359" s="21" t="str">
        <x:v>Tehran</x:v>
      </x:c>
      <x:c r="F359" s="21" t="str">
        <x:v>Plasco Building fire</x:v>
      </x:c>
      <x:c r="G359" s="39" t="n">
        <x:v>42754</x:v>
      </x:c>
      <x:c r="H359" s="21" t="str">
        <x:v>Plasco Building高层建筑火灾；建筑高度记录为 42 m。死亡人数：21。The 17-story building collapsed after a fire started on the ninth floor. Seventy injured.</x:v>
      </x:c>
      <x:c r="I359" s="21" t="str">
        <x:v>The 17-story building collapsed after a fire started on the ninth floor.</x:v>
      </x:c>
      <x:c r="J359" s="21" t="str">
        <x:v>死亡人数：21。The 17-story building collapsed after a fire started on the ninth floor. Seventy injured.</x:v>
      </x:c>
      <x:c r="K359" s="21" t="str">
        <x:v>https://www.bbc.co.uk/news/world-middle-east-38675628</x:v>
      </x:c>
      <x:c r="L359" s="27"/>
      <x:c r="M359" s="27"/>
      <x:c r="N359" s="21" t="str">
        <x:v>未提供坐标</x:v>
      </x:c>
      <x:c r="O359" s="21" t="str">
        <x:v>高层建筑火灾</x:v>
      </x:c>
      <x:c r="P359" s="21" t="str">
        <x:v>未检索到</x:v>
      </x:c>
      <x:c r="Q359" s="21" t="str">
        <x:v>42 m</x:v>
      </x:c>
      <x:c r="R359" s="21" t="str">
        <x:v>未检索到</x:v>
      </x:c>
      <x:c r="S359" s="21" t="str">
        <x:v>未检索到</x:v>
      </x:c>
      <x:c r="T359" s="42" t="n">
        <x:v>21</x:v>
      </x:c>
      <x:c r="U359" s="42"/>
      <x:c r="V359" s="42"/>
      <x:c r="W359" s="33" t="str">
        <x:v>C</x:v>
      </x:c>
      <x:c r="X359" s="33" t="str">
        <x:v>compendium_needs_independent_verification</x:v>
      </x:c>
      <x:c r="Y359" s="33" t="str">
        <x:v>候选待核实</x:v>
      </x:c>
      <x:c r="Z359" s="21" t="str">
        <x:v>Wikipedia高层建筑专题表；需补充独立来源核验</x:v>
      </x:c>
      <x:c r="AA359" s="21" t="str">
        <x:v>List of fires in high-rise buildings</x:v>
      </x:c>
      <x:c r="AB359" s="21" t="str">
        <x:v>Wikipedia专题列表</x:v>
      </x:c>
      <x:c r="AC359" s="21" t="str"/>
      <x:c r="AD359" s="21" t="n">
        <x:v>1</x:v>
      </x:c>
      <x:c r="AE359" s="21" t="str">
        <x:v>未检查</x:v>
      </x:c>
      <x:c r="AF359" s="21" t="str"/>
      <x:c r="AG359" s="24" t="n">
        <x:v>46260</x:v>
      </x:c>
      <x:c r="AH359" s="21" t="str"/>
      <x:c r="AI359" s="21" t="n">
        <x:v>1</x:v>
      </x:c>
      <x:c r="AJ359" s="21" t="str">
        <x:v>未评估（本事件表不建立热浪因果关系）</x:v>
      </x:c>
      <x:c r="AK359" s="21" t="str">
        <x:v>已有来源描述</x:v>
      </x:c>
    </x:row>
    <x:row r="360" ht="42" customHeight="1">
      <x:c r="A360" s="33" t="n">
        <x:v>359</x:v>
      </x:c>
      <x:c r="B360" s="33" t="str">
        <x:v>RAW-0359</x:v>
      </x:c>
      <x:c r="C360" s="36" t="str">
        <x:v>欧洲</x:v>
      </x:c>
      <x:c r="D360" s="36" t="str">
        <x:v>United Kingdom</x:v>
      </x:c>
      <x:c r="E360" s="21" t="str">
        <x:v>London</x:v>
      </x:c>
      <x:c r="F360" s="21" t="str">
        <x:v>Grenfell Tower fire</x:v>
      </x:c>
      <x:c r="G360" s="39" t="n">
        <x:v>42900</x:v>
      </x:c>
      <x:c r="H360" s="21" t="str">
        <x:v>Grenfell Tower高层建筑火灾；建筑高度记录为 79.2 m。死亡人数：72。The 24-storey tower block fire spread from the second floor to the top of the building. See Grenfell Tower fire</x:v>
      </x:c>
      <x:c r="I360" s="21" t="str">
        <x:v>未检索到/待核实</x:v>
      </x:c>
      <x:c r="J360" s="21" t="str">
        <x:v>死亡人数：72。The 24-storey tower block fire spread from the second floor to the top of the building. See Grenfell Tower fire</x:v>
      </x:c>
      <x:c r="K360" s="21" t="str">
        <x:v>https://en.wikipedia.org/wiki/Grenfell_Tower_fire</x:v>
      </x:c>
      <x:c r="L360" s="27"/>
      <x:c r="M360" s="27"/>
      <x:c r="N360" s="21" t="str">
        <x:v>未提供坐标</x:v>
      </x:c>
      <x:c r="O360" s="21" t="str">
        <x:v>高层建筑火灾</x:v>
      </x:c>
      <x:c r="P360" s="21" t="str">
        <x:v>未检索到</x:v>
      </x:c>
      <x:c r="Q360" s="21" t="str">
        <x:v>79.2 m</x:v>
      </x:c>
      <x:c r="R360" s="21" t="str">
        <x:v>未检索到</x:v>
      </x:c>
      <x:c r="S360" s="21" t="str">
        <x:v>未检索到</x:v>
      </x:c>
      <x:c r="T360" s="42" t="n">
        <x:v>72</x:v>
      </x:c>
      <x:c r="U360" s="42"/>
      <x:c r="V360" s="42"/>
      <x:c r="W360" s="33" t="str">
        <x:v>B</x:v>
      </x:c>
      <x:c r="X360" s="33" t="str">
        <x:v>compendium_needs_independent_verification</x:v>
      </x:c>
      <x:c r="Y360" s="33" t="str">
        <x:v>候选待核实</x:v>
      </x:c>
      <x:c r="Z360" s="21" t="str">
        <x:v>Wikipedia具名事件页+高层建筑专题表</x:v>
      </x:c>
      <x:c r="AA360" s="21" t="str">
        <x:v>List of fires in high-rise buildings</x:v>
      </x:c>
      <x:c r="AB360" s="21" t="str">
        <x:v>Wikipedia专题列表</x:v>
      </x:c>
      <x:c r="AC360" s="21" t="str"/>
      <x:c r="AD360" s="21" t="n">
        <x:v>1</x:v>
      </x:c>
      <x:c r="AE360" s="21" t="str">
        <x:v>未检查</x:v>
      </x:c>
      <x:c r="AF360" s="21" t="str"/>
      <x:c r="AG360" s="24" t="n">
        <x:v>46260</x:v>
      </x:c>
      <x:c r="AH360" s="21" t="str"/>
      <x:c r="AI360" s="21" t="n">
        <x:v>1</x:v>
      </x:c>
      <x:c r="AJ360" s="21" t="str">
        <x:v>未评估（本事件表不建立热浪因果关系）</x:v>
      </x:c>
      <x:c r="AK360" s="21" t="str">
        <x:v>缺失/待核实</x:v>
      </x:c>
    </x:row>
    <x:row r="361" ht="42" customHeight="1">
      <x:c r="A361" s="33" t="n">
        <x:v>360</x:v>
      </x:c>
      <x:c r="B361" s="33" t="str">
        <x:v>RAW-0360</x:v>
      </x:c>
      <x:c r="C361" s="36" t="str">
        <x:v>亚洲</x:v>
      </x:c>
      <x:c r="D361" s="36" t="str">
        <x:v>Iran</x:v>
      </x:c>
      <x:c r="E361" s="21" t="str">
        <x:v>Tehran</x:v>
      </x:c>
      <x:c r="F361" s="21" t="str">
        <x:v>Pamchal Chitgar Building fire</x:v>
      </x:c>
      <x:c r="G361" s="39" t="n">
        <x:v>42900</x:v>
      </x:c>
      <x:c r="H361" s="21" t="str">
        <x:v>Pamchal Chitgar Building高层建筑火灾；建筑高度记录为 66 m。死亡人数：0。The residential 20-storey tower – four injured</x:v>
      </x:c>
      <x:c r="I361" s="21" t="str">
        <x:v>未检索到/待核实</x:v>
      </x:c>
      <x:c r="J361" s="21" t="str">
        <x:v>死亡人数：0。The residential 20-storey tower – four injured</x:v>
      </x:c>
      <x:c r="K361" s="21" t="str">
        <x:v>https://en.wikipedia.org/wiki/List_of_fires_in_high-rise_buildings</x:v>
      </x:c>
      <x:c r="L361" s="27"/>
      <x:c r="M361" s="27"/>
      <x:c r="N361" s="21" t="str">
        <x:v>未提供坐标</x:v>
      </x:c>
      <x:c r="O361" s="21" t="str">
        <x:v>高层建筑火灾</x:v>
      </x:c>
      <x:c r="P361" s="21" t="str">
        <x:v>未检索到</x:v>
      </x:c>
      <x:c r="Q361" s="21" t="str">
        <x:v>66 m</x:v>
      </x:c>
      <x:c r="R361" s="21" t="str">
        <x:v>未检索到</x:v>
      </x:c>
      <x:c r="S361" s="21" t="str">
        <x:v>未检索到</x:v>
      </x:c>
      <x:c r="T361" s="42" t="n">
        <x:v>0</x:v>
      </x:c>
      <x:c r="U361" s="42"/>
      <x:c r="V361" s="42"/>
      <x:c r="W361" s="33" t="str">
        <x:v>C</x:v>
      </x:c>
      <x:c r="X361" s="33" t="str">
        <x:v>compendium_needs_independent_verification</x:v>
      </x:c>
      <x:c r="Y361" s="33" t="str">
        <x:v>候选待核实</x:v>
      </x:c>
      <x:c r="Z361" s="21" t="str">
        <x:v>Wikipedia高层建筑专题表；需补充独立来源核验</x:v>
      </x:c>
      <x:c r="AA361" s="21" t="str">
        <x:v>List of fires in high-rise buildings</x:v>
      </x:c>
      <x:c r="AB361" s="21" t="str">
        <x:v>Wikipedia专题列表</x:v>
      </x:c>
      <x:c r="AC361" s="21" t="str"/>
      <x:c r="AD361" s="21" t="n">
        <x:v>1</x:v>
      </x:c>
      <x:c r="AE361" s="21" t="str">
        <x:v>未检查</x:v>
      </x:c>
      <x:c r="AF361" s="21" t="str"/>
      <x:c r="AG361" s="24" t="n">
        <x:v>46260</x:v>
      </x:c>
      <x:c r="AH361" s="21" t="str"/>
      <x:c r="AI361" s="21" t="n">
        <x:v>1</x:v>
      </x:c>
      <x:c r="AJ361" s="21" t="str">
        <x:v>未评估（本事件表不建立热浪因果关系）</x:v>
      </x:c>
      <x:c r="AK361" s="21" t="str">
        <x:v>缺失/待核实</x:v>
      </x:c>
    </x:row>
    <x:row r="362" ht="42" customHeight="1">
      <x:c r="A362" s="33" t="n">
        <x:v>361</x:v>
      </x:c>
      <x:c r="B362" s="33" t="str">
        <x:v>RAW-0361</x:v>
      </x:c>
      <x:c r="C362" s="36" t="str">
        <x:v>北美洲</x:v>
      </x:c>
      <x:c r="D362" s="36" t="str">
        <x:v>United States</x:v>
      </x:c>
      <x:c r="E362" s="21" t="str">
        <x:v>Honolulu</x:v>
      </x:c>
      <x:c r="F362" s="21" t="str">
        <x:v>Marco Polo Apartments</x:v>
      </x:c>
      <x:c r="G362" s="39" t="n">
        <x:v>42930</x:v>
      </x:c>
      <x:c r="H362" s="21" t="str">
        <x:v>Marco Polo Apartments高层建筑火灾；建筑高度记录为 118.8 m。死亡人数：3。Blaze started on the 26th floor of the 36-story apartments. Fire quickly spread to three more floors, making it a 5-alarm fire. This is the deadliest high-rise fire in Hawaii's history.</x:v>
      </x:c>
      <x:c r="I362" s="21" t="str">
        <x:v>Blaze started on the 26th floor of the 36-story apartments.</x:v>
      </x:c>
      <x:c r="J362" s="21" t="str">
        <x:v>死亡人数：3。Blaze started on the 26th floor of the 36-story apartments. Fire quickly spread to three more floors, making it a 5-alarm fire. This is the deadliest high-rise fire in Hawaii's history.</x:v>
      </x:c>
      <x:c r="K362" s="21" t="str">
        <x:v>https://en.wikipedia.org/wiki/Marco_Polo_condo_fire</x:v>
      </x:c>
      <x:c r="L362" s="27"/>
      <x:c r="M362" s="27"/>
      <x:c r="N362" s="21" t="str">
        <x:v>未提供坐标</x:v>
      </x:c>
      <x:c r="O362" s="21" t="str">
        <x:v>高层建筑火灾</x:v>
      </x:c>
      <x:c r="P362" s="21" t="str">
        <x:v>未检索到</x:v>
      </x:c>
      <x:c r="Q362" s="21" t="str">
        <x:v>118.8 m</x:v>
      </x:c>
      <x:c r="R362" s="21" t="str">
        <x:v>未检索到</x:v>
      </x:c>
      <x:c r="S362" s="21" t="str">
        <x:v>未检索到</x:v>
      </x:c>
      <x:c r="T362" s="42" t="n">
        <x:v>3</x:v>
      </x:c>
      <x:c r="U362" s="42"/>
      <x:c r="V362" s="42"/>
      <x:c r="W362" s="33" t="str">
        <x:v>B</x:v>
      </x:c>
      <x:c r="X362" s="33" t="str">
        <x:v>compendium_needs_independent_verification</x:v>
      </x:c>
      <x:c r="Y362" s="33" t="str">
        <x:v>候选待核实</x:v>
      </x:c>
      <x:c r="Z362" s="21" t="str">
        <x:v>Wikipedia具名事件页+高层建筑专题表</x:v>
      </x:c>
      <x:c r="AA362" s="21" t="str">
        <x:v>List of fires in high-rise buildings</x:v>
      </x:c>
      <x:c r="AB362" s="21" t="str">
        <x:v>Wikipedia专题列表</x:v>
      </x:c>
      <x:c r="AC362" s="21" t="str"/>
      <x:c r="AD362" s="21" t="n">
        <x:v>1</x:v>
      </x:c>
      <x:c r="AE362" s="21" t="str">
        <x:v>未检查</x:v>
      </x:c>
      <x:c r="AF362" s="21" t="str"/>
      <x:c r="AG362" s="24" t="n">
        <x:v>46260</x:v>
      </x:c>
      <x:c r="AH362" s="21" t="str"/>
      <x:c r="AI362" s="21" t="n">
        <x:v>1</x:v>
      </x:c>
      <x:c r="AJ362" s="21" t="str">
        <x:v>未评估（本事件表不建立热浪因果关系）</x:v>
      </x:c>
      <x:c r="AK362" s="21" t="str">
        <x:v>已有来源描述</x:v>
      </x:c>
    </x:row>
    <x:row r="363" ht="42" customHeight="1">
      <x:c r="A363" s="33" t="n">
        <x:v>362</x:v>
      </x:c>
      <x:c r="B363" s="33" t="str">
        <x:v>RAW-0362</x:v>
      </x:c>
      <x:c r="C363" s="36" t="str">
        <x:v>亚洲</x:v>
      </x:c>
      <x:c r="D363" s="36" t="str">
        <x:v>Iran</x:v>
      </x:c>
      <x:c r="E363" s="21" t="str">
        <x:v>Mashhad</x:v>
      </x:c>
      <x:c r="F363" s="21" t="str">
        <x:v>Rotana Hotel Building fire</x:v>
      </x:c>
      <x:c r="G363" s="39" t="n">
        <x:v>42938</x:v>
      </x:c>
      <x:c r="H363" s="21" t="str">
        <x:v>Rotana Hotel Building高层建筑火灾；建筑高度记录为 66 m。死亡人数：0。Under construction 20-storey hotel</x:v>
      </x:c>
      <x:c r="I363" s="21" t="str">
        <x:v>未检索到/待核实</x:v>
      </x:c>
      <x:c r="J363" s="21" t="str">
        <x:v>死亡人数：0。Under construction 20-storey hotel</x:v>
      </x:c>
      <x:c r="K363" s="21" t="str">
        <x:v>https://en.wikipedia.org/wiki/List_of_fires_in_high-rise_buildings</x:v>
      </x:c>
      <x:c r="L363" s="27"/>
      <x:c r="M363" s="27"/>
      <x:c r="N363" s="21" t="str">
        <x:v>未提供坐标</x:v>
      </x:c>
      <x:c r="O363" s="21" t="str">
        <x:v>高层建筑火灾</x:v>
      </x:c>
      <x:c r="P363" s="21" t="str">
        <x:v>未检索到</x:v>
      </x:c>
      <x:c r="Q363" s="21" t="str">
        <x:v>66 m</x:v>
      </x:c>
      <x:c r="R363" s="21" t="str">
        <x:v>未检索到</x:v>
      </x:c>
      <x:c r="S363" s="21" t="str">
        <x:v>未检索到</x:v>
      </x:c>
      <x:c r="T363" s="42" t="n">
        <x:v>0</x:v>
      </x:c>
      <x:c r="U363" s="42"/>
      <x:c r="V363" s="42"/>
      <x:c r="W363" s="33" t="str">
        <x:v>C</x:v>
      </x:c>
      <x:c r="X363" s="33" t="str">
        <x:v>compendium_needs_independent_verification</x:v>
      </x:c>
      <x:c r="Y363" s="33" t="str">
        <x:v>候选待核实</x:v>
      </x:c>
      <x:c r="Z363" s="21" t="str">
        <x:v>Wikipedia高层建筑专题表；需补充独立来源核验</x:v>
      </x:c>
      <x:c r="AA363" s="21" t="str">
        <x:v>List of fires in high-rise buildings</x:v>
      </x:c>
      <x:c r="AB363" s="21" t="str">
        <x:v>Wikipedia专题列表</x:v>
      </x:c>
      <x:c r="AC363" s="21" t="str"/>
      <x:c r="AD363" s="21" t="n">
        <x:v>1</x:v>
      </x:c>
      <x:c r="AE363" s="21" t="str">
        <x:v>未检查</x:v>
      </x:c>
      <x:c r="AF363" s="21" t="str"/>
      <x:c r="AG363" s="24" t="n">
        <x:v>46260</x:v>
      </x:c>
      <x:c r="AH363" s="21" t="str"/>
      <x:c r="AI363" s="21" t="n">
        <x:v>1</x:v>
      </x:c>
      <x:c r="AJ363" s="21" t="str">
        <x:v>未评估（本事件表不建立热浪因果关系）</x:v>
      </x:c>
      <x:c r="AK363" s="21" t="str">
        <x:v>缺失/待核实</x:v>
      </x:c>
    </x:row>
    <x:row r="364" ht="42" customHeight="1">
      <x:c r="A364" s="33" t="n">
        <x:v>363</x:v>
      </x:c>
      <x:c r="B364" s="33" t="str">
        <x:v>RAW-0363</x:v>
      </x:c>
      <x:c r="C364" s="36" t="str">
        <x:v>亚洲</x:v>
      </x:c>
      <x:c r="D364" s="36" t="str">
        <x:v>United Arab Emirates</x:v>
      </x:c>
      <x:c r="E364" s="21" t="str">
        <x:v>Dubai</x:v>
      </x:c>
      <x:c r="F364" s="21" t="str">
        <x:v>The Marina Torch fire</x:v>
      </x:c>
      <x:c r="G364" s="39" t="n">
        <x:v>42951</x:v>
      </x:c>
      <x:c r="H364" s="21" t="str">
        <x:v>The Marina Torch高层建筑火灾；建筑高度记录为 336.8 m。死亡人数：0。</x:v>
      </x:c>
      <x:c r="I364" s="21" t="str">
        <x:v>未检索到/待核实</x:v>
      </x:c>
      <x:c r="J364" s="21" t="str">
        <x:v>死亡人数：0。</x:v>
      </x:c>
      <x:c r="K364" s="21" t="str">
        <x:v>https://en.wikipedia.org/wiki/List_of_fires_in_high-rise_buildings</x:v>
      </x:c>
      <x:c r="L364" s="27"/>
      <x:c r="M364" s="27"/>
      <x:c r="N364" s="21" t="str">
        <x:v>未提供坐标</x:v>
      </x:c>
      <x:c r="O364" s="21" t="str">
        <x:v>高层建筑火灾</x:v>
      </x:c>
      <x:c r="P364" s="21" t="str">
        <x:v>未检索到</x:v>
      </x:c>
      <x:c r="Q364" s="21" t="str">
        <x:v>336.8 m</x:v>
      </x:c>
      <x:c r="R364" s="21" t="str">
        <x:v>未检索到</x:v>
      </x:c>
      <x:c r="S364" s="21" t="str">
        <x:v>未检索到</x:v>
      </x:c>
      <x:c r="T364" s="42" t="n">
        <x:v>0</x:v>
      </x:c>
      <x:c r="U364" s="42"/>
      <x:c r="V364" s="42"/>
      <x:c r="W364" s="33" t="str">
        <x:v>C</x:v>
      </x:c>
      <x:c r="X364" s="33" t="str">
        <x:v>compendium_needs_independent_verification</x:v>
      </x:c>
      <x:c r="Y364" s="33" t="str">
        <x:v>候选待核实</x:v>
      </x:c>
      <x:c r="Z364" s="21" t="str">
        <x:v>Wikipedia高层建筑专题表；需补充独立来源核验</x:v>
      </x:c>
      <x:c r="AA364" s="21" t="str">
        <x:v>List of fires in high-rise buildings</x:v>
      </x:c>
      <x:c r="AB364" s="21" t="str">
        <x:v>Wikipedia专题列表</x:v>
      </x:c>
      <x:c r="AC364" s="21" t="str"/>
      <x:c r="AD364" s="21" t="n">
        <x:v>1</x:v>
      </x:c>
      <x:c r="AE364" s="21" t="str">
        <x:v>未检查</x:v>
      </x:c>
      <x:c r="AF364" s="21" t="str"/>
      <x:c r="AG364" s="24" t="n">
        <x:v>46260</x:v>
      </x:c>
      <x:c r="AH364" s="21" t="str"/>
      <x:c r="AI364" s="21" t="n">
        <x:v>1</x:v>
      </x:c>
      <x:c r="AJ364" s="21" t="str">
        <x:v>未评估（本事件表不建立热浪因果关系）</x:v>
      </x:c>
      <x:c r="AK364" s="21" t="str">
        <x:v>缺失/待核实</x:v>
      </x:c>
    </x:row>
    <x:row r="365" ht="42" customHeight="1">
      <x:c r="A365" s="33" t="n">
        <x:v>364</x:v>
      </x:c>
      <x:c r="B365" s="33" t="str">
        <x:v>RAW-0364</x:v>
      </x:c>
      <x:c r="C365" s="36" t="str">
        <x:v>北美洲</x:v>
      </x:c>
      <x:c r="D365" s="36" t="str">
        <x:v>United States</x:v>
      </x:c>
      <x:c r="E365" s="21" t="str">
        <x:v>New York City</x:v>
      </x:c>
      <x:c r="F365" s="21" t="str">
        <x:v>Trump Tower fire</x:v>
      </x:c>
      <x:c r="G365" s="39" t="n">
        <x:v>43197</x:v>
      </x:c>
      <x:c r="H365" s="21" t="str">
        <x:v>Trump Tower高层建筑火灾；建筑高度记录为 202 m。死亡人数：1。6 firefighters injured</x:v>
      </x:c>
      <x:c r="I365" s="21" t="str">
        <x:v>未检索到/待核实</x:v>
      </x:c>
      <x:c r="J365" s="21" t="str">
        <x:v>死亡人数：1。6 firefighters injured</x:v>
      </x:c>
      <x:c r="K365" s="21" t="str">
        <x:v>https://en.wikipedia.org/wiki/List_of_fires_in_high-rise_buildings</x:v>
      </x:c>
      <x:c r="L365" s="27"/>
      <x:c r="M365" s="27"/>
      <x:c r="N365" s="21" t="str">
        <x:v>未提供坐标</x:v>
      </x:c>
      <x:c r="O365" s="21" t="str">
        <x:v>高层建筑火灾</x:v>
      </x:c>
      <x:c r="P365" s="21" t="str">
        <x:v>未检索到</x:v>
      </x:c>
      <x:c r="Q365" s="21" t="str">
        <x:v>202 m</x:v>
      </x:c>
      <x:c r="R365" s="21" t="str">
        <x:v>未检索到</x:v>
      </x:c>
      <x:c r="S365" s="21" t="str">
        <x:v>未检索到</x:v>
      </x:c>
      <x:c r="T365" s="42" t="n">
        <x:v>1</x:v>
      </x:c>
      <x:c r="U365" s="42"/>
      <x:c r="V365" s="42"/>
      <x:c r="W365" s="33" t="str">
        <x:v>C</x:v>
      </x:c>
      <x:c r="X365" s="33" t="str">
        <x:v>compendium_needs_independent_verification</x:v>
      </x:c>
      <x:c r="Y365" s="33" t="str">
        <x:v>候选待核实</x:v>
      </x:c>
      <x:c r="Z365" s="21" t="str">
        <x:v>Wikipedia高层建筑专题表；需补充独立来源核验</x:v>
      </x:c>
      <x:c r="AA365" s="21" t="str">
        <x:v>List of fires in high-rise buildings</x:v>
      </x:c>
      <x:c r="AB365" s="21" t="str">
        <x:v>Wikipedia专题列表</x:v>
      </x:c>
      <x:c r="AC365" s="21" t="str"/>
      <x:c r="AD365" s="21" t="n">
        <x:v>1</x:v>
      </x:c>
      <x:c r="AE365" s="21" t="str">
        <x:v>未检查</x:v>
      </x:c>
      <x:c r="AF365" s="21" t="str"/>
      <x:c r="AG365" s="24" t="n">
        <x:v>46260</x:v>
      </x:c>
      <x:c r="AH365" s="21" t="str"/>
      <x:c r="AI365" s="21" t="n">
        <x:v>1</x:v>
      </x:c>
      <x:c r="AJ365" s="21" t="str">
        <x:v>未评估（本事件表不建立热浪因果关系）</x:v>
      </x:c>
      <x:c r="AK365" s="21" t="str">
        <x:v>缺失/待核实</x:v>
      </x:c>
    </x:row>
    <x:row r="366" ht="42" customHeight="1">
      <x:c r="A366" s="33" t="n">
        <x:v>365</x:v>
      </x:c>
      <x:c r="B366" s="33" t="str">
        <x:v>RAW-0365</x:v>
      </x:c>
      <x:c r="C366" s="36" t="str">
        <x:v>亚洲</x:v>
      </x:c>
      <x:c r="D366" s="36" t="str">
        <x:v>United Arab Emirates</x:v>
      </x:c>
      <x:c r="E366" s="21" t="str">
        <x:v>Dubai</x:v>
      </x:c>
      <x:c r="F366" s="21" t="str">
        <x:v>Almas Tower fire</x:v>
      </x:c>
      <x:c r="G366" s="39" t="n">
        <x:v>43220</x:v>
      </x:c>
      <x:c r="H366" s="21" t="str">
        <x:v>Almas Tower高层建筑火灾；建筑高度记录为 360 m。死亡人数：0。</x:v>
      </x:c>
      <x:c r="I366" s="21" t="str">
        <x:v>未检索到/待核实</x:v>
      </x:c>
      <x:c r="J366" s="21" t="str">
        <x:v>死亡人数：0。</x:v>
      </x:c>
      <x:c r="K366" s="21" t="str">
        <x:v>https://en.wikipedia.org/wiki/List_of_fires_in_high-rise_buildings</x:v>
      </x:c>
      <x:c r="L366" s="27"/>
      <x:c r="M366" s="27"/>
      <x:c r="N366" s="21" t="str">
        <x:v>未提供坐标</x:v>
      </x:c>
      <x:c r="O366" s="21" t="str">
        <x:v>高层建筑火灾</x:v>
      </x:c>
      <x:c r="P366" s="21" t="str">
        <x:v>未检索到</x:v>
      </x:c>
      <x:c r="Q366" s="21" t="str">
        <x:v>360 m</x:v>
      </x:c>
      <x:c r="R366" s="21" t="str">
        <x:v>未检索到</x:v>
      </x:c>
      <x:c r="S366" s="21" t="str">
        <x:v>未检索到</x:v>
      </x:c>
      <x:c r="T366" s="42" t="n">
        <x:v>0</x:v>
      </x:c>
      <x:c r="U366" s="42"/>
      <x:c r="V366" s="42"/>
      <x:c r="W366" s="33" t="str">
        <x:v>C</x:v>
      </x:c>
      <x:c r="X366" s="33" t="str">
        <x:v>compendium_needs_independent_verification</x:v>
      </x:c>
      <x:c r="Y366" s="33" t="str">
        <x:v>候选待核实</x:v>
      </x:c>
      <x:c r="Z366" s="21" t="str">
        <x:v>Wikipedia高层建筑专题表；需补充独立来源核验</x:v>
      </x:c>
      <x:c r="AA366" s="21" t="str">
        <x:v>List of fires in high-rise buildings</x:v>
      </x:c>
      <x:c r="AB366" s="21" t="str">
        <x:v>Wikipedia专题列表</x:v>
      </x:c>
      <x:c r="AC366" s="21" t="str"/>
      <x:c r="AD366" s="21" t="n">
        <x:v>1</x:v>
      </x:c>
      <x:c r="AE366" s="21" t="str">
        <x:v>未检查</x:v>
      </x:c>
      <x:c r="AF366" s="21" t="str"/>
      <x:c r="AG366" s="24" t="n">
        <x:v>46260</x:v>
      </x:c>
      <x:c r="AH366" s="21" t="str"/>
      <x:c r="AI366" s="21" t="n">
        <x:v>1</x:v>
      </x:c>
      <x:c r="AJ366" s="21" t="str">
        <x:v>未评估（本事件表不建立热浪因果关系）</x:v>
      </x:c>
      <x:c r="AK366" s="21" t="str">
        <x:v>缺失/待核实</x:v>
      </x:c>
    </x:row>
    <x:row r="367" ht="42" customHeight="1">
      <x:c r="A367" s="33" t="n">
        <x:v>366</x:v>
      </x:c>
      <x:c r="B367" s="33" t="str">
        <x:v>RAW-0366</x:v>
      </x:c>
      <x:c r="C367" s="36" t="str">
        <x:v>亚洲</x:v>
      </x:c>
      <x:c r="D367" s="36" t="str">
        <x:v>Azerbaijan</x:v>
      </x:c>
      <x:c r="E367" s="21" t="str">
        <x:v>Baku</x:v>
      </x:c>
      <x:c r="F367" s="21" t="str">
        <x:v>Trump International Hotel and Tower (Baku) fire</x:v>
      </x:c>
      <x:c r="G367" s="39" t="n">
        <x:v>43220</x:v>
      </x:c>
      <x:c r="H367" s="21" t="str">
        <x:v>Trump International Hotel and Tower (Baku)高层建筑火灾；建筑高度记录为 108.9 m。死亡人数：0。Involved two separate fires the same day</x:v>
      </x:c>
      <x:c r="I367" s="21" t="str">
        <x:v>未检索到/待核实</x:v>
      </x:c>
      <x:c r="J367" s="21" t="str">
        <x:v>死亡人数：0。Involved two separate fires the same day</x:v>
      </x:c>
      <x:c r="K367" s="21" t="str">
        <x:v>https://en.wikipedia.org/wiki/List_of_fires_in_high-rise_buildings</x:v>
      </x:c>
      <x:c r="L367" s="27"/>
      <x:c r="M367" s="27"/>
      <x:c r="N367" s="21" t="str">
        <x:v>未提供坐标</x:v>
      </x:c>
      <x:c r="O367" s="21" t="str">
        <x:v>高层建筑火灾</x:v>
      </x:c>
      <x:c r="P367" s="21" t="str">
        <x:v>未检索到</x:v>
      </x:c>
      <x:c r="Q367" s="21" t="str">
        <x:v>108.9 m</x:v>
      </x:c>
      <x:c r="R367" s="21" t="str">
        <x:v>未检索到</x:v>
      </x:c>
      <x:c r="S367" s="21" t="str">
        <x:v>未检索到</x:v>
      </x:c>
      <x:c r="T367" s="42" t="n">
        <x:v>0</x:v>
      </x:c>
      <x:c r="U367" s="42"/>
      <x:c r="V367" s="42"/>
      <x:c r="W367" s="33" t="str">
        <x:v>C</x:v>
      </x:c>
      <x:c r="X367" s="33" t="str">
        <x:v>compendium_needs_independent_verification</x:v>
      </x:c>
      <x:c r="Y367" s="33" t="str">
        <x:v>候选待核实</x:v>
      </x:c>
      <x:c r="Z367" s="21" t="str">
        <x:v>Wikipedia高层建筑专题表；需补充独立来源核验</x:v>
      </x:c>
      <x:c r="AA367" s="21" t="str">
        <x:v>List of fires in high-rise buildings</x:v>
      </x:c>
      <x:c r="AB367" s="21" t="str">
        <x:v>Wikipedia专题列表</x:v>
      </x:c>
      <x:c r="AC367" s="21" t="str"/>
      <x:c r="AD367" s="21" t="n">
        <x:v>1</x:v>
      </x:c>
      <x:c r="AE367" s="21" t="str">
        <x:v>未检查</x:v>
      </x:c>
      <x:c r="AF367" s="21" t="str"/>
      <x:c r="AG367" s="24" t="n">
        <x:v>46260</x:v>
      </x:c>
      <x:c r="AH367" s="21" t="str"/>
      <x:c r="AI367" s="21" t="n">
        <x:v>1</x:v>
      </x:c>
      <x:c r="AJ367" s="21" t="str">
        <x:v>未评估（本事件表不建立热浪因果关系）</x:v>
      </x:c>
      <x:c r="AK367" s="21" t="str">
        <x:v>缺失/待核实</x:v>
      </x:c>
    </x:row>
    <x:row r="368" ht="42" customHeight="1">
      <x:c r="A368" s="33" t="n">
        <x:v>367</x:v>
      </x:c>
      <x:c r="B368" s="33" t="str">
        <x:v>RAW-0367</x:v>
      </x:c>
      <x:c r="C368" s="36" t="str">
        <x:v>南美洲</x:v>
      </x:c>
      <x:c r="D368" s="36" t="str">
        <x:v>Brazil</x:v>
      </x:c>
      <x:c r="E368" s="21" t="str">
        <x:v>São Paulo</x:v>
      </x:c>
      <x:c r="F368" s="21" t="str">
        <x:v>Wilton Paes de Almeida Building fire</x:v>
      </x:c>
      <x:c r="G368" s="39" t="n">
        <x:v>43220</x:v>
      </x:c>
      <x:c r="H368" s="21" t="str">
        <x:v>Wilton Paes de Almeida Building高层建筑火灾；建筑高度记录为 79.2 m。死亡人数：8。7–9, building collapsed shortly after blaze</x:v>
      </x:c>
      <x:c r="I368" s="21" t="str">
        <x:v>未检索到/待核实</x:v>
      </x:c>
      <x:c r="J368" s="21" t="str">
        <x:v>死亡人数：8。7–9, building collapsed shortly after blaze</x:v>
      </x:c>
      <x:c r="K368" s="21" t="str">
        <x:v>https://en.wikipedia.org/wiki/List_of_fires_in_high-rise_buildings</x:v>
      </x:c>
      <x:c r="L368" s="27"/>
      <x:c r="M368" s="27"/>
      <x:c r="N368" s="21" t="str">
        <x:v>未提供坐标</x:v>
      </x:c>
      <x:c r="O368" s="21" t="str">
        <x:v>高层建筑火灾</x:v>
      </x:c>
      <x:c r="P368" s="21" t="str">
        <x:v>未检索到</x:v>
      </x:c>
      <x:c r="Q368" s="21" t="str">
        <x:v>79.2 m</x:v>
      </x:c>
      <x:c r="R368" s="21" t="str">
        <x:v>未检索到</x:v>
      </x:c>
      <x:c r="S368" s="21" t="str">
        <x:v>未检索到</x:v>
      </x:c>
      <x:c r="T368" s="42" t="n">
        <x:v>8</x:v>
      </x:c>
      <x:c r="U368" s="42"/>
      <x:c r="V368" s="42"/>
      <x:c r="W368" s="33" t="str">
        <x:v>C</x:v>
      </x:c>
      <x:c r="X368" s="33" t="str">
        <x:v>compendium_needs_independent_verification</x:v>
      </x:c>
      <x:c r="Y368" s="33" t="str">
        <x:v>候选待核实</x:v>
      </x:c>
      <x:c r="Z368" s="21" t="str">
        <x:v>Wikipedia高层建筑专题表；需补充独立来源核验</x:v>
      </x:c>
      <x:c r="AA368" s="21" t="str">
        <x:v>List of fires in high-rise buildings</x:v>
      </x:c>
      <x:c r="AB368" s="21" t="str">
        <x:v>Wikipedia专题列表</x:v>
      </x:c>
      <x:c r="AC368" s="21" t="str"/>
      <x:c r="AD368" s="21" t="n">
        <x:v>1</x:v>
      </x:c>
      <x:c r="AE368" s="21" t="str">
        <x:v>未检查</x:v>
      </x:c>
      <x:c r="AF368" s="21" t="str"/>
      <x:c r="AG368" s="24" t="n">
        <x:v>46260</x:v>
      </x:c>
      <x:c r="AH368" s="21" t="str"/>
      <x:c r="AI368" s="21" t="n">
        <x:v>1</x:v>
      </x:c>
      <x:c r="AJ368" s="21" t="str">
        <x:v>未评估（本事件表不建立热浪因果关系）</x:v>
      </x:c>
      <x:c r="AK368" s="21" t="str">
        <x:v>缺失/待核实</x:v>
      </x:c>
    </x:row>
    <x:row r="369" ht="42" customHeight="1">
      <x:c r="A369" s="33" t="n">
        <x:v>368</x:v>
      </x:c>
      <x:c r="B369" s="33" t="str">
        <x:v>RAW-0368</x:v>
      </x:c>
      <x:c r="C369" s="36" t="str">
        <x:v>亚洲</x:v>
      </x:c>
      <x:c r="D369" s="36" t="str">
        <x:v>Iran</x:v>
      </x:c>
      <x:c r="E369" s="21" t="str">
        <x:v>Tehran</x:v>
      </x:c>
      <x:c r="F369" s="21" t="str">
        <x:v>Paramis Building fire</x:v>
      </x:c>
      <x:c r="G369" s="39" t="n">
        <x:v>43303</x:v>
      </x:c>
      <x:c r="H369" s="21" t="str">
        <x:v>Paramis Building高层建筑火灾；建筑高度记录为 69.3 m。死亡人数：0。21-storey residential building</x:v>
      </x:c>
      <x:c r="I369" s="21" t="str">
        <x:v>未检索到/待核实</x:v>
      </x:c>
      <x:c r="J369" s="21" t="str">
        <x:v>死亡人数：0。21-storey residential building</x:v>
      </x:c>
      <x:c r="K369" s="21" t="str">
        <x:v>https://en.wikipedia.org/wiki/List_of_fires_in_high-rise_buildings</x:v>
      </x:c>
      <x:c r="L369" s="27"/>
      <x:c r="M369" s="27"/>
      <x:c r="N369" s="21" t="str">
        <x:v>未提供坐标</x:v>
      </x:c>
      <x:c r="O369" s="21" t="str">
        <x:v>高层建筑火灾</x:v>
      </x:c>
      <x:c r="P369" s="21" t="str">
        <x:v>未检索到</x:v>
      </x:c>
      <x:c r="Q369" s="21" t="str">
        <x:v>69.3 m</x:v>
      </x:c>
      <x:c r="R369" s="21" t="str">
        <x:v>未检索到</x:v>
      </x:c>
      <x:c r="S369" s="21" t="str">
        <x:v>未检索到</x:v>
      </x:c>
      <x:c r="T369" s="42" t="n">
        <x:v>0</x:v>
      </x:c>
      <x:c r="U369" s="42"/>
      <x:c r="V369" s="42"/>
      <x:c r="W369" s="33" t="str">
        <x:v>C</x:v>
      </x:c>
      <x:c r="X369" s="33" t="str">
        <x:v>compendium_needs_independent_verification</x:v>
      </x:c>
      <x:c r="Y369" s="33" t="str">
        <x:v>候选待核实</x:v>
      </x:c>
      <x:c r="Z369" s="21" t="str">
        <x:v>Wikipedia高层建筑专题表；需补充独立来源核验</x:v>
      </x:c>
      <x:c r="AA369" s="21" t="str">
        <x:v>List of fires in high-rise buildings</x:v>
      </x:c>
      <x:c r="AB369" s="21" t="str">
        <x:v>Wikipedia专题列表</x:v>
      </x:c>
      <x:c r="AC369" s="21" t="str"/>
      <x:c r="AD369" s="21" t="n">
        <x:v>1</x:v>
      </x:c>
      <x:c r="AE369" s="21" t="str">
        <x:v>未检查</x:v>
      </x:c>
      <x:c r="AF369" s="21" t="str"/>
      <x:c r="AG369" s="24" t="n">
        <x:v>46260</x:v>
      </x:c>
      <x:c r="AH369" s="21" t="str"/>
      <x:c r="AI369" s="21" t="n">
        <x:v>1</x:v>
      </x:c>
      <x:c r="AJ369" s="21" t="str">
        <x:v>未评估（本事件表不建立热浪因果关系）</x:v>
      </x:c>
      <x:c r="AK369" s="21" t="str">
        <x:v>缺失/待核实</x:v>
      </x:c>
    </x:row>
    <x:row r="370" ht="42" customHeight="1">
      <x:c r="A370" s="33" t="n">
        <x:v>369</x:v>
      </x:c>
      <x:c r="B370" s="33" t="str">
        <x:v>RAW-0369</x:v>
      </x:c>
      <x:c r="C370" s="36" t="str">
        <x:v>非洲</x:v>
      </x:c>
      <x:c r="D370" s="36" t="str">
        <x:v>South Africa</x:v>
      </x:c>
      <x:c r="E370" s="21" t="str">
        <x:v>Johannesburg</x:v>
      </x:c>
      <x:c r="F370" s="21" t="str">
        <x:v>Bank of Lisbon building fire</x:v>
      </x:c>
      <x:c r="G370" s="39" t="n">
        <x:v>43349</x:v>
      </x:c>
      <x:c r="H370" s="21" t="str">
        <x:v>Bank of Lisbon building高层建筑火灾；建筑高度记录为 108 m。死亡人数：3。Building demolished/Imploded on November 24, 2019</x:v>
      </x:c>
      <x:c r="I370" s="21" t="str">
        <x:v>未检索到/待核实</x:v>
      </x:c>
      <x:c r="J370" s="21" t="str">
        <x:v>死亡人数：3。Building demolished/Imploded on November 24, 2019</x:v>
      </x:c>
      <x:c r="K370" s="21" t="str">
        <x:v>https://en.wikipedia.org/wiki/List_of_fires_in_high-rise_buildings</x:v>
      </x:c>
      <x:c r="L370" s="27"/>
      <x:c r="M370" s="27"/>
      <x:c r="N370" s="21" t="str">
        <x:v>未提供坐标</x:v>
      </x:c>
      <x:c r="O370" s="21" t="str">
        <x:v>高层建筑火灾</x:v>
      </x:c>
      <x:c r="P370" s="21" t="str">
        <x:v>未检索到</x:v>
      </x:c>
      <x:c r="Q370" s="21" t="str">
        <x:v>108 m</x:v>
      </x:c>
      <x:c r="R370" s="21" t="str">
        <x:v>未检索到</x:v>
      </x:c>
      <x:c r="S370" s="21" t="str">
        <x:v>未检索到</x:v>
      </x:c>
      <x:c r="T370" s="42" t="n">
        <x:v>3</x:v>
      </x:c>
      <x:c r="U370" s="42"/>
      <x:c r="V370" s="42"/>
      <x:c r="W370" s="33" t="str">
        <x:v>C</x:v>
      </x:c>
      <x:c r="X370" s="33" t="str">
        <x:v>compendium_needs_independent_verification</x:v>
      </x:c>
      <x:c r="Y370" s="33" t="str">
        <x:v>候选待核实</x:v>
      </x:c>
      <x:c r="Z370" s="21" t="str">
        <x:v>Wikipedia高层建筑专题表；需补充独立来源核验</x:v>
      </x:c>
      <x:c r="AA370" s="21" t="str">
        <x:v>List of fires in high-rise buildings</x:v>
      </x:c>
      <x:c r="AB370" s="21" t="str">
        <x:v>Wikipedia专题列表</x:v>
      </x:c>
      <x:c r="AC370" s="21" t="str"/>
      <x:c r="AD370" s="21" t="n">
        <x:v>1</x:v>
      </x:c>
      <x:c r="AE370" s="21" t="str">
        <x:v>未检查</x:v>
      </x:c>
      <x:c r="AF370" s="21" t="str"/>
      <x:c r="AG370" s="24" t="n">
        <x:v>46260</x:v>
      </x:c>
      <x:c r="AH370" s="21" t="str"/>
      <x:c r="AI370" s="21" t="n">
        <x:v>1</x:v>
      </x:c>
      <x:c r="AJ370" s="21" t="str">
        <x:v>未评估（本事件表不建立热浪因果关系）</x:v>
      </x:c>
      <x:c r="AK370" s="21" t="str">
        <x:v>缺失/待核实</x:v>
      </x:c>
    </x:row>
    <x:row r="371" ht="42" customHeight="1">
      <x:c r="A371" s="33" t="n">
        <x:v>370</x:v>
      </x:c>
      <x:c r="B371" s="33" t="str">
        <x:v>RAW-0370</x:v>
      </x:c>
      <x:c r="C371" s="36" t="str">
        <x:v>亚洲</x:v>
      </x:c>
      <x:c r="D371" s="36" t="str">
        <x:v>Bangladesh</x:v>
      </x:c>
      <x:c r="E371" s="21" t="str">
        <x:v>Dhaka</x:v>
      </x:c>
      <x:c r="F371" s="21" t="str">
        <x:v>FR Tower fire</x:v>
      </x:c>
      <x:c r="G371" s="39" t="n">
        <x:v>43552</x:v>
      </x:c>
      <x:c r="H371" s="21" t="str">
        <x:v>FR Tower高层建筑火灾；建筑高度记录为 未列明。死亡人数：25。FR Tower fire</x:v>
      </x:c>
      <x:c r="I371" s="21" t="str">
        <x:v>未检索到/待核实</x:v>
      </x:c>
      <x:c r="J371" s="21" t="str">
        <x:v>死亡人数：25。FR Tower fire</x:v>
      </x:c>
      <x:c r="K371" s="21" t="str">
        <x:v>https://en.wikipedia.org/wiki/FR_Tower_fire</x:v>
      </x:c>
      <x:c r="L371" s="27"/>
      <x:c r="M371" s="27"/>
      <x:c r="N371" s="21" t="str">
        <x:v>未提供坐标</x:v>
      </x:c>
      <x:c r="O371" s="21" t="str">
        <x:v>高层建筑火灾</x:v>
      </x:c>
      <x:c r="P371" s="21" t="str">
        <x:v>未检索到</x:v>
      </x:c>
      <x:c r="Q371" s="21" t="str">
        <x:v>未检索到</x:v>
      </x:c>
      <x:c r="R371" s="21" t="str">
        <x:v>未检索到</x:v>
      </x:c>
      <x:c r="S371" s="21" t="str">
        <x:v>未检索到</x:v>
      </x:c>
      <x:c r="T371" s="42" t="n">
        <x:v>25</x:v>
      </x:c>
      <x:c r="U371" s="42"/>
      <x:c r="V371" s="42"/>
      <x:c r="W371" s="33" t="str">
        <x:v>B</x:v>
      </x:c>
      <x:c r="X371" s="33" t="str">
        <x:v>compendium_needs_independent_verification</x:v>
      </x:c>
      <x:c r="Y371" s="33" t="str">
        <x:v>候选待核实</x:v>
      </x:c>
      <x:c r="Z371" s="21" t="str">
        <x:v>Wikipedia具名事件页+高层建筑专题表</x:v>
      </x:c>
      <x:c r="AA371" s="21" t="str">
        <x:v>List of fires in high-rise buildings</x:v>
      </x:c>
      <x:c r="AB371" s="21" t="str">
        <x:v>Wikipedia专题列表</x:v>
      </x:c>
      <x:c r="AC371" s="21" t="str"/>
      <x:c r="AD371" s="21" t="n">
        <x:v>1</x:v>
      </x:c>
      <x:c r="AE371" s="21" t="str">
        <x:v>未检查</x:v>
      </x:c>
      <x:c r="AF371" s="21" t="str"/>
      <x:c r="AG371" s="24" t="n">
        <x:v>46260</x:v>
      </x:c>
      <x:c r="AH371" s="21" t="str"/>
      <x:c r="AI371" s="21" t="n">
        <x:v>1</x:v>
      </x:c>
      <x:c r="AJ371" s="21" t="str">
        <x:v>未评估（本事件表不建立热浪因果关系）</x:v>
      </x:c>
      <x:c r="AK371" s="21" t="str">
        <x:v>缺失/待核实</x:v>
      </x:c>
    </x:row>
    <x:row r="372" ht="42" customHeight="1">
      <x:c r="A372" s="33" t="n">
        <x:v>371</x:v>
      </x:c>
      <x:c r="B372" s="33" t="str">
        <x:v>RAW-0371</x:v>
      </x:c>
      <x:c r="C372" s="36" t="str">
        <x:v>北美洲</x:v>
      </x:c>
      <x:c r="D372" s="36" t="str">
        <x:v>United States</x:v>
      </x:c>
      <x:c r="E372" s="21" t="str">
        <x:v>New York City</x:v>
      </x:c>
      <x:c r="F372" s="21" t="str">
        <x:v>AXA Equitable Center fire</x:v>
      </x:c>
      <x:c r="G372" s="39" t="n">
        <x:v>43626</x:v>
      </x:c>
      <x:c r="H372" s="21" t="str">
        <x:v>AXA Equitable Center高层建筑火灾；建筑高度记录为 229.3 m。死亡人数：1。2019 New York City helicopter crash</x:v>
      </x:c>
      <x:c r="I372" s="21" t="str">
        <x:v>未检索到/待核实</x:v>
      </x:c>
      <x:c r="J372" s="21" t="str">
        <x:v>死亡人数：1。2019 New York City helicopter crash</x:v>
      </x:c>
      <x:c r="K372" s="21" t="str">
        <x:v>https://en.wikipedia.org/wiki/List_of_fires_in_high-rise_buildings</x:v>
      </x:c>
      <x:c r="L372" s="27"/>
      <x:c r="M372" s="27"/>
      <x:c r="N372" s="21" t="str">
        <x:v>未提供坐标</x:v>
      </x:c>
      <x:c r="O372" s="21" t="str">
        <x:v>高层建筑火灾</x:v>
      </x:c>
      <x:c r="P372" s="21" t="str">
        <x:v>未检索到</x:v>
      </x:c>
      <x:c r="Q372" s="21" t="str">
        <x:v>229.3 m</x:v>
      </x:c>
      <x:c r="R372" s="21" t="str">
        <x:v>未检索到</x:v>
      </x:c>
      <x:c r="S372" s="21" t="str">
        <x:v>未检索到</x:v>
      </x:c>
      <x:c r="T372" s="42" t="n">
        <x:v>1</x:v>
      </x:c>
      <x:c r="U372" s="42"/>
      <x:c r="V372" s="42"/>
      <x:c r="W372" s="33" t="str">
        <x:v>C</x:v>
      </x:c>
      <x:c r="X372" s="33" t="str">
        <x:v>compendium_needs_independent_verification</x:v>
      </x:c>
      <x:c r="Y372" s="33" t="str">
        <x:v>候选待核实</x:v>
      </x:c>
      <x:c r="Z372" s="21" t="str">
        <x:v>Wikipedia高层建筑专题表；需补充独立来源核验</x:v>
      </x:c>
      <x:c r="AA372" s="21" t="str">
        <x:v>List of fires in high-rise buildings</x:v>
      </x:c>
      <x:c r="AB372" s="21" t="str">
        <x:v>Wikipedia专题列表</x:v>
      </x:c>
      <x:c r="AC372" s="21" t="str"/>
      <x:c r="AD372" s="21" t="n">
        <x:v>1</x:v>
      </x:c>
      <x:c r="AE372" s="21" t="str">
        <x:v>未检查</x:v>
      </x:c>
      <x:c r="AF372" s="21" t="str"/>
      <x:c r="AG372" s="24" t="n">
        <x:v>46260</x:v>
      </x:c>
      <x:c r="AH372" s="21" t="str"/>
      <x:c r="AI372" s="21" t="n">
        <x:v>1</x:v>
      </x:c>
      <x:c r="AJ372" s="21" t="str">
        <x:v>未评估（本事件表不建立热浪因果关系）</x:v>
      </x:c>
      <x:c r="AK372" s="21" t="str">
        <x:v>缺失/待核实</x:v>
      </x:c>
    </x:row>
    <x:row r="373" ht="42" customHeight="1">
      <x:c r="A373" s="33" t="n">
        <x:v>372</x:v>
      </x:c>
      <x:c r="B373" s="33" t="str">
        <x:v>RAW-0372</x:v>
      </x:c>
      <x:c r="C373" s="36" t="str">
        <x:v>欧洲</x:v>
      </x:c>
      <x:c r="D373" s="36" t="str">
        <x:v>Slovakia</x:v>
      </x:c>
      <x:c r="E373" s="21" t="str">
        <x:v>Prešov</x:v>
      </x:c>
      <x:c r="F373" s="21" t="str">
        <x:v>Unnamed Highrise fire</x:v>
      </x:c>
      <x:c r="G373" s="39" t="n">
        <x:v>43805</x:v>
      </x:c>
      <x:c r="H373" s="21" t="str">
        <x:v>Unnamed Highrise高层建筑火灾；建筑高度记录为 47.9 m。死亡人数：8。Natural gas explosion, 40 injuries</x:v>
      </x:c>
      <x:c r="I373" s="21" t="str">
        <x:v>Natural gas explosion, 40 injuries</x:v>
      </x:c>
      <x:c r="J373" s="21" t="str">
        <x:v>死亡人数：8。Natural gas explosion, 40 injuries</x:v>
      </x:c>
      <x:c r="K373" s="21" t="str">
        <x:v>https://www.teraz.sk/regiony/vybuch-plynu-hasici-hasia-poziar-byt/434333-clanok.html</x:v>
      </x:c>
      <x:c r="L373" s="27"/>
      <x:c r="M373" s="27"/>
      <x:c r="N373" s="21" t="str">
        <x:v>未提供坐标</x:v>
      </x:c>
      <x:c r="O373" s="21" t="str">
        <x:v>高层建筑火灾</x:v>
      </x:c>
      <x:c r="P373" s="21" t="str">
        <x:v>未检索到</x:v>
      </x:c>
      <x:c r="Q373" s="21" t="str">
        <x:v>47.9 m</x:v>
      </x:c>
      <x:c r="R373" s="21" t="str">
        <x:v>未检索到</x:v>
      </x:c>
      <x:c r="S373" s="21" t="str">
        <x:v>未检索到</x:v>
      </x:c>
      <x:c r="T373" s="42" t="n">
        <x:v>8</x:v>
      </x:c>
      <x:c r="U373" s="42"/>
      <x:c r="V373" s="42"/>
      <x:c r="W373" s="33" t="str">
        <x:v>C</x:v>
      </x:c>
      <x:c r="X373" s="33" t="str">
        <x:v>compendium_needs_independent_verification</x:v>
      </x:c>
      <x:c r="Y373" s="33" t="str">
        <x:v>候选待核实</x:v>
      </x:c>
      <x:c r="Z373" s="21" t="str">
        <x:v>Wikipedia高层建筑专题表；需补充独立来源核验</x:v>
      </x:c>
      <x:c r="AA373" s="21" t="str">
        <x:v>List of fires in high-rise buildings</x:v>
      </x:c>
      <x:c r="AB373" s="21" t="str">
        <x:v>Wikipedia专题列表</x:v>
      </x:c>
      <x:c r="AC373" s="21" t="str"/>
      <x:c r="AD373" s="21" t="n">
        <x:v>1</x:v>
      </x:c>
      <x:c r="AE373" s="21" t="str">
        <x:v>未检查</x:v>
      </x:c>
      <x:c r="AF373" s="21" t="str"/>
      <x:c r="AG373" s="24" t="n">
        <x:v>46260</x:v>
      </x:c>
      <x:c r="AH373" s="21" t="str"/>
      <x:c r="AI373" s="21" t="n">
        <x:v>1</x:v>
      </x:c>
      <x:c r="AJ373" s="21" t="str">
        <x:v>未评估（本事件表不建立热浪因果关系）</x:v>
      </x:c>
      <x:c r="AK373" s="21" t="str">
        <x:v>已有来源描述</x:v>
      </x:c>
    </x:row>
    <x:row r="374" ht="42" customHeight="1">
      <x:c r="A374" s="33" t="n">
        <x:v>373</x:v>
      </x:c>
      <x:c r="B374" s="33" t="str">
        <x:v>RAW-0373</x:v>
      </x:c>
      <x:c r="C374" s="36" t="str">
        <x:v>亚洲</x:v>
      </x:c>
      <x:c r="D374" s="36" t="str">
        <x:v>United Arab Emirates</x:v>
      </x:c>
      <x:c r="E374" s="21" t="str">
        <x:v>Sharjah</x:v>
      </x:c>
      <x:c r="F374" s="21" t="str">
        <x:v>Abbco Tower fire</x:v>
      </x:c>
      <x:c r="G374" s="39" t="n">
        <x:v>43956</x:v>
      </x:c>
      <x:c r="H374" s="21" t="str">
        <x:v>Abbco Tower高层建筑火灾；建筑高度记录为 190 m。死亡人数：1。25 injuries, likely started by a discarded cigarette or shisha coals</x:v>
      </x:c>
      <x:c r="I374" s="21" t="str">
        <x:v>25 injuries, likely started by a discarded cigarette or shisha coals</x:v>
      </x:c>
      <x:c r="J374" s="21" t="str">
        <x:v>死亡人数：1。25 injuries, likely started by a discarded cigarette or shisha coals</x:v>
      </x:c>
      <x:c r="K374" s="21" t="str">
        <x:v>https://gulfnews.com/uae/sharjah-fire-probable-cause-found-150-buildings-to-have-cladding-changed-1.71423621</x:v>
      </x:c>
      <x:c r="L374" s="27"/>
      <x:c r="M374" s="27"/>
      <x:c r="N374" s="21" t="str">
        <x:v>未提供坐标</x:v>
      </x:c>
      <x:c r="O374" s="21" t="str">
        <x:v>高层建筑火灾</x:v>
      </x:c>
      <x:c r="P374" s="21" t="str">
        <x:v>未检索到</x:v>
      </x:c>
      <x:c r="Q374" s="21" t="str">
        <x:v>190 m</x:v>
      </x:c>
      <x:c r="R374" s="21" t="str">
        <x:v>未检索到</x:v>
      </x:c>
      <x:c r="S374" s="21" t="str">
        <x:v>未检索到</x:v>
      </x:c>
      <x:c r="T374" s="42" t="n">
        <x:v>1</x:v>
      </x:c>
      <x:c r="U374" s="42"/>
      <x:c r="V374" s="42"/>
      <x:c r="W374" s="33" t="str">
        <x:v>C</x:v>
      </x:c>
      <x:c r="X374" s="33" t="str">
        <x:v>compendium_needs_independent_verification</x:v>
      </x:c>
      <x:c r="Y374" s="33" t="str">
        <x:v>候选待核实</x:v>
      </x:c>
      <x:c r="Z374" s="21" t="str">
        <x:v>Wikipedia高层建筑专题表；需补充独立来源核验</x:v>
      </x:c>
      <x:c r="AA374" s="21" t="str">
        <x:v>List of fires in high-rise buildings</x:v>
      </x:c>
      <x:c r="AB374" s="21" t="str">
        <x:v>Wikipedia专题列表</x:v>
      </x:c>
      <x:c r="AC374" s="21" t="str"/>
      <x:c r="AD374" s="21" t="n">
        <x:v>1</x:v>
      </x:c>
      <x:c r="AE374" s="21" t="str">
        <x:v>未检查</x:v>
      </x:c>
      <x:c r="AF374" s="21" t="str"/>
      <x:c r="AG374" s="24" t="n">
        <x:v>46260</x:v>
      </x:c>
      <x:c r="AH374" s="21" t="str"/>
      <x:c r="AI374" s="21" t="n">
        <x:v>1</x:v>
      </x:c>
      <x:c r="AJ374" s="21" t="str">
        <x:v>未评估（本事件表不建立热浪因果关系）</x:v>
      </x:c>
      <x:c r="AK374" s="21" t="str">
        <x:v>已有来源描述</x:v>
      </x:c>
    </x:row>
    <x:row r="375" ht="42" customHeight="1">
      <x:c r="A375" s="33" t="n">
        <x:v>374</x:v>
      </x:c>
      <x:c r="B375" s="33" t="str">
        <x:v>RAW-0374</x:v>
      </x:c>
      <x:c r="C375" s="36" t="str">
        <x:v>欧洲</x:v>
      </x:c>
      <x:c r="D375" s="36" t="str">
        <x:v>Czech Republic</x:v>
      </x:c>
      <x:c r="E375" s="21" t="str">
        <x:v>Czech Republic</x:v>
      </x:c>
      <x:c r="F375" s="21" t="str">
        <x:v>Bohumín arson attack</x:v>
      </x:c>
      <x:c r="G375" s="39" t="n">
        <x:v>44051</x:v>
      </x:c>
      <x:c r="H375" s="21" t="str">
        <x:v>Tower block at 1158 Nerudova street高层建筑火灾；建筑高度记录为 42.9 m。死亡人数：11。Bohumín arson attack</x:v>
      </x:c>
      <x:c r="I375" s="21" t="str">
        <x:v>Bohumín arson attack</x:v>
      </x:c>
      <x:c r="J375" s="21" t="str">
        <x:v>死亡人数：11。Bohumín arson attack</x:v>
      </x:c>
      <x:c r="K375" s="21" t="str">
        <x:v>https://en.wikipedia.org/wiki/Bohumín_arson_attack</x:v>
      </x:c>
      <x:c r="L375" s="27"/>
      <x:c r="M375" s="27"/>
      <x:c r="N375" s="21" t="str">
        <x:v>未提供坐标</x:v>
      </x:c>
      <x:c r="O375" s="21" t="str">
        <x:v>高层建筑火灾</x:v>
      </x:c>
      <x:c r="P375" s="21" t="str">
        <x:v>未检索到</x:v>
      </x:c>
      <x:c r="Q375" s="21" t="str">
        <x:v>42.9 m</x:v>
      </x:c>
      <x:c r="R375" s="21" t="str">
        <x:v>未检索到</x:v>
      </x:c>
      <x:c r="S375" s="21" t="str">
        <x:v>未检索到</x:v>
      </x:c>
      <x:c r="T375" s="42" t="n">
        <x:v>11</x:v>
      </x:c>
      <x:c r="U375" s="42"/>
      <x:c r="V375" s="42"/>
      <x:c r="W375" s="33" t="str">
        <x:v>B</x:v>
      </x:c>
      <x:c r="X375" s="33" t="str">
        <x:v>compendium_needs_independent_verification</x:v>
      </x:c>
      <x:c r="Y375" s="33" t="str">
        <x:v>候选待核实</x:v>
      </x:c>
      <x:c r="Z375" s="21" t="str">
        <x:v>Wikipedia具名事件页+高层建筑专题表</x:v>
      </x:c>
      <x:c r="AA375" s="21" t="str">
        <x:v>List of fires in high-rise buildings</x:v>
      </x:c>
      <x:c r="AB375" s="21" t="str">
        <x:v>Wikipedia专题列表</x:v>
      </x:c>
      <x:c r="AC375" s="21" t="str"/>
      <x:c r="AD375" s="21" t="n">
        <x:v>1</x:v>
      </x:c>
      <x:c r="AE375" s="21" t="str">
        <x:v>未检查</x:v>
      </x:c>
      <x:c r="AF375" s="21" t="str"/>
      <x:c r="AG375" s="24" t="n">
        <x:v>46260</x:v>
      </x:c>
      <x:c r="AH375" s="21" t="str"/>
      <x:c r="AI375" s="21" t="n">
        <x:v>1</x:v>
      </x:c>
      <x:c r="AJ375" s="21" t="str">
        <x:v>未评估（本事件表不建立热浪因果关系）</x:v>
      </x:c>
      <x:c r="AK375" s="21" t="str">
        <x:v>已有来源描述</x:v>
      </x:c>
    </x:row>
    <x:row r="376" ht="42" customHeight="1">
      <x:c r="A376" s="33" t="n">
        <x:v>375</x:v>
      </x:c>
      <x:c r="B376" s="33" t="str">
        <x:v>RAW-0375</x:v>
      </x:c>
      <x:c r="C376" s="36" t="str">
        <x:v>亚洲</x:v>
      </x:c>
      <x:c r="D376" s="36" t="str">
        <x:v>South Korea</x:v>
      </x:c>
      <x:c r="E376" s="21" t="str">
        <x:v>South Korea</x:v>
      </x:c>
      <x:c r="F376" s="21" t="str">
        <x:v>Ulsan Samhwan Art Nouveau Fire</x:v>
      </x:c>
      <x:c r="G376" s="39" t="n">
        <x:v>44113</x:v>
      </x:c>
      <x:c r="H376" s="21" t="str">
        <x:v>Ulsan Samhwan Art Nouveau apartment building高层建筑火灾；建筑高度记录为 108.9 m。死亡人数：0。92 residents and 1 firefighter injured. Ulsan Samhwan Art Nouveau Fire [ko]</x:v>
      </x:c>
      <x:c r="I376" s="21" t="str">
        <x:v>未检索到/待核实</x:v>
      </x:c>
      <x:c r="J376" s="21" t="str">
        <x:v>死亡人数：0。92 residents and 1 firefighter injured. Ulsan Samhwan Art Nouveau Fire [ko]</x:v>
      </x:c>
      <x:c r="K376" s="21" t="str">
        <x:v>https://en.wikipedia.org/wiki/Ulsan_Samhwan_Art_Nouveau_Fire?action=edit&amp;redlink=1</x:v>
      </x:c>
      <x:c r="L376" s="27"/>
      <x:c r="M376" s="27"/>
      <x:c r="N376" s="21" t="str">
        <x:v>未提供坐标</x:v>
      </x:c>
      <x:c r="O376" s="21" t="str">
        <x:v>高层建筑火灾</x:v>
      </x:c>
      <x:c r="P376" s="21" t="str">
        <x:v>未检索到</x:v>
      </x:c>
      <x:c r="Q376" s="21" t="str">
        <x:v>108.9 m</x:v>
      </x:c>
      <x:c r="R376" s="21" t="str">
        <x:v>未检索到</x:v>
      </x:c>
      <x:c r="S376" s="21" t="str">
        <x:v>未检索到</x:v>
      </x:c>
      <x:c r="T376" s="42" t="n">
        <x:v>0</x:v>
      </x:c>
      <x:c r="U376" s="42"/>
      <x:c r="V376" s="42"/>
      <x:c r="W376" s="33" t="str">
        <x:v>B</x:v>
      </x:c>
      <x:c r="X376" s="33" t="str">
        <x:v>compendium_needs_independent_verification</x:v>
      </x:c>
      <x:c r="Y376" s="33" t="str">
        <x:v>候选待核实</x:v>
      </x:c>
      <x:c r="Z376" s="21" t="str">
        <x:v>Wikipedia具名事件页+高层建筑专题表</x:v>
      </x:c>
      <x:c r="AA376" s="21" t="str">
        <x:v>List of fires in high-rise buildings</x:v>
      </x:c>
      <x:c r="AB376" s="21" t="str">
        <x:v>Wikipedia专题列表</x:v>
      </x:c>
      <x:c r="AC376" s="21" t="str"/>
      <x:c r="AD376" s="21" t="n">
        <x:v>1</x:v>
      </x:c>
      <x:c r="AE376" s="21" t="str">
        <x:v>未检查</x:v>
      </x:c>
      <x:c r="AF376" s="21" t="str"/>
      <x:c r="AG376" s="24" t="n">
        <x:v>46260</x:v>
      </x:c>
      <x:c r="AH376" s="21" t="str"/>
      <x:c r="AI376" s="21" t="n">
        <x:v>1</x:v>
      </x:c>
      <x:c r="AJ376" s="21" t="str">
        <x:v>未评估（本事件表不建立热浪因果关系）</x:v>
      </x:c>
      <x:c r="AK376" s="21" t="str">
        <x:v>缺失/待核实</x:v>
      </x:c>
    </x:row>
    <x:row r="377" ht="42" customHeight="1">
      <x:c r="A377" s="33" t="n">
        <x:v>376</x:v>
      </x:c>
      <x:c r="B377" s="33" t="str">
        <x:v>RAW-0376</x:v>
      </x:c>
      <x:c r="C377" s="36" t="str">
        <x:v>欧洲</x:v>
      </x:c>
      <x:c r="D377" s="36" t="str">
        <x:v>France</x:v>
      </x:c>
      <x:c r="E377" s="21" t="str">
        <x:v>Paris</x:v>
      </x:c>
      <x:c r="F377" s="21" t="str">
        <x:v>Helsinki Tower, 50 rue du Disque fire</x:v>
      </x:c>
      <x:c r="G377" s="39" t="n">
        <x:v>44421</x:v>
      </x:c>
      <x:c r="H377" s="21" t="str">
        <x:v>Helsinki Tower, 50 rue du Disque高层建筑火灾；建筑高度记录为 ~100 m。死亡人数：1。18th of 33 flrs, apt possibly linked to Diogenes syndrome (hoarding), spread prevented via compartmentation, contained after 2 hrs, ~70 firefighters, 2 hoses, 1 killed (carbonized body), 4 injured (2 were firefighters with heatstroke).</x:v>
      </x:c>
      <x:c r="I377" s="21" t="str">
        <x:v>未检索到/待核实</x:v>
      </x:c>
      <x:c r="J377" s="21" t="str">
        <x:v>死亡人数：1。18th of 33 flrs, apt possibly linked to Diogenes syndrome (hoarding), spread prevented via compartmentation, contained after 2 hrs, ~70 firefighters, 2 hoses, 1 killed (carbonized body), 4 injured (2 were firefighters with heatstroke).</x:v>
      </x:c>
      <x:c r="K377" s="21" t="str">
        <x:v>https://www.bfmtv.com/paris/paris-un-mort-et-quatre-blesses-dans-un-incendie-quartier-olympiades_AN-202108130293.html</x:v>
      </x:c>
      <x:c r="L377" s="27"/>
      <x:c r="M377" s="27"/>
      <x:c r="N377" s="21" t="str">
        <x:v>未提供坐标</x:v>
      </x:c>
      <x:c r="O377" s="21" t="str">
        <x:v>高层建筑火灾</x:v>
      </x:c>
      <x:c r="P377" s="21" t="str">
        <x:v>未检索到</x:v>
      </x:c>
      <x:c r="Q377" s="21" t="str">
        <x:v>~100 m</x:v>
      </x:c>
      <x:c r="R377" s="21" t="str">
        <x:v>未检索到</x:v>
      </x:c>
      <x:c r="S377" s="21" t="str">
        <x:v>未检索到</x:v>
      </x:c>
      <x:c r="T377" s="42" t="n">
        <x:v>1</x:v>
      </x:c>
      <x:c r="U377" s="42"/>
      <x:c r="V377" s="42"/>
      <x:c r="W377" s="33" t="str">
        <x:v>C</x:v>
      </x:c>
      <x:c r="X377" s="33" t="str">
        <x:v>compendium_needs_independent_verification</x:v>
      </x:c>
      <x:c r="Y377" s="33" t="str">
        <x:v>候选待核实</x:v>
      </x:c>
      <x:c r="Z377" s="21" t="str">
        <x:v>Wikipedia高层建筑专题表；需补充独立来源核验</x:v>
      </x:c>
      <x:c r="AA377" s="21" t="str">
        <x:v>List of fires in high-rise buildings</x:v>
      </x:c>
      <x:c r="AB377" s="21" t="str">
        <x:v>Wikipedia专题列表</x:v>
      </x:c>
      <x:c r="AC377" s="21" t="str"/>
      <x:c r="AD377" s="21" t="n">
        <x:v>1</x:v>
      </x:c>
      <x:c r="AE377" s="21" t="str">
        <x:v>未检查</x:v>
      </x:c>
      <x:c r="AF377" s="21" t="str"/>
      <x:c r="AG377" s="24" t="n">
        <x:v>46260</x:v>
      </x:c>
      <x:c r="AH377" s="21" t="str"/>
      <x:c r="AI377" s="21" t="n">
        <x:v>1</x:v>
      </x:c>
      <x:c r="AJ377" s="21" t="str">
        <x:v>未评估（本事件表不建立热浪因果关系）</x:v>
      </x:c>
      <x:c r="AK377" s="21" t="str">
        <x:v>缺失/待核实</x:v>
      </x:c>
    </x:row>
    <x:row r="378" ht="42" customHeight="1">
      <x:c r="A378" s="33" t="n">
        <x:v>377</x:v>
      </x:c>
      <x:c r="B378" s="33" t="str">
        <x:v>RAW-0377</x:v>
      </x:c>
      <x:c r="C378" s="36" t="str">
        <x:v>欧洲</x:v>
      </x:c>
      <x:c r="D378" s="36" t="str">
        <x:v>Italy</x:v>
      </x:c>
      <x:c r="E378" s="21" t="str">
        <x:v>Milan</x:v>
      </x:c>
      <x:c r="F378" s="21" t="str">
        <x:v>Torre dei Moro fire</x:v>
      </x:c>
      <x:c r="G378" s="39" t="n">
        <x:v>44437</x:v>
      </x:c>
      <x:c r="H378" s="21" t="str">
        <x:v>Torre dei Moro高层建筑火灾；建筑高度记录为 60 m。死亡人数：0。Fire event similar to the Grenfell Tower disaster</x:v>
      </x:c>
      <x:c r="I378" s="21" t="str">
        <x:v>未检索到/待核实</x:v>
      </x:c>
      <x:c r="J378" s="21" t="str">
        <x:v>死亡人数：0。Fire event similar to the Grenfell Tower disaster</x:v>
      </x:c>
      <x:c r="K378" s="21" t="str">
        <x:v>https://www.euronews.com/2021/08/30/no-victims-in-milan-towerblock-fire-reminiscent-of-grenfell-disaster</x:v>
      </x:c>
      <x:c r="L378" s="27"/>
      <x:c r="M378" s="27"/>
      <x:c r="N378" s="21" t="str">
        <x:v>未提供坐标</x:v>
      </x:c>
      <x:c r="O378" s="21" t="str">
        <x:v>高层建筑火灾</x:v>
      </x:c>
      <x:c r="P378" s="21" t="str">
        <x:v>未检索到</x:v>
      </x:c>
      <x:c r="Q378" s="21" t="str">
        <x:v>60 m</x:v>
      </x:c>
      <x:c r="R378" s="21" t="str">
        <x:v>未检索到</x:v>
      </x:c>
      <x:c r="S378" s="21" t="str">
        <x:v>未检索到</x:v>
      </x:c>
      <x:c r="T378" s="42" t="n">
        <x:v>0</x:v>
      </x:c>
      <x:c r="U378" s="42"/>
      <x:c r="V378" s="42"/>
      <x:c r="W378" s="33" t="str">
        <x:v>C</x:v>
      </x:c>
      <x:c r="X378" s="33" t="str">
        <x:v>compendium_needs_independent_verification</x:v>
      </x:c>
      <x:c r="Y378" s="33" t="str">
        <x:v>候选待核实</x:v>
      </x:c>
      <x:c r="Z378" s="21" t="str">
        <x:v>Wikipedia高层建筑专题表；需补充独立来源核验</x:v>
      </x:c>
      <x:c r="AA378" s="21" t="str">
        <x:v>List of fires in high-rise buildings</x:v>
      </x:c>
      <x:c r="AB378" s="21" t="str">
        <x:v>Wikipedia专题列表</x:v>
      </x:c>
      <x:c r="AC378" s="21" t="str"/>
      <x:c r="AD378" s="21" t="n">
        <x:v>1</x:v>
      </x:c>
      <x:c r="AE378" s="21" t="str">
        <x:v>未检查</x:v>
      </x:c>
      <x:c r="AF378" s="21" t="str"/>
      <x:c r="AG378" s="24" t="n">
        <x:v>46260</x:v>
      </x:c>
      <x:c r="AH378" s="21" t="str"/>
      <x:c r="AI378" s="21" t="n">
        <x:v>1</x:v>
      </x:c>
      <x:c r="AJ378" s="21" t="str">
        <x:v>未评估（本事件表不建立热浪因果关系）</x:v>
      </x:c>
      <x:c r="AK378" s="21" t="str">
        <x:v>缺失/待核实</x:v>
      </x:c>
    </x:row>
    <x:row r="379" ht="42" customHeight="1">
      <x:c r="A379" s="33" t="n">
        <x:v>378</x:v>
      </x:c>
      <x:c r="B379" s="33" t="str">
        <x:v>RAW-0378</x:v>
      </x:c>
      <x:c r="C379" s="36" t="str">
        <x:v>亚洲</x:v>
      </x:c>
      <x:c r="D379" s="36" t="str">
        <x:v>Taiwan</x:v>
      </x:c>
      <x:c r="E379" s="21" t="str">
        <x:v>Kaohsiung</x:v>
      </x:c>
      <x:c r="F379" s="21" t="str">
        <x:v>2021 Kaohsiung tower fire</x:v>
      </x:c>
      <x:c r="G379" s="39" t="n">
        <x:v>44483</x:v>
      </x:c>
      <x:c r="H379" s="21" t="str">
        <x:v>Cheng Chung Cheng Building高层建筑火灾；建筑高度记录为 未列明。死亡人数：46。2021 Kaohsiung tower fire</x:v>
      </x:c>
      <x:c r="I379" s="21" t="str">
        <x:v>未检索到/待核实</x:v>
      </x:c>
      <x:c r="J379" s="21" t="str">
        <x:v>死亡人数：46。2021 Kaohsiung tower fire</x:v>
      </x:c>
      <x:c r="K379" s="21" t="str">
        <x:v>https://en.wikipedia.org/wiki/2021_Kaohsiung_tower_fire</x:v>
      </x:c>
      <x:c r="L379" s="27"/>
      <x:c r="M379" s="27"/>
      <x:c r="N379" s="21" t="str">
        <x:v>未提供坐标</x:v>
      </x:c>
      <x:c r="O379" s="21" t="str">
        <x:v>高层建筑火灾</x:v>
      </x:c>
      <x:c r="P379" s="21" t="str">
        <x:v>未检索到</x:v>
      </x:c>
      <x:c r="Q379" s="21" t="str">
        <x:v>未检索到</x:v>
      </x:c>
      <x:c r="R379" s="21" t="str">
        <x:v>未检索到</x:v>
      </x:c>
      <x:c r="S379" s="21" t="str">
        <x:v>未检索到</x:v>
      </x:c>
      <x:c r="T379" s="42" t="n">
        <x:v>46</x:v>
      </x:c>
      <x:c r="U379" s="42"/>
      <x:c r="V379" s="42"/>
      <x:c r="W379" s="33" t="str">
        <x:v>B</x:v>
      </x:c>
      <x:c r="X379" s="33" t="str">
        <x:v>compendium_needs_independent_verification</x:v>
      </x:c>
      <x:c r="Y379" s="33" t="str">
        <x:v>候选待核实</x:v>
      </x:c>
      <x:c r="Z379" s="21" t="str">
        <x:v>Wikipedia具名事件页+高层建筑专题表</x:v>
      </x:c>
      <x:c r="AA379" s="21" t="str">
        <x:v>List of fires in high-rise buildings</x:v>
      </x:c>
      <x:c r="AB379" s="21" t="str">
        <x:v>Wikipedia专题列表</x:v>
      </x:c>
      <x:c r="AC379" s="21" t="str"/>
      <x:c r="AD379" s="21" t="n">
        <x:v>1</x:v>
      </x:c>
      <x:c r="AE379" s="21" t="str">
        <x:v>未检查</x:v>
      </x:c>
      <x:c r="AF379" s="21" t="str"/>
      <x:c r="AG379" s="24" t="n">
        <x:v>46260</x:v>
      </x:c>
      <x:c r="AH379" s="21" t="str"/>
      <x:c r="AI379" s="21" t="n">
        <x:v>1</x:v>
      </x:c>
      <x:c r="AJ379" s="21" t="str">
        <x:v>未评估（本事件表不建立热浪因果关系）</x:v>
      </x:c>
      <x:c r="AK379" s="21" t="str">
        <x:v>缺失/待核实</x:v>
      </x:c>
    </x:row>
    <x:row r="380" ht="42" customHeight="1">
      <x:c r="A380" s="33" t="n">
        <x:v>379</x:v>
      </x:c>
      <x:c r="B380" s="33" t="str">
        <x:v>RAW-0379</x:v>
      </x:c>
      <x:c r="C380" s="36" t="str">
        <x:v>亚洲</x:v>
      </x:c>
      <x:c r="D380" s="36" t="str">
        <x:v>Hong Kong</x:v>
      </x:c>
      <x:c r="E380" s="21" t="str">
        <x:v>Hong Kong</x:v>
      </x:c>
      <x:c r="F380" s="21" t="str">
        <x:v>World Trade Centre Hong Kong fire</x:v>
      </x:c>
      <x:c r="G380" s="39" t="n">
        <x:v>44545</x:v>
      </x:c>
      <x:c r="H380" s="21" t="str">
        <x:v>World Trade Centre Hong Kong高层建筑火灾；建筑高度记录为 未列明。死亡人数：0。13 injured, over 300 trapped on roof</x:v>
      </x:c>
      <x:c r="I380" s="21" t="str">
        <x:v>未检索到/待核实</x:v>
      </x:c>
      <x:c r="J380" s="21" t="str">
        <x:v>死亡人数：0。13 injured, over 300 trapped on roof</x:v>
      </x:c>
      <x:c r="K380" s="21" t="str">
        <x:v>https://www.bbc.co.uk/news/world-asia-china-59663826</x:v>
      </x:c>
      <x:c r="L380" s="27"/>
      <x:c r="M380" s="27"/>
      <x:c r="N380" s="21" t="str">
        <x:v>未提供坐标</x:v>
      </x:c>
      <x:c r="O380" s="21" t="str">
        <x:v>高层建筑火灾</x:v>
      </x:c>
      <x:c r="P380" s="21" t="str">
        <x:v>未检索到</x:v>
      </x:c>
      <x:c r="Q380" s="21" t="str">
        <x:v>未检索到</x:v>
      </x:c>
      <x:c r="R380" s="21" t="str">
        <x:v>未检索到</x:v>
      </x:c>
      <x:c r="S380" s="21" t="str">
        <x:v>未检索到</x:v>
      </x:c>
      <x:c r="T380" s="42" t="n">
        <x:v>0</x:v>
      </x:c>
      <x:c r="U380" s="42"/>
      <x:c r="V380" s="42"/>
      <x:c r="W380" s="33" t="str">
        <x:v>C</x:v>
      </x:c>
      <x:c r="X380" s="33" t="str">
        <x:v>compendium_needs_independent_verification</x:v>
      </x:c>
      <x:c r="Y380" s="33" t="str">
        <x:v>候选待核实</x:v>
      </x:c>
      <x:c r="Z380" s="21" t="str">
        <x:v>Wikipedia高层建筑专题表；需补充独立来源核验</x:v>
      </x:c>
      <x:c r="AA380" s="21" t="str">
        <x:v>List of fires in high-rise buildings</x:v>
      </x:c>
      <x:c r="AB380" s="21" t="str">
        <x:v>Wikipedia专题列表</x:v>
      </x:c>
      <x:c r="AC380" s="21" t="str"/>
      <x:c r="AD380" s="21" t="n">
        <x:v>1</x:v>
      </x:c>
      <x:c r="AE380" s="21" t="str">
        <x:v>未检查</x:v>
      </x:c>
      <x:c r="AF380" s="21" t="str"/>
      <x:c r="AG380" s="24" t="n">
        <x:v>46260</x:v>
      </x:c>
      <x:c r="AH380" s="21" t="str"/>
      <x:c r="AI380" s="21" t="n">
        <x:v>1</x:v>
      </x:c>
      <x:c r="AJ380" s="21" t="str">
        <x:v>未评估（本事件表不建立热浪因果关系）</x:v>
      </x:c>
      <x:c r="AK380" s="21" t="str">
        <x:v>缺失/待核实</x:v>
      </x:c>
    </x:row>
    <x:row r="381" ht="42" customHeight="1">
      <x:c r="A381" s="33" t="n">
        <x:v>380</x:v>
      </x:c>
      <x:c r="B381" s="33" t="str">
        <x:v>RAW-0380</x:v>
      </x:c>
      <x:c r="C381" s="36" t="str">
        <x:v>北美洲</x:v>
      </x:c>
      <x:c r="D381" s="36" t="str">
        <x:v>United States</x:v>
      </x:c>
      <x:c r="E381" s="21" t="str">
        <x:v>New York City</x:v>
      </x:c>
      <x:c r="F381" s="21" t="str">
        <x:v>2022 Bronx apartment fire</x:v>
      </x:c>
      <x:c r="G381" s="39" t="n">
        <x:v>44570</x:v>
      </x:c>
      <x:c r="H381" s="21" t="str">
        <x:v>Twin Parks North West, Site 4高层建筑火灾；建筑高度记录为 未列明。死亡人数：17。2022 Bronx apartment fire</x:v>
      </x:c>
      <x:c r="I381" s="21" t="str">
        <x:v>未检索到/待核实</x:v>
      </x:c>
      <x:c r="J381" s="21" t="str">
        <x:v>死亡人数：17。2022 Bronx apartment fire</x:v>
      </x:c>
      <x:c r="K381" s="21" t="str">
        <x:v>https://en.wikipedia.org/wiki/2022_Bronx_apartment_fire</x:v>
      </x:c>
      <x:c r="L381" s="27"/>
      <x:c r="M381" s="27"/>
      <x:c r="N381" s="21" t="str">
        <x:v>未提供坐标</x:v>
      </x:c>
      <x:c r="O381" s="21" t="str">
        <x:v>高层建筑火灾</x:v>
      </x:c>
      <x:c r="P381" s="21" t="str">
        <x:v>未检索到</x:v>
      </x:c>
      <x:c r="Q381" s="21" t="str">
        <x:v>未检索到</x:v>
      </x:c>
      <x:c r="R381" s="21" t="str">
        <x:v>未检索到</x:v>
      </x:c>
      <x:c r="S381" s="21" t="str">
        <x:v>未检索到</x:v>
      </x:c>
      <x:c r="T381" s="42" t="n">
        <x:v>17</x:v>
      </x:c>
      <x:c r="U381" s="42"/>
      <x:c r="V381" s="42"/>
      <x:c r="W381" s="33" t="str">
        <x:v>B</x:v>
      </x:c>
      <x:c r="X381" s="33" t="str">
        <x:v>compendium_needs_independent_verification</x:v>
      </x:c>
      <x:c r="Y381" s="33" t="str">
        <x:v>候选待核实</x:v>
      </x:c>
      <x:c r="Z381" s="21" t="str">
        <x:v>Wikipedia具名事件页+高层建筑专题表</x:v>
      </x:c>
      <x:c r="AA381" s="21" t="str">
        <x:v>List of fires in high-rise buildings</x:v>
      </x:c>
      <x:c r="AB381" s="21" t="str">
        <x:v>Wikipedia专题列表</x:v>
      </x:c>
      <x:c r="AC381" s="21" t="str"/>
      <x:c r="AD381" s="21" t="n">
        <x:v>1</x:v>
      </x:c>
      <x:c r="AE381" s="21" t="str">
        <x:v>未检查</x:v>
      </x:c>
      <x:c r="AF381" s="21" t="str"/>
      <x:c r="AG381" s="24" t="n">
        <x:v>46260</x:v>
      </x:c>
      <x:c r="AH381" s="21" t="str"/>
      <x:c r="AI381" s="21" t="n">
        <x:v>1</x:v>
      </x:c>
      <x:c r="AJ381" s="21" t="str">
        <x:v>未评估（本事件表不建立热浪因果关系）</x:v>
      </x:c>
      <x:c r="AK381" s="21" t="str">
        <x:v>缺失/待核实</x:v>
      </x:c>
    </x:row>
    <x:row r="382" ht="42" customHeight="1">
      <x:c r="A382" s="33" t="n">
        <x:v>381</x:v>
      </x:c>
      <x:c r="B382" s="33" t="str">
        <x:v>RAW-0381</x:v>
      </x:c>
      <x:c r="C382" s="36" t="str">
        <x:v>亚洲</x:v>
      </x:c>
      <x:c r="D382" s="36" t="str">
        <x:v>China</x:v>
      </x:c>
      <x:c r="E382" s="21" t="str">
        <x:v>Changsha, Hunan</x:v>
      </x:c>
      <x:c r="F382" s="21" t="str">
        <x:v>Lotus Garden China Telecom Building fire</x:v>
      </x:c>
      <x:c r="G382" s="39" t="n">
        <x:v>44820</x:v>
      </x:c>
      <x:c r="H382" s="21" t="str">
        <x:v>Lotus Garden China Telecom Building高层建筑火灾；建筑高度记录为 218 m。死亡人数：0。(fire extinguished. Under investigation.)</x:v>
      </x:c>
      <x:c r="I382" s="21" t="str">
        <x:v>未检索到/待核实</x:v>
      </x:c>
      <x:c r="J382" s="21" t="str">
        <x:v>死亡人数：0。(fire extinguished. Under investigation.)</x:v>
      </x:c>
      <x:c r="K382" s="21" t="str">
        <x:v>https://en.wikipedia.org/wiki/List_of_fires_in_high-rise_buildings</x:v>
      </x:c>
      <x:c r="L382" s="27"/>
      <x:c r="M382" s="27"/>
      <x:c r="N382" s="21" t="str">
        <x:v>未提供坐标</x:v>
      </x:c>
      <x:c r="O382" s="21" t="str">
        <x:v>高层建筑火灾</x:v>
      </x:c>
      <x:c r="P382" s="21" t="str">
        <x:v>未检索到</x:v>
      </x:c>
      <x:c r="Q382" s="21" t="str">
        <x:v>218 m</x:v>
      </x:c>
      <x:c r="R382" s="21" t="str">
        <x:v>未检索到</x:v>
      </x:c>
      <x:c r="S382" s="21" t="str">
        <x:v>未检索到</x:v>
      </x:c>
      <x:c r="T382" s="42" t="n">
        <x:v>0</x:v>
      </x:c>
      <x:c r="U382" s="42"/>
      <x:c r="V382" s="42"/>
      <x:c r="W382" s="33" t="str">
        <x:v>C</x:v>
      </x:c>
      <x:c r="X382" s="33" t="str">
        <x:v>compendium_needs_independent_verification</x:v>
      </x:c>
      <x:c r="Y382" s="33" t="str">
        <x:v>候选待核实</x:v>
      </x:c>
      <x:c r="Z382" s="21" t="str">
        <x:v>Wikipedia高层建筑专题表；需补充独立来源核验</x:v>
      </x:c>
      <x:c r="AA382" s="21" t="str">
        <x:v>List of fires in high-rise buildings</x:v>
      </x:c>
      <x:c r="AB382" s="21" t="str">
        <x:v>Wikipedia专题列表</x:v>
      </x:c>
      <x:c r="AC382" s="21" t="str"/>
      <x:c r="AD382" s="21" t="n">
        <x:v>1</x:v>
      </x:c>
      <x:c r="AE382" s="21" t="str">
        <x:v>未检查</x:v>
      </x:c>
      <x:c r="AF382" s="21" t="str"/>
      <x:c r="AG382" s="24" t="n">
        <x:v>46260</x:v>
      </x:c>
      <x:c r="AH382" s="21" t="str"/>
      <x:c r="AI382" s="21" t="n">
        <x:v>1</x:v>
      </x:c>
      <x:c r="AJ382" s="21" t="str">
        <x:v>未评估（本事件表不建立热浪因果关系）</x:v>
      </x:c>
      <x:c r="AK382" s="21" t="str">
        <x:v>缺失/待核实</x:v>
      </x:c>
    </x:row>
    <x:row r="383" ht="42" customHeight="1">
      <x:c r="A383" s="33" t="n">
        <x:v>382</x:v>
      </x:c>
      <x:c r="B383" s="33" t="str">
        <x:v>RAW-0382</x:v>
      </x:c>
      <x:c r="C383" s="36" t="str">
        <x:v>亚洲</x:v>
      </x:c>
      <x:c r="D383" s="36" t="str">
        <x:v>Pakistan</x:v>
      </x:c>
      <x:c r="E383" s="21" t="str">
        <x:v>Islamabad</x:v>
      </x:c>
      <x:c r="F383" s="21" t="str">
        <x:v>2022 The Centaurus Mall Fire Incident</x:v>
      </x:c>
      <x:c r="G383" s="39" t="n">
        <x:v>44843</x:v>
      </x:c>
      <x:c r="H383" s="21" t="str">
        <x:v>The Centaurus高层建筑火灾；建筑高度记录为 110 m。死亡人数：0。2022 The Centaurus Mall Fire Incident</x:v>
      </x:c>
      <x:c r="I383" s="21" t="str">
        <x:v>未检索到/待核实</x:v>
      </x:c>
      <x:c r="J383" s="21" t="str">
        <x:v>死亡人数：0。2022 The Centaurus Mall Fire Incident</x:v>
      </x:c>
      <x:c r="K383" s="21" t="str">
        <x:v>https://en.wikipedia.org/wiki/2022_The_Centaurus_Mall_Fire_Incident</x:v>
      </x:c>
      <x:c r="L383" s="27"/>
      <x:c r="M383" s="27"/>
      <x:c r="N383" s="21" t="str">
        <x:v>未提供坐标</x:v>
      </x:c>
      <x:c r="O383" s="21" t="str">
        <x:v>高层建筑火灾</x:v>
      </x:c>
      <x:c r="P383" s="21" t="str">
        <x:v>未检索到</x:v>
      </x:c>
      <x:c r="Q383" s="21" t="str">
        <x:v>110 m</x:v>
      </x:c>
      <x:c r="R383" s="21" t="str">
        <x:v>未检索到</x:v>
      </x:c>
      <x:c r="S383" s="21" t="str">
        <x:v>未检索到</x:v>
      </x:c>
      <x:c r="T383" s="42" t="n">
        <x:v>0</x:v>
      </x:c>
      <x:c r="U383" s="42"/>
      <x:c r="V383" s="42"/>
      <x:c r="W383" s="33" t="str">
        <x:v>B</x:v>
      </x:c>
      <x:c r="X383" s="33" t="str">
        <x:v>compendium_needs_independent_verification</x:v>
      </x:c>
      <x:c r="Y383" s="33" t="str">
        <x:v>候选待核实</x:v>
      </x:c>
      <x:c r="Z383" s="21" t="str">
        <x:v>Wikipedia具名事件页+高层建筑专题表</x:v>
      </x:c>
      <x:c r="AA383" s="21" t="str">
        <x:v>List of fires in high-rise buildings</x:v>
      </x:c>
      <x:c r="AB383" s="21" t="str">
        <x:v>Wikipedia专题列表</x:v>
      </x:c>
      <x:c r="AC383" s="21" t="str"/>
      <x:c r="AD383" s="21" t="n">
        <x:v>1</x:v>
      </x:c>
      <x:c r="AE383" s="21" t="str">
        <x:v>未检查</x:v>
      </x:c>
      <x:c r="AF383" s="21" t="str"/>
      <x:c r="AG383" s="24" t="n">
        <x:v>46260</x:v>
      </x:c>
      <x:c r="AH383" s="21" t="str"/>
      <x:c r="AI383" s="21" t="n">
        <x:v>1</x:v>
      </x:c>
      <x:c r="AJ383" s="21" t="str">
        <x:v>未评估（本事件表不建立热浪因果关系）</x:v>
      </x:c>
      <x:c r="AK383" s="21" t="str">
        <x:v>缺失/待核实</x:v>
      </x:c>
    </x:row>
    <x:row r="384" ht="42" customHeight="1">
      <x:c r="A384" s="33" t="n">
        <x:v>383</x:v>
      </x:c>
      <x:c r="B384" s="33" t="str">
        <x:v>RAW-0383</x:v>
      </x:c>
      <x:c r="C384" s="36" t="str">
        <x:v>亚洲</x:v>
      </x:c>
      <x:c r="D384" s="36" t="str">
        <x:v>Turkey</x:v>
      </x:c>
      <x:c r="E384" s="21" t="str">
        <x:v>İstanbul</x:v>
      </x:c>
      <x:c r="F384" s="21" t="str">
        <x:v>Elite Concept fire</x:v>
      </x:c>
      <x:c r="G384" s="39" t="n">
        <x:v>44849</x:v>
      </x:c>
      <x:c r="H384" s="21" t="str">
        <x:v>Elite Concept高层建筑火灾；建筑高度记录为 80 m。死亡人数：0。Originated from external cladding.</x:v>
      </x:c>
      <x:c r="I384" s="21" t="str">
        <x:v>Originated from external cladding.</x:v>
      </x:c>
      <x:c r="J384" s="21" t="str">
        <x:v>死亡人数：0。Originated from external cladding.</x:v>
      </x:c>
      <x:c r="K384" s="21" t="str">
        <x:v>https://en.wikipedia.org/wiki/List_of_fires_in_high-rise_buildings</x:v>
      </x:c>
      <x:c r="L384" s="27"/>
      <x:c r="M384" s="27"/>
      <x:c r="N384" s="21" t="str">
        <x:v>未提供坐标</x:v>
      </x:c>
      <x:c r="O384" s="21" t="str">
        <x:v>高层建筑火灾</x:v>
      </x:c>
      <x:c r="P384" s="21" t="str">
        <x:v>未检索到</x:v>
      </x:c>
      <x:c r="Q384" s="21" t="str">
        <x:v>80 m</x:v>
      </x:c>
      <x:c r="R384" s="21" t="str">
        <x:v>未检索到</x:v>
      </x:c>
      <x:c r="S384" s="21" t="str">
        <x:v>未检索到</x:v>
      </x:c>
      <x:c r="T384" s="42" t="n">
        <x:v>0</x:v>
      </x:c>
      <x:c r="U384" s="42"/>
      <x:c r="V384" s="42"/>
      <x:c r="W384" s="33" t="str">
        <x:v>C</x:v>
      </x:c>
      <x:c r="X384" s="33" t="str">
        <x:v>compendium_needs_independent_verification</x:v>
      </x:c>
      <x:c r="Y384" s="33" t="str">
        <x:v>候选待核实</x:v>
      </x:c>
      <x:c r="Z384" s="21" t="str">
        <x:v>Wikipedia高层建筑专题表；需补充独立来源核验</x:v>
      </x:c>
      <x:c r="AA384" s="21" t="str">
        <x:v>List of fires in high-rise buildings</x:v>
      </x:c>
      <x:c r="AB384" s="21" t="str">
        <x:v>Wikipedia专题列表</x:v>
      </x:c>
      <x:c r="AC384" s="21" t="str"/>
      <x:c r="AD384" s="21" t="n">
        <x:v>1</x:v>
      </x:c>
      <x:c r="AE384" s="21" t="str">
        <x:v>未检查</x:v>
      </x:c>
      <x:c r="AF384" s="21" t="str"/>
      <x:c r="AG384" s="24" t="n">
        <x:v>46260</x:v>
      </x:c>
      <x:c r="AH384" s="21" t="str"/>
      <x:c r="AI384" s="21" t="n">
        <x:v>1</x:v>
      </x:c>
      <x:c r="AJ384" s="21" t="str">
        <x:v>未评估（本事件表不建立热浪因果关系）</x:v>
      </x:c>
      <x:c r="AK384" s="21" t="str">
        <x:v>已有来源描述</x:v>
      </x:c>
    </x:row>
    <x:row r="385" ht="42" customHeight="1">
      <x:c r="A385" s="33" t="n">
        <x:v>384</x:v>
      </x:c>
      <x:c r="B385" s="33" t="str">
        <x:v>RAW-0384</x:v>
      </x:c>
      <x:c r="C385" s="36" t="str">
        <x:v>北美洲</x:v>
      </x:c>
      <x:c r="D385" s="36" t="str">
        <x:v>United States</x:v>
      </x:c>
      <x:c r="E385" s="21" t="str">
        <x:v>New York City</x:v>
      </x:c>
      <x:c r="F385" s="21" t="str">
        <x:v>RiverCourt fire</x:v>
      </x:c>
      <x:c r="G385" s="39" t="n">
        <x:v>44870</x:v>
      </x:c>
      <x:c r="H385" s="21" t="str">
        <x:v>RiverCourt高层建筑火灾；建筑高度记录为 108.1 m。死亡人数：0。</x:v>
      </x:c>
      <x:c r="I385" s="21" t="str">
        <x:v>未检索到/待核实</x:v>
      </x:c>
      <x:c r="J385" s="21" t="str">
        <x:v>死亡人数：0。</x:v>
      </x:c>
      <x:c r="K385" s="21" t="str">
        <x:v>https://en.wikipedia.org/wiki/List_of_fires_in_high-rise_buildings</x:v>
      </x:c>
      <x:c r="L385" s="27"/>
      <x:c r="M385" s="27"/>
      <x:c r="N385" s="21" t="str">
        <x:v>未提供坐标</x:v>
      </x:c>
      <x:c r="O385" s="21" t="str">
        <x:v>高层建筑火灾</x:v>
      </x:c>
      <x:c r="P385" s="21" t="str">
        <x:v>未检索到</x:v>
      </x:c>
      <x:c r="Q385" s="21" t="str">
        <x:v>108.1 m</x:v>
      </x:c>
      <x:c r="R385" s="21" t="str">
        <x:v>未检索到</x:v>
      </x:c>
      <x:c r="S385" s="21" t="str">
        <x:v>未检索到</x:v>
      </x:c>
      <x:c r="T385" s="42" t="n">
        <x:v>0</x:v>
      </x:c>
      <x:c r="U385" s="42"/>
      <x:c r="V385" s="42"/>
      <x:c r="W385" s="33" t="str">
        <x:v>C</x:v>
      </x:c>
      <x:c r="X385" s="33" t="str">
        <x:v>compendium_needs_independent_verification</x:v>
      </x:c>
      <x:c r="Y385" s="33" t="str">
        <x:v>候选待核实</x:v>
      </x:c>
      <x:c r="Z385" s="21" t="str">
        <x:v>Wikipedia高层建筑专题表；需补充独立来源核验</x:v>
      </x:c>
      <x:c r="AA385" s="21" t="str">
        <x:v>List of fires in high-rise buildings</x:v>
      </x:c>
      <x:c r="AB385" s="21" t="str">
        <x:v>Wikipedia专题列表</x:v>
      </x:c>
      <x:c r="AC385" s="21" t="str"/>
      <x:c r="AD385" s="21" t="n">
        <x:v>1</x:v>
      </x:c>
      <x:c r="AE385" s="21" t="str">
        <x:v>未检查</x:v>
      </x:c>
      <x:c r="AF385" s="21" t="str"/>
      <x:c r="AG385" s="24" t="n">
        <x:v>46260</x:v>
      </x:c>
      <x:c r="AH385" s="21" t="str"/>
      <x:c r="AI385" s="21" t="n">
        <x:v>1</x:v>
      </x:c>
      <x:c r="AJ385" s="21" t="str">
        <x:v>未评估（本事件表不建立热浪因果关系）</x:v>
      </x:c>
      <x:c r="AK385" s="21" t="str">
        <x:v>缺失/待核实</x:v>
      </x:c>
    </x:row>
    <x:row r="386" ht="42" customHeight="1">
      <x:c r="A386" s="33" t="n">
        <x:v>385</x:v>
      </x:c>
      <x:c r="B386" s="33" t="str">
        <x:v>RAW-0385</x:v>
      </x:c>
      <x:c r="C386" s="36" t="str">
        <x:v>亚洲</x:v>
      </x:c>
      <x:c r="D386" s="36" t="str">
        <x:v>United Arab Emirates</x:v>
      </x:c>
      <x:c r="E386" s="21" t="str">
        <x:v>Dubai</x:v>
      </x:c>
      <x:c r="F386" s="21" t="str">
        <x:v>8 Boulevard Walk fire</x:v>
      </x:c>
      <x:c r="G386" s="39" t="n">
        <x:v>44872</x:v>
      </x:c>
      <x:c r="H386" s="21" t="str">
        <x:v>8 Boulevard Walk高层建筑火灾；建筑高度记录为 123 m。死亡人数：0。</x:v>
      </x:c>
      <x:c r="I386" s="21" t="str">
        <x:v>未检索到/待核实</x:v>
      </x:c>
      <x:c r="J386" s="21" t="str">
        <x:v>死亡人数：0。</x:v>
      </x:c>
      <x:c r="K386" s="21" t="str">
        <x:v>https://en.wikipedia.org/wiki/List_of_fires_in_high-rise_buildings</x:v>
      </x:c>
      <x:c r="L386" s="27"/>
      <x:c r="M386" s="27"/>
      <x:c r="N386" s="21" t="str">
        <x:v>未提供坐标</x:v>
      </x:c>
      <x:c r="O386" s="21" t="str">
        <x:v>高层建筑火灾</x:v>
      </x:c>
      <x:c r="P386" s="21" t="str">
        <x:v>未检索到</x:v>
      </x:c>
      <x:c r="Q386" s="21" t="str">
        <x:v>123 m</x:v>
      </x:c>
      <x:c r="R386" s="21" t="str">
        <x:v>未检索到</x:v>
      </x:c>
      <x:c r="S386" s="21" t="str">
        <x:v>未检索到</x:v>
      </x:c>
      <x:c r="T386" s="42" t="n">
        <x:v>0</x:v>
      </x:c>
      <x:c r="U386" s="42"/>
      <x:c r="V386" s="42"/>
      <x:c r="W386" s="33" t="str">
        <x:v>C</x:v>
      </x:c>
      <x:c r="X386" s="33" t="str">
        <x:v>compendium_needs_independent_verification</x:v>
      </x:c>
      <x:c r="Y386" s="33" t="str">
        <x:v>候选待核实</x:v>
      </x:c>
      <x:c r="Z386" s="21" t="str">
        <x:v>Wikipedia高层建筑专题表；需补充独立来源核验</x:v>
      </x:c>
      <x:c r="AA386" s="21" t="str">
        <x:v>List of fires in high-rise buildings</x:v>
      </x:c>
      <x:c r="AB386" s="21" t="str">
        <x:v>Wikipedia专题列表</x:v>
      </x:c>
      <x:c r="AC386" s="21" t="str"/>
      <x:c r="AD386" s="21" t="n">
        <x:v>1</x:v>
      </x:c>
      <x:c r="AE386" s="21" t="str">
        <x:v>未检查</x:v>
      </x:c>
      <x:c r="AF386" s="21" t="str"/>
      <x:c r="AG386" s="24" t="n">
        <x:v>46260</x:v>
      </x:c>
      <x:c r="AH386" s="21" t="str"/>
      <x:c r="AI386" s="21" t="n">
        <x:v>1</x:v>
      </x:c>
      <x:c r="AJ386" s="21" t="str">
        <x:v>未评估（本事件表不建立热浪因果关系）</x:v>
      </x:c>
      <x:c r="AK386" s="21" t="str">
        <x:v>缺失/待核实</x:v>
      </x:c>
    </x:row>
    <x:row r="387" ht="42" customHeight="1">
      <x:c r="A387" s="33" t="n">
        <x:v>386</x:v>
      </x:c>
      <x:c r="B387" s="33" t="str">
        <x:v>RAW-0386</x:v>
      </x:c>
      <x:c r="C387" s="36" t="str">
        <x:v>亚洲</x:v>
      </x:c>
      <x:c r="D387" s="36" t="str">
        <x:v>China</x:v>
      </x:c>
      <x:c r="E387" s="21" t="str">
        <x:v>Ürümqi</x:v>
      </x:c>
      <x:c r="F387" s="21" t="str">
        <x:v>2022 Ürümqi fire</x:v>
      </x:c>
      <x:c r="G387" s="39" t="n">
        <x:v>44891</x:v>
      </x:c>
      <x:c r="H387" s="21" t="str">
        <x:v>Jixiangyuan community高层建筑火灾；建筑高度记录为 ~60 m (21 floors) m。死亡人数：11。2022 Ürümqi fire</x:v>
      </x:c>
      <x:c r="I387" s="21" t="str">
        <x:v>未检索到/待核实</x:v>
      </x:c>
      <x:c r="J387" s="21" t="str">
        <x:v>死亡人数：11。2022 Ürümqi fire</x:v>
      </x:c>
      <x:c r="K387" s="21" t="str">
        <x:v>https://en.wikipedia.org/wiki/2022_Ürümqi_fire</x:v>
      </x:c>
      <x:c r="L387" s="27"/>
      <x:c r="M387" s="27"/>
      <x:c r="N387" s="21" t="str">
        <x:v>未提供坐标</x:v>
      </x:c>
      <x:c r="O387" s="21" t="str">
        <x:v>高层建筑火灾</x:v>
      </x:c>
      <x:c r="P387" s="21" t="str">
        <x:v>未检索到</x:v>
      </x:c>
      <x:c r="Q387" s="21" t="str">
        <x:v>~60 m (21 floors)</x:v>
      </x:c>
      <x:c r="R387" s="21" t="str">
        <x:v>未检索到</x:v>
      </x:c>
      <x:c r="S387" s="21" t="str">
        <x:v>未检索到</x:v>
      </x:c>
      <x:c r="T387" s="42" t="n">
        <x:v>11</x:v>
      </x:c>
      <x:c r="U387" s="42"/>
      <x:c r="V387" s="42"/>
      <x:c r="W387" s="33" t="str">
        <x:v>B</x:v>
      </x:c>
      <x:c r="X387" s="33" t="str">
        <x:v>compendium_needs_independent_verification</x:v>
      </x:c>
      <x:c r="Y387" s="33" t="str">
        <x:v>候选待核实</x:v>
      </x:c>
      <x:c r="Z387" s="21" t="str">
        <x:v>Wikipedia具名事件页+高层建筑专题表</x:v>
      </x:c>
      <x:c r="AA387" s="21" t="str">
        <x:v>List of fires in high-rise buildings</x:v>
      </x:c>
      <x:c r="AB387" s="21" t="str">
        <x:v>Wikipedia专题列表</x:v>
      </x:c>
      <x:c r="AC387" s="21" t="str"/>
      <x:c r="AD387" s="21" t="n">
        <x:v>1</x:v>
      </x:c>
      <x:c r="AE387" s="21" t="str">
        <x:v>未检查</x:v>
      </x:c>
      <x:c r="AF387" s="21" t="str"/>
      <x:c r="AG387" s="24" t="n">
        <x:v>46260</x:v>
      </x:c>
      <x:c r="AH387" s="21" t="str"/>
      <x:c r="AI387" s="21" t="n">
        <x:v>1</x:v>
      </x:c>
      <x:c r="AJ387" s="21" t="str">
        <x:v>未评估（本事件表不建立热浪因果关系）</x:v>
      </x:c>
      <x:c r="AK387" s="21" t="str">
        <x:v>缺失/待核实</x:v>
      </x:c>
    </x:row>
    <x:row r="388" ht="42" customHeight="1">
      <x:c r="A388" s="33" t="n">
        <x:v>387</x:v>
      </x:c>
      <x:c r="B388" s="33" t="str">
        <x:v>RAW-0387</x:v>
      </x:c>
      <x:c r="C388" s="36" t="str">
        <x:v>亚洲</x:v>
      </x:c>
      <x:c r="D388" s="36" t="str">
        <x:v>Hong Kong</x:v>
      </x:c>
      <x:c r="E388" s="21" t="str">
        <x:v>Hong Kong</x:v>
      </x:c>
      <x:c r="F388" s="21" t="str">
        <x:v>The Kimpton fire</x:v>
      </x:c>
      <x:c r="G388" s="39" t="n">
        <x:v>44987</x:v>
      </x:c>
      <x:c r="H388" s="21" t="str">
        <x:v>The Kimpton高层建筑火灾；建筑高度记录为 175 m。死亡人数：0。Occurred during construction</x:v>
      </x:c>
      <x:c r="I388" s="21" t="str">
        <x:v>未检索到/待核实</x:v>
      </x:c>
      <x:c r="J388" s="21" t="str">
        <x:v>死亡人数：0。Occurred during construction</x:v>
      </x:c>
      <x:c r="K388" s="21" t="str">
        <x:v>https://en.wikipedia.org/wiki/List_of_fires_in_high-rise_buildings</x:v>
      </x:c>
      <x:c r="L388" s="27"/>
      <x:c r="M388" s="27"/>
      <x:c r="N388" s="21" t="str">
        <x:v>未提供坐标</x:v>
      </x:c>
      <x:c r="O388" s="21" t="str">
        <x:v>高层建筑火灾</x:v>
      </x:c>
      <x:c r="P388" s="21" t="str">
        <x:v>未检索到</x:v>
      </x:c>
      <x:c r="Q388" s="21" t="str">
        <x:v>175 m</x:v>
      </x:c>
      <x:c r="R388" s="21" t="str">
        <x:v>未检索到</x:v>
      </x:c>
      <x:c r="S388" s="21" t="str">
        <x:v>未检索到</x:v>
      </x:c>
      <x:c r="T388" s="42" t="n">
        <x:v>0</x:v>
      </x:c>
      <x:c r="U388" s="42"/>
      <x:c r="V388" s="42"/>
      <x:c r="W388" s="33" t="str">
        <x:v>C</x:v>
      </x:c>
      <x:c r="X388" s="33" t="str">
        <x:v>compendium_needs_independent_verification</x:v>
      </x:c>
      <x:c r="Y388" s="33" t="str">
        <x:v>候选待核实</x:v>
      </x:c>
      <x:c r="Z388" s="21" t="str">
        <x:v>Wikipedia高层建筑专题表；需补充独立来源核验</x:v>
      </x:c>
      <x:c r="AA388" s="21" t="str">
        <x:v>List of fires in high-rise buildings</x:v>
      </x:c>
      <x:c r="AB388" s="21" t="str">
        <x:v>Wikipedia专题列表</x:v>
      </x:c>
      <x:c r="AC388" s="21" t="str"/>
      <x:c r="AD388" s="21" t="n">
        <x:v>1</x:v>
      </x:c>
      <x:c r="AE388" s="21" t="str">
        <x:v>未检查</x:v>
      </x:c>
      <x:c r="AF388" s="21" t="str"/>
      <x:c r="AG388" s="24" t="n">
        <x:v>46260</x:v>
      </x:c>
      <x:c r="AH388" s="21" t="str"/>
      <x:c r="AI388" s="21" t="n">
        <x:v>1</x:v>
      </x:c>
      <x:c r="AJ388" s="21" t="str">
        <x:v>未评估（本事件表不建立热浪因果关系）</x:v>
      </x:c>
      <x:c r="AK388" s="21" t="str">
        <x:v>缺失/待核实</x:v>
      </x:c>
    </x:row>
    <x:row r="389" ht="42" customHeight="1">
      <x:c r="A389" s="33" t="n">
        <x:v>388</x:v>
      </x:c>
      <x:c r="B389" s="33" t="str">
        <x:v>RAW-0388</x:v>
      </x:c>
      <x:c r="C389" s="36" t="str">
        <x:v>亚洲</x:v>
      </x:c>
      <x:c r="D389" s="36" t="str">
        <x:v>Vietnam</x:v>
      </x:c>
      <x:c r="E389" s="21" t="str">
        <x:v>Hanoi</x:v>
      </x:c>
      <x:c r="F389" s="21" t="str">
        <x:v>2023 Hanoi building fire</x:v>
      </x:c>
      <x:c r="G389" s="39" t="n">
        <x:v>45181</x:v>
      </x:c>
      <x:c r="H389" s="21" t="str">
        <x:v>Unnamed Apartment Block高层建筑火灾；建筑高度记录为 未列明。死亡人数：56。2023 Hanoi building fire</x:v>
      </x:c>
      <x:c r="I389" s="21" t="str">
        <x:v>未检索到/待核实</x:v>
      </x:c>
      <x:c r="J389" s="21" t="str">
        <x:v>死亡人数：56。2023 Hanoi building fire</x:v>
      </x:c>
      <x:c r="K389" s="21" t="str">
        <x:v>https://en.wikipedia.org/wiki/2023_Hanoi_building_fire</x:v>
      </x:c>
      <x:c r="L389" s="27"/>
      <x:c r="M389" s="27"/>
      <x:c r="N389" s="21" t="str">
        <x:v>未提供坐标</x:v>
      </x:c>
      <x:c r="O389" s="21" t="str">
        <x:v>高层建筑火灾</x:v>
      </x:c>
      <x:c r="P389" s="21" t="str">
        <x:v>未检索到</x:v>
      </x:c>
      <x:c r="Q389" s="21" t="str">
        <x:v>未检索到</x:v>
      </x:c>
      <x:c r="R389" s="21" t="str">
        <x:v>未检索到</x:v>
      </x:c>
      <x:c r="S389" s="21" t="str">
        <x:v>未检索到</x:v>
      </x:c>
      <x:c r="T389" s="42" t="n">
        <x:v>56</x:v>
      </x:c>
      <x:c r="U389" s="42"/>
      <x:c r="V389" s="42"/>
      <x:c r="W389" s="33" t="str">
        <x:v>B</x:v>
      </x:c>
      <x:c r="X389" s="33" t="str">
        <x:v>compendium_needs_independent_verification</x:v>
      </x:c>
      <x:c r="Y389" s="33" t="str">
        <x:v>候选待核实</x:v>
      </x:c>
      <x:c r="Z389" s="21" t="str">
        <x:v>Wikipedia具名事件页+高层建筑专题表</x:v>
      </x:c>
      <x:c r="AA389" s="21" t="str">
        <x:v>List of fires in high-rise buildings</x:v>
      </x:c>
      <x:c r="AB389" s="21" t="str">
        <x:v>Wikipedia专题列表</x:v>
      </x:c>
      <x:c r="AC389" s="21" t="str"/>
      <x:c r="AD389" s="21" t="n">
        <x:v>1</x:v>
      </x:c>
      <x:c r="AE389" s="21" t="str">
        <x:v>未检查</x:v>
      </x:c>
      <x:c r="AF389" s="21" t="str"/>
      <x:c r="AG389" s="24" t="n">
        <x:v>46260</x:v>
      </x:c>
      <x:c r="AH389" s="21" t="str"/>
      <x:c r="AI389" s="21" t="n">
        <x:v>1</x:v>
      </x:c>
      <x:c r="AJ389" s="21" t="str">
        <x:v>未评估（本事件表不建立热浪因果关系）</x:v>
      </x:c>
      <x:c r="AK389" s="21" t="str">
        <x:v>缺失/待核实</x:v>
      </x:c>
    </x:row>
    <x:row r="390" ht="42" customHeight="1">
      <x:c r="A390" s="33" t="n">
        <x:v>389</x:v>
      </x:c>
      <x:c r="B390" s="33" t="str">
        <x:v>RAW-0389</x:v>
      </x:c>
      <x:c r="C390" s="36" t="str">
        <x:v>非洲</x:v>
      </x:c>
      <x:c r="D390" s="36" t="str">
        <x:v>Sudan</x:v>
      </x:c>
      <x:c r="E390" s="21" t="str">
        <x:v>Khartoum</x:v>
      </x:c>
      <x:c r="F390" s="21" t="str">
        <x:v>Greater Nile Petroleum Oil Company Tower fire</x:v>
      </x:c>
      <x:c r="G390" s="39" t="n">
        <x:v>45186</x:v>
      </x:c>
      <x:c r="H390" s="21" t="str">
        <x:v>Greater Nile Petroleum Oil Company Tower高层建筑火灾；建筑高度记录为 65.72 m。死亡人数：?。Occurred during War in Sudan (2023)</x:v>
      </x:c>
      <x:c r="I390" s="21" t="str">
        <x:v>未检索到/待核实</x:v>
      </x:c>
      <x:c r="J390" s="21" t="str">
        <x:v>死亡人数：?。Occurred during War in Sudan (2023)</x:v>
      </x:c>
      <x:c r="K390" s="21" t="str">
        <x:v>https://en.wikipedia.org/wiki/List_of_fires_in_high-rise_buildings</x:v>
      </x:c>
      <x:c r="L390" s="27"/>
      <x:c r="M390" s="27"/>
      <x:c r="N390" s="21" t="str">
        <x:v>未提供坐标</x:v>
      </x:c>
      <x:c r="O390" s="21" t="str">
        <x:v>高层建筑火灾</x:v>
      </x:c>
      <x:c r="P390" s="21" t="str">
        <x:v>未检索到</x:v>
      </x:c>
      <x:c r="Q390" s="21" t="str">
        <x:v>65.72 m</x:v>
      </x:c>
      <x:c r="R390" s="21" t="str">
        <x:v>未检索到</x:v>
      </x:c>
      <x:c r="S390" s="21" t="str">
        <x:v>未检索到</x:v>
      </x:c>
      <x:c r="T390" s="42"/>
      <x:c r="U390" s="42"/>
      <x:c r="V390" s="42"/>
      <x:c r="W390" s="33" t="str">
        <x:v>C</x:v>
      </x:c>
      <x:c r="X390" s="33" t="str">
        <x:v>compendium_needs_independent_verification</x:v>
      </x:c>
      <x:c r="Y390" s="33" t="str">
        <x:v>候选待核实</x:v>
      </x:c>
      <x:c r="Z390" s="21" t="str">
        <x:v>Wikipedia高层建筑专题表；需补充独立来源核验</x:v>
      </x:c>
      <x:c r="AA390" s="21" t="str">
        <x:v>List of fires in high-rise buildings</x:v>
      </x:c>
      <x:c r="AB390" s="21" t="str">
        <x:v>Wikipedia专题列表</x:v>
      </x:c>
      <x:c r="AC390" s="21" t="str"/>
      <x:c r="AD390" s="21" t="n">
        <x:v>1</x:v>
      </x:c>
      <x:c r="AE390" s="21" t="str">
        <x:v>未检查</x:v>
      </x:c>
      <x:c r="AF390" s="21" t="str"/>
      <x:c r="AG390" s="24" t="n">
        <x:v>46260</x:v>
      </x:c>
      <x:c r="AH390" s="21" t="str"/>
      <x:c r="AI390" s="21" t="n">
        <x:v>1</x:v>
      </x:c>
      <x:c r="AJ390" s="21" t="str">
        <x:v>未评估（本事件表不建立热浪因果关系）</x:v>
      </x:c>
      <x:c r="AK390" s="21" t="str">
        <x:v>缺失/待核实</x:v>
      </x:c>
    </x:row>
    <x:row r="391" ht="42" customHeight="1">
      <x:c r="A391" s="33" t="n">
        <x:v>390</x:v>
      </x:c>
      <x:c r="B391" s="33" t="str">
        <x:v>RAW-0390</x:v>
      </x:c>
      <x:c r="C391" s="36" t="str">
        <x:v>欧洲</x:v>
      </x:c>
      <x:c r="D391" s="36" t="str">
        <x:v>Spain</x:v>
      </x:c>
      <x:c r="E391" s="21" t="str">
        <x:v>València</x:v>
      </x:c>
      <x:c r="F391" s="21" t="str">
        <x:v>2024 València residential complex fire</x:v>
      </x:c>
      <x:c r="G391" s="39" t="n">
        <x:v>45344</x:v>
      </x:c>
      <x:c r="H391" s="21" t="str">
        <x:v>Unnamed Highrise高层建筑火灾；建筑高度记录为 未列明。死亡人数：10。2024 València residential complex fire</x:v>
      </x:c>
      <x:c r="I391" s="21" t="str">
        <x:v>未检索到/待核实</x:v>
      </x:c>
      <x:c r="J391" s="21" t="str">
        <x:v>死亡人数：10。2024 València residential complex fire</x:v>
      </x:c>
      <x:c r="K391" s="21" t="str">
        <x:v>https://en.wikipedia.org/wiki/2024_València_residential_complex_fire</x:v>
      </x:c>
      <x:c r="L391" s="27"/>
      <x:c r="M391" s="27"/>
      <x:c r="N391" s="21" t="str">
        <x:v>未提供坐标</x:v>
      </x:c>
      <x:c r="O391" s="21" t="str">
        <x:v>高层建筑火灾</x:v>
      </x:c>
      <x:c r="P391" s="21" t="str">
        <x:v>未检索到</x:v>
      </x:c>
      <x:c r="Q391" s="21" t="str">
        <x:v>未检索到</x:v>
      </x:c>
      <x:c r="R391" s="21" t="str">
        <x:v>未检索到</x:v>
      </x:c>
      <x:c r="S391" s="21" t="str">
        <x:v>未检索到</x:v>
      </x:c>
      <x:c r="T391" s="42" t="n">
        <x:v>10</x:v>
      </x:c>
      <x:c r="U391" s="42"/>
      <x:c r="V391" s="42"/>
      <x:c r="W391" s="33" t="str">
        <x:v>B</x:v>
      </x:c>
      <x:c r="X391" s="33" t="str">
        <x:v>compendium_needs_independent_verification</x:v>
      </x:c>
      <x:c r="Y391" s="33" t="str">
        <x:v>候选待核实</x:v>
      </x:c>
      <x:c r="Z391" s="21" t="str">
        <x:v>Wikipedia具名事件页+高层建筑专题表</x:v>
      </x:c>
      <x:c r="AA391" s="21" t="str">
        <x:v>List of fires in high-rise buildings</x:v>
      </x:c>
      <x:c r="AB391" s="21" t="str">
        <x:v>Wikipedia专题列表</x:v>
      </x:c>
      <x:c r="AC391" s="21" t="str"/>
      <x:c r="AD391" s="21" t="n">
        <x:v>1</x:v>
      </x:c>
      <x:c r="AE391" s="21" t="str">
        <x:v>未检查</x:v>
      </x:c>
      <x:c r="AF391" s="21" t="str"/>
      <x:c r="AG391" s="24" t="n">
        <x:v>46260</x:v>
      </x:c>
      <x:c r="AH391" s="21" t="str"/>
      <x:c r="AI391" s="21" t="n">
        <x:v>1</x:v>
      </x:c>
      <x:c r="AJ391" s="21" t="str">
        <x:v>未评估（本事件表不建立热浪因果关系）</x:v>
      </x:c>
      <x:c r="AK391" s="21" t="str">
        <x:v>缺失/待核实</x:v>
      </x:c>
    </x:row>
    <x:row r="392" ht="42" customHeight="1">
      <x:c r="A392" s="33" t="n">
        <x:v>391</x:v>
      </x:c>
      <x:c r="B392" s="33" t="str">
        <x:v>RAW-0391</x:v>
      </x:c>
      <x:c r="C392" s="36" t="str">
        <x:v>亚洲</x:v>
      </x:c>
      <x:c r="D392" s="36" t="str">
        <x:v>China</x:v>
      </x:c>
      <x:c r="E392" s="21" t="str">
        <x:v>Nanjing</x:v>
      </x:c>
      <x:c r="F392" s="21" t="str">
        <x:v>2024 Nanjing building fire</x:v>
      </x:c>
      <x:c r="G392" s="39" t="n">
        <x:v>45345</x:v>
      </x:c>
      <x:c r="H392" s="21" t="str">
        <x:v>Unnamed Highrise高层建筑火灾；建筑高度记录为 未列明。死亡人数：15。2024 Nanjing building fire</x:v>
      </x:c>
      <x:c r="I392" s="21" t="str">
        <x:v>未检索到/待核实</x:v>
      </x:c>
      <x:c r="J392" s="21" t="str">
        <x:v>死亡人数：15。2024 Nanjing building fire</x:v>
      </x:c>
      <x:c r="K392" s="21" t="str">
        <x:v>https://en.wikipedia.org/wiki/2024_Nanjing_building_fire</x:v>
      </x:c>
      <x:c r="L392" s="27"/>
      <x:c r="M392" s="27"/>
      <x:c r="N392" s="21" t="str">
        <x:v>未提供坐标</x:v>
      </x:c>
      <x:c r="O392" s="21" t="str">
        <x:v>高层建筑火灾</x:v>
      </x:c>
      <x:c r="P392" s="21" t="str">
        <x:v>未检索到</x:v>
      </x:c>
      <x:c r="Q392" s="21" t="str">
        <x:v>未检索到</x:v>
      </x:c>
      <x:c r="R392" s="21" t="str">
        <x:v>未检索到</x:v>
      </x:c>
      <x:c r="S392" s="21" t="str">
        <x:v>未检索到</x:v>
      </x:c>
      <x:c r="T392" s="42" t="n">
        <x:v>15</x:v>
      </x:c>
      <x:c r="U392" s="42"/>
      <x:c r="V392" s="42"/>
      <x:c r="W392" s="33" t="str">
        <x:v>B</x:v>
      </x:c>
      <x:c r="X392" s="33" t="str">
        <x:v>compendium_needs_independent_verification</x:v>
      </x:c>
      <x:c r="Y392" s="33" t="str">
        <x:v>候选待核实</x:v>
      </x:c>
      <x:c r="Z392" s="21" t="str">
        <x:v>Wikipedia具名事件页+高层建筑专题表</x:v>
      </x:c>
      <x:c r="AA392" s="21" t="str">
        <x:v>List of fires in high-rise buildings</x:v>
      </x:c>
      <x:c r="AB392" s="21" t="str">
        <x:v>Wikipedia专题列表</x:v>
      </x:c>
      <x:c r="AC392" s="21" t="str"/>
      <x:c r="AD392" s="21" t="n">
        <x:v>1</x:v>
      </x:c>
      <x:c r="AE392" s="21" t="str">
        <x:v>未检查</x:v>
      </x:c>
      <x:c r="AF392" s="21" t="str"/>
      <x:c r="AG392" s="24" t="n">
        <x:v>46260</x:v>
      </x:c>
      <x:c r="AH392" s="21" t="str"/>
      <x:c r="AI392" s="21" t="n">
        <x:v>1</x:v>
      </x:c>
      <x:c r="AJ392" s="21" t="str">
        <x:v>未评估（本事件表不建立热浪因果关系）</x:v>
      </x:c>
      <x:c r="AK392" s="21" t="str">
        <x:v>缺失/待核实</x:v>
      </x:c>
    </x:row>
    <x:row r="393" ht="42" customHeight="1">
      <x:c r="A393" s="33" t="n">
        <x:v>392</x:v>
      </x:c>
      <x:c r="B393" s="33" t="str">
        <x:v>RAW-0392</x:v>
      </x:c>
      <x:c r="C393" s="36" t="str">
        <x:v>亚洲</x:v>
      </x:c>
      <x:c r="D393" s="36" t="str">
        <x:v>Bangladesh</x:v>
      </x:c>
      <x:c r="E393" s="21" t="str">
        <x:v>Dhaka</x:v>
      </x:c>
      <x:c r="F393" s="21" t="str">
        <x:v>2024 Dhaka Bailey Road fire</x:v>
      </x:c>
      <x:c r="G393" s="39" t="n">
        <x:v>45351</x:v>
      </x:c>
      <x:c r="H393" s="21" t="str">
        <x:v>Green Cozy Cottage Shopping Mall高层建筑火灾；建筑高度记录为 未列明。死亡人数：46。2024 Dhaka Bailey Road fire</x:v>
      </x:c>
      <x:c r="I393" s="21" t="str">
        <x:v>未检索到/待核实</x:v>
      </x:c>
      <x:c r="J393" s="21" t="str">
        <x:v>死亡人数：46。2024 Dhaka Bailey Road fire</x:v>
      </x:c>
      <x:c r="K393" s="21" t="str">
        <x:v>https://en.wikipedia.org/wiki/2024_Dhaka_Bailey_Road_fire</x:v>
      </x:c>
      <x:c r="L393" s="27"/>
      <x:c r="M393" s="27"/>
      <x:c r="N393" s="21" t="str">
        <x:v>未提供坐标</x:v>
      </x:c>
      <x:c r="O393" s="21" t="str">
        <x:v>高层建筑火灾</x:v>
      </x:c>
      <x:c r="P393" s="21" t="str">
        <x:v>未检索到</x:v>
      </x:c>
      <x:c r="Q393" s="21" t="str">
        <x:v>未检索到</x:v>
      </x:c>
      <x:c r="R393" s="21" t="str">
        <x:v>未检索到</x:v>
      </x:c>
      <x:c r="S393" s="21" t="str">
        <x:v>未检索到</x:v>
      </x:c>
      <x:c r="T393" s="42" t="n">
        <x:v>46</x:v>
      </x:c>
      <x:c r="U393" s="42"/>
      <x:c r="V393" s="42"/>
      <x:c r="W393" s="33" t="str">
        <x:v>B</x:v>
      </x:c>
      <x:c r="X393" s="33" t="str">
        <x:v>compendium_needs_independent_verification</x:v>
      </x:c>
      <x:c r="Y393" s="33" t="str">
        <x:v>候选待核实</x:v>
      </x:c>
      <x:c r="Z393" s="21" t="str">
        <x:v>Wikipedia具名事件页+高层建筑专题表</x:v>
      </x:c>
      <x:c r="AA393" s="21" t="str">
        <x:v>List of fires in high-rise buildings</x:v>
      </x:c>
      <x:c r="AB393" s="21" t="str">
        <x:v>Wikipedia专题列表</x:v>
      </x:c>
      <x:c r="AC393" s="21" t="str"/>
      <x:c r="AD393" s="21" t="n">
        <x:v>1</x:v>
      </x:c>
      <x:c r="AE393" s="21" t="str">
        <x:v>未检查</x:v>
      </x:c>
      <x:c r="AF393" s="21" t="str"/>
      <x:c r="AG393" s="24" t="n">
        <x:v>46260</x:v>
      </x:c>
      <x:c r="AH393" s="21" t="str"/>
      <x:c r="AI393" s="21" t="n">
        <x:v>1</x:v>
      </x:c>
      <x:c r="AJ393" s="21" t="str">
        <x:v>未评估（本事件表不建立热浪因果关系）</x:v>
      </x:c>
      <x:c r="AK393" s="21" t="str">
        <x:v>缺失/待核实</x:v>
      </x:c>
    </x:row>
    <x:row r="394" ht="42" customHeight="1">
      <x:c r="A394" s="33" t="n">
        <x:v>393</x:v>
      </x:c>
      <x:c r="B394" s="33" t="str">
        <x:v>RAW-0393</x:v>
      </x:c>
      <x:c r="C394" s="36" t="str">
        <x:v>欧洲</x:v>
      </x:c>
      <x:c r="D394" s="36" t="str">
        <x:v>Russia</x:v>
      </x:c>
      <x:c r="E394" s="21" t="str">
        <x:v>Tver</x:v>
      </x:c>
      <x:c r="F394" s="21" t="str">
        <x:v>fire</x:v>
      </x:c>
      <x:c r="G394" s="39" t="n">
        <x:v>45365</x:v>
      </x:c>
      <x:c r="H394" s="21" t="str">
        <x:v>高层建筑火灾；建筑高度记录为 未列明。死亡人数：0。Occurred during construction</x:v>
      </x:c>
      <x:c r="I394" s="21" t="str">
        <x:v>未检索到/待核实</x:v>
      </x:c>
      <x:c r="J394" s="21" t="str">
        <x:v>死亡人数：0。Occurred during construction</x:v>
      </x:c>
      <x:c r="K394" s="21" t="str">
        <x:v>https://en.wikipedia.org/wiki/List_of_fires_in_high-rise_buildings</x:v>
      </x:c>
      <x:c r="L394" s="27"/>
      <x:c r="M394" s="27"/>
      <x:c r="N394" s="21" t="str">
        <x:v>未提供坐标</x:v>
      </x:c>
      <x:c r="O394" s="21" t="str">
        <x:v>高层建筑火灾</x:v>
      </x:c>
      <x:c r="P394" s="21" t="str">
        <x:v>未检索到</x:v>
      </x:c>
      <x:c r="Q394" s="21" t="str">
        <x:v>未检索到</x:v>
      </x:c>
      <x:c r="R394" s="21" t="str">
        <x:v>未检索到</x:v>
      </x:c>
      <x:c r="S394" s="21" t="str">
        <x:v>未检索到</x:v>
      </x:c>
      <x:c r="T394" s="42" t="n">
        <x:v>0</x:v>
      </x:c>
      <x:c r="U394" s="42"/>
      <x:c r="V394" s="42"/>
      <x:c r="W394" s="33" t="str">
        <x:v>C</x:v>
      </x:c>
      <x:c r="X394" s="33" t="str">
        <x:v>compendium_needs_independent_verification</x:v>
      </x:c>
      <x:c r="Y394" s="33" t="str">
        <x:v>候选待核实</x:v>
      </x:c>
      <x:c r="Z394" s="21" t="str">
        <x:v>Wikipedia高层建筑专题表；需补充独立来源核验</x:v>
      </x:c>
      <x:c r="AA394" s="21" t="str">
        <x:v>List of fires in high-rise buildings</x:v>
      </x:c>
      <x:c r="AB394" s="21" t="str">
        <x:v>Wikipedia专题列表</x:v>
      </x:c>
      <x:c r="AC394" s="21" t="str"/>
      <x:c r="AD394" s="21" t="n">
        <x:v>1</x:v>
      </x:c>
      <x:c r="AE394" s="21" t="str">
        <x:v>未检查</x:v>
      </x:c>
      <x:c r="AF394" s="21" t="str"/>
      <x:c r="AG394" s="24" t="n">
        <x:v>46260</x:v>
      </x:c>
      <x:c r="AH394" s="21" t="str"/>
      <x:c r="AI394" s="21" t="n">
        <x:v>1</x:v>
      </x:c>
      <x:c r="AJ394" s="21" t="str">
        <x:v>未评估（本事件表不建立热浪因果关系）</x:v>
      </x:c>
      <x:c r="AK394" s="21" t="str">
        <x:v>缺失/待核实</x:v>
      </x:c>
    </x:row>
    <x:row r="395" ht="42" customHeight="1">
      <x:c r="A395" s="33" t="n">
        <x:v>394</x:v>
      </x:c>
      <x:c r="B395" s="33" t="str">
        <x:v>RAW-0394</x:v>
      </x:c>
      <x:c r="C395" s="36" t="str">
        <x:v>南美洲</x:v>
      </x:c>
      <x:c r="D395" s="36" t="str">
        <x:v>Brazil</x:v>
      </x:c>
      <x:c r="E395" s="21" t="str">
        <x:v>Recife</x:v>
      </x:c>
      <x:c r="F395" s="21" t="str">
        <x:v>Botanik Torre Flora fire</x:v>
      </x:c>
      <x:c r="G395" s="39" t="n">
        <x:v>45379</x:v>
      </x:c>
      <x:c r="H395" s="21" t="str">
        <x:v>Botanik Torre Flora高层建筑火灾；建筑高度记录为 未列明。死亡人数：0。Occurred during construction</x:v>
      </x:c>
      <x:c r="I395" s="21" t="str">
        <x:v>未检索到/待核实</x:v>
      </x:c>
      <x:c r="J395" s="21" t="str">
        <x:v>死亡人数：0。Occurred during construction</x:v>
      </x:c>
      <x:c r="K395" s="21" t="str">
        <x:v>https://en.wikipedia.org/wiki/List_of_fires_in_high-rise_buildings</x:v>
      </x:c>
      <x:c r="L395" s="27"/>
      <x:c r="M395" s="27"/>
      <x:c r="N395" s="21" t="str">
        <x:v>未提供坐标</x:v>
      </x:c>
      <x:c r="O395" s="21" t="str">
        <x:v>高层建筑火灾</x:v>
      </x:c>
      <x:c r="P395" s="21" t="str">
        <x:v>未检索到</x:v>
      </x:c>
      <x:c r="Q395" s="21" t="str">
        <x:v>未检索到</x:v>
      </x:c>
      <x:c r="R395" s="21" t="str">
        <x:v>未检索到</x:v>
      </x:c>
      <x:c r="S395" s="21" t="str">
        <x:v>未检索到</x:v>
      </x:c>
      <x:c r="T395" s="42" t="n">
        <x:v>0</x:v>
      </x:c>
      <x:c r="U395" s="42"/>
      <x:c r="V395" s="42"/>
      <x:c r="W395" s="33" t="str">
        <x:v>C</x:v>
      </x:c>
      <x:c r="X395" s="33" t="str">
        <x:v>compendium_needs_independent_verification</x:v>
      </x:c>
      <x:c r="Y395" s="33" t="str">
        <x:v>候选待核实</x:v>
      </x:c>
      <x:c r="Z395" s="21" t="str">
        <x:v>Wikipedia高层建筑专题表；需补充独立来源核验</x:v>
      </x:c>
      <x:c r="AA395" s="21" t="str">
        <x:v>List of fires in high-rise buildings</x:v>
      </x:c>
      <x:c r="AB395" s="21" t="str">
        <x:v>Wikipedia专题列表</x:v>
      </x:c>
      <x:c r="AC395" s="21" t="str"/>
      <x:c r="AD395" s="21" t="n">
        <x:v>1</x:v>
      </x:c>
      <x:c r="AE395" s="21" t="str">
        <x:v>未检查</x:v>
      </x:c>
      <x:c r="AF395" s="21" t="str"/>
      <x:c r="AG395" s="24" t="n">
        <x:v>46260</x:v>
      </x:c>
      <x:c r="AH395" s="21" t="str"/>
      <x:c r="AI395" s="21" t="n">
        <x:v>1</x:v>
      </x:c>
      <x:c r="AJ395" s="21" t="str">
        <x:v>未评估（本事件表不建立热浪因果关系）</x:v>
      </x:c>
      <x:c r="AK395" s="21" t="str">
        <x:v>缺失/待核实</x:v>
      </x:c>
    </x:row>
    <x:row r="396" ht="42" customHeight="1">
      <x:c r="A396" s="33" t="n">
        <x:v>395</x:v>
      </x:c>
      <x:c r="B396" s="33" t="str">
        <x:v>RAW-0395</x:v>
      </x:c>
      <x:c r="C396" s="36" t="str">
        <x:v>欧洲</x:v>
      </x:c>
      <x:c r="D396" s="36" t="str">
        <x:v>France</x:v>
      </x:c>
      <x:c r="E396" s="21" t="str">
        <x:v>Paris</x:v>
      </x:c>
      <x:c r="F396" s="21" t="str">
        <x:v>Asia of Ivry (fr, Asie d'Ivry) fire</x:v>
      </x:c>
      <x:c r="G396" s="39" t="n">
        <x:v>45552</x:v>
      </x:c>
      <x:c r="H396" s="21" t="str">
        <x:v>Asia of Ivry (fr, Asie d'Ivry)高层建筑火灾；建筑高度记录为 21 m。死亡人数：0。Wholesaler Chinese Pastry, 50 Av. de la Prte d'Ivry, 7th flr (attic)</x:v>
      </x:c>
      <x:c r="I396" s="21" t="str">
        <x:v>未检索到/待核实</x:v>
      </x:c>
      <x:c r="J396" s="21" t="str">
        <x:v>死亡人数：0。Wholesaler Chinese Pastry, 50 Av. de la Prte d'Ivry, 7th flr (attic)</x:v>
      </x:c>
      <x:c r="K396" s="21" t="str">
        <x:v>https://english.news.cn/europe/20240918/4f5f1d3157c342bba3a376dc712960fe/c.html</x:v>
      </x:c>
      <x:c r="L396" s="27"/>
      <x:c r="M396" s="27"/>
      <x:c r="N396" s="21" t="str">
        <x:v>未提供坐标</x:v>
      </x:c>
      <x:c r="O396" s="21" t="str">
        <x:v>高层建筑火灾</x:v>
      </x:c>
      <x:c r="P396" s="21" t="str">
        <x:v>未检索到</x:v>
      </x:c>
      <x:c r="Q396" s="21" t="str">
        <x:v>21 m</x:v>
      </x:c>
      <x:c r="R396" s="21" t="str">
        <x:v>未检索到</x:v>
      </x:c>
      <x:c r="S396" s="21" t="str">
        <x:v>未检索到</x:v>
      </x:c>
      <x:c r="T396" s="42" t="n">
        <x:v>0</x:v>
      </x:c>
      <x:c r="U396" s="42"/>
      <x:c r="V396" s="42"/>
      <x:c r="W396" s="33" t="str">
        <x:v>C</x:v>
      </x:c>
      <x:c r="X396" s="33" t="str">
        <x:v>compendium_needs_independent_verification</x:v>
      </x:c>
      <x:c r="Y396" s="33" t="str">
        <x:v>候选待核实</x:v>
      </x:c>
      <x:c r="Z396" s="21" t="str">
        <x:v>Wikipedia高层建筑专题表；需补充独立来源核验</x:v>
      </x:c>
      <x:c r="AA396" s="21" t="str">
        <x:v>List of fires in high-rise buildings</x:v>
      </x:c>
      <x:c r="AB396" s="21" t="str">
        <x:v>Wikipedia专题列表</x:v>
      </x:c>
      <x:c r="AC396" s="21" t="str"/>
      <x:c r="AD396" s="21" t="n">
        <x:v>1</x:v>
      </x:c>
      <x:c r="AE396" s="21" t="str">
        <x:v>未检查</x:v>
      </x:c>
      <x:c r="AF396" s="21" t="str"/>
      <x:c r="AG396" s="24" t="n">
        <x:v>46260</x:v>
      </x:c>
      <x:c r="AH396" s="21" t="str"/>
      <x:c r="AI396" s="21" t="n">
        <x:v>1</x:v>
      </x:c>
      <x:c r="AJ396" s="21" t="str">
        <x:v>未评估（本事件表不建立热浪因果关系）</x:v>
      </x:c>
      <x:c r="AK396" s="21" t="str">
        <x:v>缺失/待核实</x:v>
      </x:c>
    </x:row>
    <x:row r="397" ht="42" customHeight="1">
      <x:c r="A397" s="33" t="n">
        <x:v>396</x:v>
      </x:c>
      <x:c r="B397" s="33" t="str">
        <x:v>RAW-0396</x:v>
      </x:c>
      <x:c r="C397" s="36" t="str">
        <x:v>欧洲</x:v>
      </x:c>
      <x:c r="D397" s="36" t="str">
        <x:v>France</x:v>
      </x:c>
      <x:c r="E397" s="21" t="str">
        <x:v>Paris</x:v>
      </x:c>
      <x:c r="F397" s="21" t="str">
        <x:v>The 12th District Town Hall fire</x:v>
      </x:c>
      <x:c r="G397" s="39" t="n">
        <x:v>45684</x:v>
      </x:c>
      <x:c r="H397" s="21" t="str">
        <x:v>The 12th District Town Hall高层建筑火灾；建筑高度记录为 36 m。死亡人数：0。Top flrs, possible electrical short in attic, 150 firefighters saved main structure, tower stabilized after collapse risk.</x:v>
      </x:c>
      <x:c r="I397" s="21" t="str">
        <x:v>Top flrs, possible electrical short in attic, 150 firefighters saved main structure, tower stabilized after collapse risk.</x:v>
      </x:c>
      <x:c r="J397" s="21" t="str">
        <x:v>死亡人数：0。Top flrs, possible electrical short in attic, 150 firefighters saved main structure, tower stabilized after collapse risk.</x:v>
      </x:c>
      <x:c r="K397" s="21" t="str">
        <x:v>https://apnews.com/article/paris-town-hall-fire-bell-tower-c6ff46a0f000b28d2a4cffb30ae82f08</x:v>
      </x:c>
      <x:c r="L397" s="27"/>
      <x:c r="M397" s="27"/>
      <x:c r="N397" s="21" t="str">
        <x:v>未提供坐标</x:v>
      </x:c>
      <x:c r="O397" s="21" t="str">
        <x:v>高层建筑火灾</x:v>
      </x:c>
      <x:c r="P397" s="21" t="str">
        <x:v>未检索到</x:v>
      </x:c>
      <x:c r="Q397" s="21" t="str">
        <x:v>36 m</x:v>
      </x:c>
      <x:c r="R397" s="21" t="str">
        <x:v>未检索到</x:v>
      </x:c>
      <x:c r="S397" s="21" t="str">
        <x:v>未检索到</x:v>
      </x:c>
      <x:c r="T397" s="42" t="n">
        <x:v>0</x:v>
      </x:c>
      <x:c r="U397" s="42"/>
      <x:c r="V397" s="42"/>
      <x:c r="W397" s="33" t="str">
        <x:v>C</x:v>
      </x:c>
      <x:c r="X397" s="33" t="str">
        <x:v>compendium_needs_independent_verification</x:v>
      </x:c>
      <x:c r="Y397" s="33" t="str">
        <x:v>候选待核实</x:v>
      </x:c>
      <x:c r="Z397" s="21" t="str">
        <x:v>Wikipedia高层建筑专题表；需补充独立来源核验</x:v>
      </x:c>
      <x:c r="AA397" s="21" t="str">
        <x:v>List of fires in high-rise buildings</x:v>
      </x:c>
      <x:c r="AB397" s="21" t="str">
        <x:v>Wikipedia专题列表</x:v>
      </x:c>
      <x:c r="AC397" s="21" t="str"/>
      <x:c r="AD397" s="21" t="n">
        <x:v>1</x:v>
      </x:c>
      <x:c r="AE397" s="21" t="str">
        <x:v>未检查</x:v>
      </x:c>
      <x:c r="AF397" s="21" t="str"/>
      <x:c r="AG397" s="24" t="n">
        <x:v>46260</x:v>
      </x:c>
      <x:c r="AH397" s="21" t="str"/>
      <x:c r="AI397" s="21" t="n">
        <x:v>1</x:v>
      </x:c>
      <x:c r="AJ397" s="21" t="str">
        <x:v>未评估（本事件表不建立热浪因果关系）</x:v>
      </x:c>
      <x:c r="AK397" s="21" t="str">
        <x:v>已有来源描述</x:v>
      </x:c>
    </x:row>
    <x:row r="398" ht="42" customHeight="1">
      <x:c r="A398" s="33" t="n">
        <x:v>397</x:v>
      </x:c>
      <x:c r="B398" s="33" t="str">
        <x:v>RAW-0397</x:v>
      </x:c>
      <x:c r="C398" s="36" t="str">
        <x:v>亚洲</x:v>
      </x:c>
      <x:c r="D398" s="36" t="str">
        <x:v>Turkey</x:v>
      </x:c>
      <x:c r="E398" s="21" t="str">
        <x:v>Bolu</x:v>
      </x:c>
      <x:c r="F398" s="21" t="str">
        <x:v>2025 Kartalkaya hotel fire</x:v>
      </x:c>
      <x:c r="G398" s="39" t="n">
        <x:v>45678</x:v>
      </x:c>
      <x:c r="H398" s="21" t="str">
        <x:v>Grand Kartal Hotel高层建筑火灾；建筑高度记录为 43.50 m。死亡人数：79。2025 Kartalkaya hotel fire</x:v>
      </x:c>
      <x:c r="I398" s="21" t="str">
        <x:v>未检索到/待核实</x:v>
      </x:c>
      <x:c r="J398" s="21" t="str">
        <x:v>死亡人数：79。2025 Kartalkaya hotel fire</x:v>
      </x:c>
      <x:c r="K398" s="21" t="str">
        <x:v>https://en.wikipedia.org/wiki/2025_Kartalkaya_hotel_fire</x:v>
      </x:c>
      <x:c r="L398" s="27"/>
      <x:c r="M398" s="27"/>
      <x:c r="N398" s="21" t="str">
        <x:v>未提供坐标</x:v>
      </x:c>
      <x:c r="O398" s="21" t="str">
        <x:v>高层建筑火灾</x:v>
      </x:c>
      <x:c r="P398" s="21" t="str">
        <x:v>未检索到</x:v>
      </x:c>
      <x:c r="Q398" s="21" t="str">
        <x:v>43.50 m</x:v>
      </x:c>
      <x:c r="R398" s="21" t="str">
        <x:v>未检索到</x:v>
      </x:c>
      <x:c r="S398" s="21" t="str">
        <x:v>未检索到</x:v>
      </x:c>
      <x:c r="T398" s="42" t="n">
        <x:v>79</x:v>
      </x:c>
      <x:c r="U398" s="42"/>
      <x:c r="V398" s="42"/>
      <x:c r="W398" s="33" t="str">
        <x:v>B</x:v>
      </x:c>
      <x:c r="X398" s="33" t="str">
        <x:v>compendium_needs_independent_verification</x:v>
      </x:c>
      <x:c r="Y398" s="33" t="str">
        <x:v>候选待核实</x:v>
      </x:c>
      <x:c r="Z398" s="21" t="str">
        <x:v>Wikipedia具名事件页+高层建筑专题表</x:v>
      </x:c>
      <x:c r="AA398" s="21" t="str">
        <x:v>List of fires in high-rise buildings</x:v>
      </x:c>
      <x:c r="AB398" s="21" t="str">
        <x:v>Wikipedia专题列表</x:v>
      </x:c>
      <x:c r="AC398" s="21" t="str"/>
      <x:c r="AD398" s="21" t="n">
        <x:v>1</x:v>
      </x:c>
      <x:c r="AE398" s="21" t="str">
        <x:v>未检查</x:v>
      </x:c>
      <x:c r="AF398" s="21" t="str"/>
      <x:c r="AG398" s="24" t="n">
        <x:v>46260</x:v>
      </x:c>
      <x:c r="AH398" s="21" t="str"/>
      <x:c r="AI398" s="21" t="n">
        <x:v>1</x:v>
      </x:c>
      <x:c r="AJ398" s="21" t="str">
        <x:v>未评估（本事件表不建立热浪因果关系）</x:v>
      </x:c>
      <x:c r="AK398" s="21" t="str">
        <x:v>缺失/待核实</x:v>
      </x:c>
    </x:row>
    <x:row r="399" ht="42" customHeight="1">
      <x:c r="A399" s="33" t="n">
        <x:v>398</x:v>
      </x:c>
      <x:c r="B399" s="33" t="str">
        <x:v>RAW-0398</x:v>
      </x:c>
      <x:c r="C399" s="36" t="str">
        <x:v>亚洲</x:v>
      </x:c>
      <x:c r="D399" s="36" t="str">
        <x:v>United Arab Emirates</x:v>
      </x:c>
      <x:c r="E399" s="21" t="str">
        <x:v>Dubai</x:v>
      </x:c>
      <x:c r="F399" s="21" t="str">
        <x:v>Marina Pinnacle fire</x:v>
      </x:c>
      <x:c r="G399" s="39" t="n">
        <x:v>45821</x:v>
      </x:c>
      <x:c r="H399" s="21" t="str">
        <x:v>Marina Pinnacle高层建筑火灾；建筑高度记录为 280 m。死亡人数：0。</x:v>
      </x:c>
      <x:c r="I399" s="21" t="str">
        <x:v>未检索到/待核实</x:v>
      </x:c>
      <x:c r="J399" s="21" t="str">
        <x:v>死亡人数：0。</x:v>
      </x:c>
      <x:c r="K399" s="21" t="str">
        <x:v>https://gulfnews.com/uae/dubai-marina-tower-fire-civil-defence-saves-3820-lives-in-heroic-rescue-1.500163499</x:v>
      </x:c>
      <x:c r="L399" s="27"/>
      <x:c r="M399" s="27"/>
      <x:c r="N399" s="21" t="str">
        <x:v>未提供坐标</x:v>
      </x:c>
      <x:c r="O399" s="21" t="str">
        <x:v>高层建筑火灾</x:v>
      </x:c>
      <x:c r="P399" s="21" t="str">
        <x:v>未检索到</x:v>
      </x:c>
      <x:c r="Q399" s="21" t="str">
        <x:v>280 m</x:v>
      </x:c>
      <x:c r="R399" s="21" t="str">
        <x:v>未检索到</x:v>
      </x:c>
      <x:c r="S399" s="21" t="str">
        <x:v>未检索到</x:v>
      </x:c>
      <x:c r="T399" s="42" t="n">
        <x:v>0</x:v>
      </x:c>
      <x:c r="U399" s="42"/>
      <x:c r="V399" s="42"/>
      <x:c r="W399" s="33" t="str">
        <x:v>C</x:v>
      </x:c>
      <x:c r="X399" s="33" t="str">
        <x:v>compendium_needs_independent_verification</x:v>
      </x:c>
      <x:c r="Y399" s="33" t="str">
        <x:v>候选待核实</x:v>
      </x:c>
      <x:c r="Z399" s="21" t="str">
        <x:v>Wikipedia高层建筑专题表；需补充独立来源核验</x:v>
      </x:c>
      <x:c r="AA399" s="21" t="str">
        <x:v>List of fires in high-rise buildings</x:v>
      </x:c>
      <x:c r="AB399" s="21" t="str">
        <x:v>Wikipedia专题列表</x:v>
      </x:c>
      <x:c r="AC399" s="21" t="str"/>
      <x:c r="AD399" s="21" t="n">
        <x:v>1</x:v>
      </x:c>
      <x:c r="AE399" s="21" t="str">
        <x:v>未检查</x:v>
      </x:c>
      <x:c r="AF399" s="21" t="str"/>
      <x:c r="AG399" s="24" t="n">
        <x:v>46260</x:v>
      </x:c>
      <x:c r="AH399" s="21" t="str"/>
      <x:c r="AI399" s="21" t="n">
        <x:v>1</x:v>
      </x:c>
      <x:c r="AJ399" s="21" t="str">
        <x:v>未评估（本事件表不建立热浪因果关系）</x:v>
      </x:c>
      <x:c r="AK399" s="21" t="str">
        <x:v>缺失/待核实</x:v>
      </x:c>
    </x:row>
    <x:row r="400" ht="42" customHeight="1">
      <x:c r="A400" s="33" t="n">
        <x:v>399</x:v>
      </x:c>
      <x:c r="B400" s="33" t="str">
        <x:v>RAW-0399</x:v>
      </x:c>
      <x:c r="C400" s="36" t="str">
        <x:v>欧洲</x:v>
      </x:c>
      <x:c r="D400" s="36" t="str">
        <x:v>France</x:v>
      </x:c>
      <x:c r="E400" s="21" t="str">
        <x:v>Tours, Indre-et-Loire</x:v>
      </x:c>
      <x:c r="F400" s="21" t="str">
        <x:v>18 Jardin de Guillaume Bouzignac/18 Mail Gustave Flaubert fire</x:v>
      </x:c>
      <x:c r="G400" s="39" t="n">
        <x:v>45940</x:v>
      </x:c>
      <x:c r="H400" s="21" t="str">
        <x:v>18 Jardin de Guillaume Bouzignac/18 Mail Gustave Flaubert高层建筑火灾；建筑高度记录为 60 m。死亡人数：1。</x:v>
      </x:c>
      <x:c r="I400" s="21" t="str">
        <x:v>未检索到/待核实</x:v>
      </x:c>
      <x:c r="J400" s="21" t="str">
        <x:v>死亡人数：1。</x:v>
      </x:c>
      <x:c r="K400" s="21" t="str">
        <x:v>https://www.lanouvellerepublique.fr/tours/incendie-dans-un-appartement-du-quartier-bouzignac-a-tours-une-personne-retrouvee-decedee-1760119673</x:v>
      </x:c>
      <x:c r="L400" s="27"/>
      <x:c r="M400" s="27"/>
      <x:c r="N400" s="21" t="str">
        <x:v>未提供坐标</x:v>
      </x:c>
      <x:c r="O400" s="21" t="str">
        <x:v>高层建筑火灾</x:v>
      </x:c>
      <x:c r="P400" s="21" t="str">
        <x:v>未检索到</x:v>
      </x:c>
      <x:c r="Q400" s="21" t="str">
        <x:v>60 m</x:v>
      </x:c>
      <x:c r="R400" s="21" t="str">
        <x:v>未检索到</x:v>
      </x:c>
      <x:c r="S400" s="21" t="str">
        <x:v>未检索到</x:v>
      </x:c>
      <x:c r="T400" s="42" t="n">
        <x:v>1</x:v>
      </x:c>
      <x:c r="U400" s="42"/>
      <x:c r="V400" s="42"/>
      <x:c r="W400" s="33" t="str">
        <x:v>C</x:v>
      </x:c>
      <x:c r="X400" s="33" t="str">
        <x:v>compendium_needs_independent_verification</x:v>
      </x:c>
      <x:c r="Y400" s="33" t="str">
        <x:v>候选待核实</x:v>
      </x:c>
      <x:c r="Z400" s="21" t="str">
        <x:v>Wikipedia高层建筑专题表；需补充独立来源核验</x:v>
      </x:c>
      <x:c r="AA400" s="21" t="str">
        <x:v>List of fires in high-rise buildings</x:v>
      </x:c>
      <x:c r="AB400" s="21" t="str">
        <x:v>Wikipedia专题列表</x:v>
      </x:c>
      <x:c r="AC400" s="21" t="str"/>
      <x:c r="AD400" s="21" t="n">
        <x:v>1</x:v>
      </x:c>
      <x:c r="AE400" s="21" t="str">
        <x:v>未检查</x:v>
      </x:c>
      <x:c r="AF400" s="21" t="str"/>
      <x:c r="AG400" s="24" t="n">
        <x:v>46260</x:v>
      </x:c>
      <x:c r="AH400" s="21" t="str"/>
      <x:c r="AI400" s="21" t="n">
        <x:v>1</x:v>
      </x:c>
      <x:c r="AJ400" s="21" t="str">
        <x:v>未评估（本事件表不建立热浪因果关系）</x:v>
      </x:c>
      <x:c r="AK400" s="21" t="str">
        <x:v>缺失/待核实</x:v>
      </x:c>
    </x:row>
    <x:row r="401" ht="42" customHeight="1">
      <x:c r="A401" s="33" t="n">
        <x:v>400</x:v>
      </x:c>
      <x:c r="B401" s="33" t="str">
        <x:v>RAW-0400</x:v>
      </x:c>
      <x:c r="C401" s="36" t="str">
        <x:v>欧洲</x:v>
      </x:c>
      <x:c r="D401" s="36" t="str">
        <x:v>Bosnia and Herzegovina</x:v>
      </x:c>
      <x:c r="E401" s="21" t="str">
        <x:v>Tuzla</x:v>
      </x:c>
      <x:c r="F401" s="21" t="str">
        <x:v>Tuzla retirement home fire</x:v>
      </x:c>
      <x:c r="G401" s="39" t="n">
        <x:v>45965</x:v>
      </x:c>
      <x:c r="H401" s="21" t="str">
        <x:v>Tuzla Retirement Home高层建筑火灾；建筑高度记录为 未列明。死亡人数：17。Tuzla retirement home fire</x:v>
      </x:c>
      <x:c r="I401" s="21" t="str">
        <x:v>未检索到/待核实</x:v>
      </x:c>
      <x:c r="J401" s="21" t="str">
        <x:v>死亡人数：17。Tuzla retirement home fire</x:v>
      </x:c>
      <x:c r="K401" s="21" t="str">
        <x:v>https://en.wikipedia.org/wiki/Tuzla_retirement_home_fire</x:v>
      </x:c>
      <x:c r="L401" s="27"/>
      <x:c r="M401" s="27"/>
      <x:c r="N401" s="21" t="str">
        <x:v>未提供坐标</x:v>
      </x:c>
      <x:c r="O401" s="21" t="str">
        <x:v>高层建筑火灾</x:v>
      </x:c>
      <x:c r="P401" s="21" t="str">
        <x:v>未检索到</x:v>
      </x:c>
      <x:c r="Q401" s="21" t="str">
        <x:v>未检索到</x:v>
      </x:c>
      <x:c r="R401" s="21" t="str">
        <x:v>未检索到</x:v>
      </x:c>
      <x:c r="S401" s="21" t="str">
        <x:v>未检索到</x:v>
      </x:c>
      <x:c r="T401" s="42" t="n">
        <x:v>17</x:v>
      </x:c>
      <x:c r="U401" s="42"/>
      <x:c r="V401" s="42"/>
      <x:c r="W401" s="33" t="str">
        <x:v>B</x:v>
      </x:c>
      <x:c r="X401" s="33" t="str">
        <x:v>compendium_needs_independent_verification</x:v>
      </x:c>
      <x:c r="Y401" s="33" t="str">
        <x:v>候选待核实</x:v>
      </x:c>
      <x:c r="Z401" s="21" t="str">
        <x:v>Wikipedia具名事件页+高层建筑专题表</x:v>
      </x:c>
      <x:c r="AA401" s="21" t="str">
        <x:v>List of fires in high-rise buildings</x:v>
      </x:c>
      <x:c r="AB401" s="21" t="str">
        <x:v>Wikipedia专题列表</x:v>
      </x:c>
      <x:c r="AC401" s="21" t="str"/>
      <x:c r="AD401" s="21" t="n">
        <x:v>1</x:v>
      </x:c>
      <x:c r="AE401" s="21" t="str">
        <x:v>未检查</x:v>
      </x:c>
      <x:c r="AF401" s="21" t="str"/>
      <x:c r="AG401" s="24" t="n">
        <x:v>46260</x:v>
      </x:c>
      <x:c r="AH401" s="21" t="str"/>
      <x:c r="AI401" s="21" t="n">
        <x:v>1</x:v>
      </x:c>
      <x:c r="AJ401" s="21" t="str">
        <x:v>未评估（本事件表不建立热浪因果关系）</x:v>
      </x:c>
      <x:c r="AK401" s="21" t="str">
        <x:v>缺失/待核实</x:v>
      </x:c>
    </x:row>
    <x:row r="402" ht="42" customHeight="1">
      <x:c r="A402" s="33" t="n">
        <x:v>401</x:v>
      </x:c>
      <x:c r="B402" s="33" t="str">
        <x:v>RAW-0401</x:v>
      </x:c>
      <x:c r="C402" s="36" t="str">
        <x:v>欧洲</x:v>
      </x:c>
      <x:c r="D402" s="36" t="str">
        <x:v>Croatia</x:v>
      </x:c>
      <x:c r="E402" s="21" t="str">
        <x:v>Zagreb</x:v>
      </x:c>
      <x:c r="F402" s="21" t="str">
        <x:v>Vjesnik Building fire</x:v>
      </x:c>
      <x:c r="G402" s="39" t="n">
        <x:v>45978</x:v>
      </x:c>
      <x:c r="H402" s="21" t="str">
        <x:v>Vjesnik Building高层建筑火灾；建筑高度记录为 未列明。死亡人数：0。Fire started at the 15th floor by high school students. The building was vacant at the time of the fire, and will be demolished.</x:v>
      </x:c>
      <x:c r="I402" s="21" t="str">
        <x:v>Fire started at the 15th floor by high school students.</x:v>
      </x:c>
      <x:c r="J402" s="21" t="str">
        <x:v>死亡人数：0。Fire started at the 15th floor by high school students. The building was vacant at the time of the fire, and will be demolished.</x:v>
      </x:c>
      <x:c r="K402" s="21" t="str">
        <x:v>https://balkaninsight.com/2025/11/26/up-in-smoke-vjesnik-fire-symbolises-end-of-croatian-journalisms-golden-age/</x:v>
      </x:c>
      <x:c r="L402" s="27"/>
      <x:c r="M402" s="27"/>
      <x:c r="N402" s="21" t="str">
        <x:v>未提供坐标</x:v>
      </x:c>
      <x:c r="O402" s="21" t="str">
        <x:v>高层建筑火灾</x:v>
      </x:c>
      <x:c r="P402" s="21" t="str">
        <x:v>未检索到</x:v>
      </x:c>
      <x:c r="Q402" s="21" t="str">
        <x:v>未检索到</x:v>
      </x:c>
      <x:c r="R402" s="21" t="str">
        <x:v>未检索到</x:v>
      </x:c>
      <x:c r="S402" s="21" t="str">
        <x:v>未检索到</x:v>
      </x:c>
      <x:c r="T402" s="42" t="n">
        <x:v>0</x:v>
      </x:c>
      <x:c r="U402" s="42"/>
      <x:c r="V402" s="42"/>
      <x:c r="W402" s="33" t="str">
        <x:v>C</x:v>
      </x:c>
      <x:c r="X402" s="33" t="str">
        <x:v>compendium_needs_independent_verification</x:v>
      </x:c>
      <x:c r="Y402" s="33" t="str">
        <x:v>候选待核实</x:v>
      </x:c>
      <x:c r="Z402" s="21" t="str">
        <x:v>Wikipedia高层建筑专题表；需补充独立来源核验</x:v>
      </x:c>
      <x:c r="AA402" s="21" t="str">
        <x:v>List of fires in high-rise buildings</x:v>
      </x:c>
      <x:c r="AB402" s="21" t="str">
        <x:v>Wikipedia专题列表</x:v>
      </x:c>
      <x:c r="AC402" s="21" t="str"/>
      <x:c r="AD402" s="21" t="n">
        <x:v>1</x:v>
      </x:c>
      <x:c r="AE402" s="21" t="str">
        <x:v>未检查</x:v>
      </x:c>
      <x:c r="AF402" s="21" t="str"/>
      <x:c r="AG402" s="24" t="n">
        <x:v>46260</x:v>
      </x:c>
      <x:c r="AH402" s="21" t="str"/>
      <x:c r="AI402" s="21" t="n">
        <x:v>1</x:v>
      </x:c>
      <x:c r="AJ402" s="21" t="str">
        <x:v>未评估（本事件表不建立热浪因果关系）</x:v>
      </x:c>
      <x:c r="AK402" s="21" t="str">
        <x:v>已有来源描述</x:v>
      </x:c>
    </x:row>
    <x:row r="403" ht="42" customHeight="1">
      <x:c r="A403" s="33" t="n">
        <x:v>402</x:v>
      </x:c>
      <x:c r="B403" s="33" t="str">
        <x:v>RAW-0402</x:v>
      </x:c>
      <x:c r="C403" s="36" t="str">
        <x:v>亚洲</x:v>
      </x:c>
      <x:c r="D403" s="36" t="str">
        <x:v>Hong Kong</x:v>
      </x:c>
      <x:c r="E403" s="21" t="str">
        <x:v>Tai Po</x:v>
      </x:c>
      <x:c r="F403" s="21" t="str">
        <x:v>Wang Fuk Court fire</x:v>
      </x:c>
      <x:c r="G403" s="39" t="n">
        <x:v>45987</x:v>
      </x:c>
      <x:c r="H403" s="21" t="str">
        <x:v>Wang Fuk Court高层建筑火灾；建筑高度记录为 93-108.5 m。死亡人数：168。Wang Fuk Court fire Deadliest apartment fire in history[citation needed]</x:v>
      </x:c>
      <x:c r="I403" s="21" t="str">
        <x:v>未检索到/待核实</x:v>
      </x:c>
      <x:c r="J403" s="21" t="str">
        <x:v>死亡人数：168。Wang Fuk Court fire Deadliest apartment fire in history[citation needed]</x:v>
      </x:c>
      <x:c r="K403" s="21" t="str">
        <x:v>https://en.wikipedia.org/wiki/Wang_Fuk_Court_fire</x:v>
      </x:c>
      <x:c r="L403" s="27"/>
      <x:c r="M403" s="27"/>
      <x:c r="N403" s="21" t="str">
        <x:v>未提供坐标</x:v>
      </x:c>
      <x:c r="O403" s="21" t="str">
        <x:v>高层建筑火灾</x:v>
      </x:c>
      <x:c r="P403" s="21" t="str">
        <x:v>未检索到</x:v>
      </x:c>
      <x:c r="Q403" s="21" t="str">
        <x:v>93-108.5 m</x:v>
      </x:c>
      <x:c r="R403" s="21" t="str">
        <x:v>未检索到</x:v>
      </x:c>
      <x:c r="S403" s="21" t="str">
        <x:v>未检索到</x:v>
      </x:c>
      <x:c r="T403" s="42" t="n">
        <x:v>168</x:v>
      </x:c>
      <x:c r="U403" s="42"/>
      <x:c r="V403" s="42"/>
      <x:c r="W403" s="33" t="str">
        <x:v>B</x:v>
      </x:c>
      <x:c r="X403" s="33" t="str">
        <x:v>compendium_needs_independent_verification</x:v>
      </x:c>
      <x:c r="Y403" s="33" t="str">
        <x:v>候选待核实</x:v>
      </x:c>
      <x:c r="Z403" s="21" t="str">
        <x:v>Wikipedia具名事件页+高层建筑专题表</x:v>
      </x:c>
      <x:c r="AA403" s="21" t="str">
        <x:v>List of fires in high-rise buildings</x:v>
      </x:c>
      <x:c r="AB403" s="21" t="str">
        <x:v>Wikipedia专题列表</x:v>
      </x:c>
      <x:c r="AC403" s="21" t="str"/>
      <x:c r="AD403" s="21" t="n">
        <x:v>1</x:v>
      </x:c>
      <x:c r="AE403" s="21" t="str">
        <x:v>未检查</x:v>
      </x:c>
      <x:c r="AF403" s="21" t="str"/>
      <x:c r="AG403" s="24" t="n">
        <x:v>46260</x:v>
      </x:c>
      <x:c r="AH403" s="21" t="str"/>
      <x:c r="AI403" s="21" t="n">
        <x:v>1</x:v>
      </x:c>
      <x:c r="AJ403" s="21" t="str">
        <x:v>未评估（本事件表不建立热浪因果关系）</x:v>
      </x:c>
      <x:c r="AK403" s="21" t="str">
        <x:v>缺失/待核实</x:v>
      </x:c>
    </x:row>
    <x:row r="404" ht="42" customHeight="1">
      <x:c r="A404" s="33" t="n">
        <x:v>403</x:v>
      </x:c>
      <x:c r="B404" s="33" t="str">
        <x:v>RAW-0403</x:v>
      </x:c>
      <x:c r="C404" s="36" t="str">
        <x:v>北美洲</x:v>
      </x:c>
      <x:c r="D404" s="36" t="str">
        <x:v>Canada</x:v>
      </x:c>
      <x:c r="E404" s="21" t="str">
        <x:v>Toronto</x:v>
      </x:c>
      <x:c r="F404" s="21" t="str">
        <x:v>11 Thorncliffe Park Drive fire</x:v>
      </x:c>
      <x:c r="G404" s="39" t="n">
        <x:v>45988</x:v>
      </x:c>
      <x:c r="H404" s="21" t="str">
        <x:v>11 Thorncliffe Park Drive高层建筑火灾；建筑高度记录为 未列明。死亡人数：0。Stubborn 5-alarm fire burning inside walls and electrical conduit. All 408 units evacuated.</x:v>
      </x:c>
      <x:c r="I404" s="21" t="str">
        <x:v>Stubborn 5-alarm fire burning inside walls and electrical conduit.</x:v>
      </x:c>
      <x:c r="J404" s="21" t="str">
        <x:v>死亡人数：0。Stubborn 5-alarm fire burning inside walls and electrical conduit. All 408 units evacuated.</x:v>
      </x:c>
      <x:c r="K404" s="21" t="str">
        <x:v>https://www.ctvnews.ca/toronto/article/several-residents-of-two-thorncliffe-park-condos-displaced-as-crews-battle-stubborn-4-alarm-fire/</x:v>
      </x:c>
      <x:c r="L404" s="27"/>
      <x:c r="M404" s="27"/>
      <x:c r="N404" s="21" t="str">
        <x:v>未提供坐标</x:v>
      </x:c>
      <x:c r="O404" s="21" t="str">
        <x:v>高层建筑火灾</x:v>
      </x:c>
      <x:c r="P404" s="21" t="str">
        <x:v>未检索到</x:v>
      </x:c>
      <x:c r="Q404" s="21" t="str">
        <x:v>未检索到</x:v>
      </x:c>
      <x:c r="R404" s="21" t="str">
        <x:v>未检索到</x:v>
      </x:c>
      <x:c r="S404" s="21" t="str">
        <x:v>未检索到</x:v>
      </x:c>
      <x:c r="T404" s="42" t="n">
        <x:v>0</x:v>
      </x:c>
      <x:c r="U404" s="42"/>
      <x:c r="V404" s="42"/>
      <x:c r="W404" s="33" t="str">
        <x:v>C</x:v>
      </x:c>
      <x:c r="X404" s="33" t="str">
        <x:v>compendium_needs_independent_verification</x:v>
      </x:c>
      <x:c r="Y404" s="33" t="str">
        <x:v>候选待核实</x:v>
      </x:c>
      <x:c r="Z404" s="21" t="str">
        <x:v>Wikipedia高层建筑专题表；需补充独立来源核验</x:v>
      </x:c>
      <x:c r="AA404" s="21" t="str">
        <x:v>List of fires in high-rise buildings</x:v>
      </x:c>
      <x:c r="AB404" s="21" t="str">
        <x:v>Wikipedia专题列表</x:v>
      </x:c>
      <x:c r="AC404" s="21" t="str"/>
      <x:c r="AD404" s="21" t="n">
        <x:v>1</x:v>
      </x:c>
      <x:c r="AE404" s="21" t="str">
        <x:v>未检查</x:v>
      </x:c>
      <x:c r="AF404" s="21" t="str"/>
      <x:c r="AG404" s="24" t="n">
        <x:v>46260</x:v>
      </x:c>
      <x:c r="AH404" s="21" t="str"/>
      <x:c r="AI404" s="21" t="n">
        <x:v>1</x:v>
      </x:c>
      <x:c r="AJ404" s="21" t="str">
        <x:v>未评估（本事件表不建立热浪因果关系）</x:v>
      </x:c>
      <x:c r="AK404" s="21" t="str">
        <x:v>已有来源描述</x:v>
      </x:c>
    </x:row>
    <x:row r="405" ht="42" customHeight="1">
      <x:c r="A405" s="33" t="n">
        <x:v>404</x:v>
      </x:c>
      <x:c r="B405" s="33" t="str">
        <x:v>RAW-0404</x:v>
      </x:c>
      <x:c r="C405" s="36" t="str">
        <x:v>亚洲</x:v>
      </x:c>
      <x:c r="D405" s="36" t="str">
        <x:v>Bahrain</x:v>
      </x:c>
      <x:c r="E405" s="21" t="str">
        <x:v>Manama</x:v>
      </x:c>
      <x:c r="F405" s="21" t="str">
        <x:v>Era View Tower fire</x:v>
      </x:c>
      <x:c r="G405" s="39" t="n">
        <x:v>46081</x:v>
      </x:c>
      <x:c r="H405" s="21" t="str">
        <x:v>Era View Tower高层建筑火灾；建筑高度记录为 未列明。死亡人数：0。Fire following an Iranian suicide drone attack</x:v>
      </x:c>
      <x:c r="I405" s="21" t="str">
        <x:v>未检索到/待核实</x:v>
      </x:c>
      <x:c r="J405" s="21" t="str">
        <x:v>死亡人数：0。Fire following an Iranian suicide drone attack</x:v>
      </x:c>
      <x:c r="K405" s="21" t="str">
        <x:v>https://en.wikipedia.org/wiki/List_of_fires_in_high-rise_buildings</x:v>
      </x:c>
      <x:c r="L405" s="27"/>
      <x:c r="M405" s="27"/>
      <x:c r="N405" s="21" t="str">
        <x:v>未提供坐标</x:v>
      </x:c>
      <x:c r="O405" s="21" t="str">
        <x:v>高层建筑火灾</x:v>
      </x:c>
      <x:c r="P405" s="21" t="str">
        <x:v>未检索到</x:v>
      </x:c>
      <x:c r="Q405" s="21" t="str">
        <x:v>未检索到</x:v>
      </x:c>
      <x:c r="R405" s="21" t="str">
        <x:v>未检索到</x:v>
      </x:c>
      <x:c r="S405" s="21" t="str">
        <x:v>未检索到</x:v>
      </x:c>
      <x:c r="T405" s="42" t="n">
        <x:v>0</x:v>
      </x:c>
      <x:c r="U405" s="42"/>
      <x:c r="V405" s="42"/>
      <x:c r="W405" s="33" t="str">
        <x:v>C</x:v>
      </x:c>
      <x:c r="X405" s="33" t="str">
        <x:v>compendium_needs_independent_verification</x:v>
      </x:c>
      <x:c r="Y405" s="33" t="str">
        <x:v>候选待核实</x:v>
      </x:c>
      <x:c r="Z405" s="21" t="str">
        <x:v>Wikipedia高层建筑专题表；需补充独立来源核验</x:v>
      </x:c>
      <x:c r="AA405" s="21" t="str">
        <x:v>List of fires in high-rise buildings</x:v>
      </x:c>
      <x:c r="AB405" s="21" t="str">
        <x:v>Wikipedia专题列表</x:v>
      </x:c>
      <x:c r="AC405" s="21" t="str"/>
      <x:c r="AD405" s="21" t="n">
        <x:v>1</x:v>
      </x:c>
      <x:c r="AE405" s="21" t="str">
        <x:v>未检查</x:v>
      </x:c>
      <x:c r="AF405" s="21" t="str"/>
      <x:c r="AG405" s="24" t="n">
        <x:v>46260</x:v>
      </x:c>
      <x:c r="AH405" s="21" t="str"/>
      <x:c r="AI405" s="21" t="n">
        <x:v>1</x:v>
      </x:c>
      <x:c r="AJ405" s="21" t="str">
        <x:v>未评估（本事件表不建立热浪因果关系）</x:v>
      </x:c>
      <x:c r="AK405" s="21" t="str">
        <x:v>缺失/待核实</x:v>
      </x:c>
    </x:row>
    <x:row r="406" ht="42" customHeight="1">
      <x:c r="A406" s="33" t="n">
        <x:v>405</x:v>
      </x:c>
      <x:c r="B406" s="33" t="str">
        <x:v>RAW-0405</x:v>
      </x:c>
      <x:c r="C406" s="36" t="str">
        <x:v>亚洲</x:v>
      </x:c>
      <x:c r="D406" s="36" t="str">
        <x:v>United Arab Emirates</x:v>
      </x:c>
      <x:c r="E406" s="21" t="str">
        <x:v>Dubai</x:v>
      </x:c>
      <x:c r="F406" s="21" t="str">
        <x:v>Burj Al Arab fire</x:v>
      </x:c>
      <x:c r="G406" s="39" t="n">
        <x:v>46082</x:v>
      </x:c>
      <x:c r="H406" s="21" t="str">
        <x:v>Burj Al Arab高层建筑火灾；建筑高度记录为 321 m。死亡人数：0。Fire following an Iranian suicide drone attack</x:v>
      </x:c>
      <x:c r="I406" s="21" t="str">
        <x:v>未检索到/待核实</x:v>
      </x:c>
      <x:c r="J406" s="21" t="str">
        <x:v>死亡人数：0。Fire following an Iranian suicide drone attack</x:v>
      </x:c>
      <x:c r="K406" s="21" t="str">
        <x:v>https://en.wikipedia.org/wiki/List_of_fires_in_high-rise_buildings</x:v>
      </x:c>
      <x:c r="L406" s="27"/>
      <x:c r="M406" s="27"/>
      <x:c r="N406" s="21" t="str">
        <x:v>未提供坐标</x:v>
      </x:c>
      <x:c r="O406" s="21" t="str">
        <x:v>高层建筑火灾</x:v>
      </x:c>
      <x:c r="P406" s="21" t="str">
        <x:v>未检索到</x:v>
      </x:c>
      <x:c r="Q406" s="21" t="str">
        <x:v>321 m</x:v>
      </x:c>
      <x:c r="R406" s="21" t="str">
        <x:v>未检索到</x:v>
      </x:c>
      <x:c r="S406" s="21" t="str">
        <x:v>未检索到</x:v>
      </x:c>
      <x:c r="T406" s="42" t="n">
        <x:v>0</x:v>
      </x:c>
      <x:c r="U406" s="42"/>
      <x:c r="V406" s="42"/>
      <x:c r="W406" s="33" t="str">
        <x:v>C</x:v>
      </x:c>
      <x:c r="X406" s="33" t="str">
        <x:v>compendium_needs_independent_verification</x:v>
      </x:c>
      <x:c r="Y406" s="33" t="str">
        <x:v>候选待核实</x:v>
      </x:c>
      <x:c r="Z406" s="21" t="str">
        <x:v>Wikipedia高层建筑专题表；需补充独立来源核验</x:v>
      </x:c>
      <x:c r="AA406" s="21" t="str">
        <x:v>List of fires in high-rise buildings</x:v>
      </x:c>
      <x:c r="AB406" s="21" t="str">
        <x:v>Wikipedia专题列表</x:v>
      </x:c>
      <x:c r="AC406" s="21" t="str"/>
      <x:c r="AD406" s="21" t="n">
        <x:v>1</x:v>
      </x:c>
      <x:c r="AE406" s="21" t="str">
        <x:v>未检查</x:v>
      </x:c>
      <x:c r="AF406" s="21" t="str"/>
      <x:c r="AG406" s="24" t="n">
        <x:v>46260</x:v>
      </x:c>
      <x:c r="AH406" s="21" t="str"/>
      <x:c r="AI406" s="21" t="n">
        <x:v>1</x:v>
      </x:c>
      <x:c r="AJ406" s="21" t="str">
        <x:v>未评估（本事件表不建立热浪因果关系）</x:v>
      </x:c>
      <x:c r="AK406" s="21" t="str">
        <x:v>缺失/待核实</x:v>
      </x:c>
    </x:row>
    <x:row r="407" ht="42" customHeight="1">
      <x:c r="A407" s="33" t="n">
        <x:v>406</x:v>
      </x:c>
      <x:c r="B407" s="33" t="str">
        <x:v>RAW-0406</x:v>
      </x:c>
      <x:c r="C407" s="36" t="str">
        <x:v>亚洲</x:v>
      </x:c>
      <x:c r="D407" s="36" t="str">
        <x:v>Kuwait</x:v>
      </x:c>
      <x:c r="E407" s="21" t="str">
        <x:v>Kuwait City</x:v>
      </x:c>
      <x:c r="F407" s="21" t="str">
        <x:v>PIFSS Headquarters fire</x:v>
      </x:c>
      <x:c r="G407" s="39" t="n">
        <x:v>46089</x:v>
      </x:c>
      <x:c r="H407" s="21" t="str">
        <x:v>PIFSS Headquarters高层建筑火灾；建筑高度记录为 未列明。死亡人数：0。Fire following an Iranian suicide drone attack</x:v>
      </x:c>
      <x:c r="I407" s="21" t="str">
        <x:v>未检索到/待核实</x:v>
      </x:c>
      <x:c r="J407" s="21" t="str">
        <x:v>死亡人数：0。Fire following an Iranian suicide drone attack</x:v>
      </x:c>
      <x:c r="K407" s="21" t="str">
        <x:v>https://en.wikipedia.org/wiki/List_of_fires_in_high-rise_buildings</x:v>
      </x:c>
      <x:c r="L407" s="27"/>
      <x:c r="M407" s="27"/>
      <x:c r="N407" s="21" t="str">
        <x:v>未提供坐标</x:v>
      </x:c>
      <x:c r="O407" s="21" t="str">
        <x:v>高层建筑火灾</x:v>
      </x:c>
      <x:c r="P407" s="21" t="str">
        <x:v>未检索到</x:v>
      </x:c>
      <x:c r="Q407" s="21" t="str">
        <x:v>未检索到</x:v>
      </x:c>
      <x:c r="R407" s="21" t="str">
        <x:v>未检索到</x:v>
      </x:c>
      <x:c r="S407" s="21" t="str">
        <x:v>未检索到</x:v>
      </x:c>
      <x:c r="T407" s="42" t="n">
        <x:v>0</x:v>
      </x:c>
      <x:c r="U407" s="42"/>
      <x:c r="V407" s="42"/>
      <x:c r="W407" s="33" t="str">
        <x:v>C</x:v>
      </x:c>
      <x:c r="X407" s="33" t="str">
        <x:v>compendium_needs_independent_verification</x:v>
      </x:c>
      <x:c r="Y407" s="33" t="str">
        <x:v>候选待核实</x:v>
      </x:c>
      <x:c r="Z407" s="21" t="str">
        <x:v>Wikipedia高层建筑专题表；需补充独立来源核验</x:v>
      </x:c>
      <x:c r="AA407" s="21" t="str">
        <x:v>List of fires in high-rise buildings</x:v>
      </x:c>
      <x:c r="AB407" s="21" t="str">
        <x:v>Wikipedia专题列表</x:v>
      </x:c>
      <x:c r="AC407" s="21" t="str"/>
      <x:c r="AD407" s="21" t="n">
        <x:v>1</x:v>
      </x:c>
      <x:c r="AE407" s="21" t="str">
        <x:v>未检查</x:v>
      </x:c>
      <x:c r="AF407" s="21" t="str"/>
      <x:c r="AG407" s="24" t="n">
        <x:v>46260</x:v>
      </x:c>
      <x:c r="AH407" s="21" t="str"/>
      <x:c r="AI407" s="21" t="n">
        <x:v>1</x:v>
      </x:c>
      <x:c r="AJ407" s="21" t="str">
        <x:v>未评估（本事件表不建立热浪因果关系）</x:v>
      </x:c>
      <x:c r="AK407" s="21" t="str">
        <x:v>缺失/待核实</x:v>
      </x:c>
    </x:row>
    <x:row r="408" ht="42" customHeight="1">
      <x:c r="A408" s="33" t="n">
        <x:v>407</x:v>
      </x:c>
      <x:c r="B408" s="33" t="str">
        <x:v>RAW-0407</x:v>
      </x:c>
      <x:c r="C408" s="36" t="str">
        <x:v>亚洲</x:v>
      </x:c>
      <x:c r="D408" s="36" t="str">
        <x:v>United Arab Emirates</x:v>
      </x:c>
      <x:c r="E408" s="21" t="str">
        <x:v>Dubai</x:v>
      </x:c>
      <x:c r="F408" s="21" t="str">
        <x:v>Address Grand Creek Harbour Tower 2 fire</x:v>
      </x:c>
      <x:c r="G408" s="39" t="n">
        <x:v>46092</x:v>
      </x:c>
      <x:c r="H408" s="21" t="str">
        <x:v>Address Grand Creek Harbour Tower 2高层建筑火灾；建筑高度记录为 266 m。死亡人数：0。Fire following an Iranian suicide drone attack</x:v>
      </x:c>
      <x:c r="I408" s="21" t="str">
        <x:v>未检索到/待核实</x:v>
      </x:c>
      <x:c r="J408" s="21" t="str">
        <x:v>死亡人数：0。Fire following an Iranian suicide drone attack</x:v>
      </x:c>
      <x:c r="K408" s="21" t="str">
        <x:v>https://en.wikipedia.org/wiki/List_of_fires_in_high-rise_buildings</x:v>
      </x:c>
      <x:c r="L408" s="27"/>
      <x:c r="M408" s="27"/>
      <x:c r="N408" s="21" t="str">
        <x:v>未提供坐标</x:v>
      </x:c>
      <x:c r="O408" s="21" t="str">
        <x:v>高层建筑火灾</x:v>
      </x:c>
      <x:c r="P408" s="21" t="str">
        <x:v>未检索到</x:v>
      </x:c>
      <x:c r="Q408" s="21" t="str">
        <x:v>266 m</x:v>
      </x:c>
      <x:c r="R408" s="21" t="str">
        <x:v>未检索到</x:v>
      </x:c>
      <x:c r="S408" s="21" t="str">
        <x:v>未检索到</x:v>
      </x:c>
      <x:c r="T408" s="42" t="n">
        <x:v>0</x:v>
      </x:c>
      <x:c r="U408" s="42"/>
      <x:c r="V408" s="42"/>
      <x:c r="W408" s="33" t="str">
        <x:v>C</x:v>
      </x:c>
      <x:c r="X408" s="33" t="str">
        <x:v>compendium_needs_independent_verification</x:v>
      </x:c>
      <x:c r="Y408" s="33" t="str">
        <x:v>候选待核实</x:v>
      </x:c>
      <x:c r="Z408" s="21" t="str">
        <x:v>Wikipedia高层建筑专题表；需补充独立来源核验</x:v>
      </x:c>
      <x:c r="AA408" s="21" t="str">
        <x:v>List of fires in high-rise buildings</x:v>
      </x:c>
      <x:c r="AB408" s="21" t="str">
        <x:v>Wikipedia专题列表</x:v>
      </x:c>
      <x:c r="AC408" s="21" t="str"/>
      <x:c r="AD408" s="21" t="n">
        <x:v>1</x:v>
      </x:c>
      <x:c r="AE408" s="21" t="str">
        <x:v>未检查</x:v>
      </x:c>
      <x:c r="AF408" s="21" t="str"/>
      <x:c r="AG408" s="24" t="n">
        <x:v>46260</x:v>
      </x:c>
      <x:c r="AH408" s="21" t="str"/>
      <x:c r="AI408" s="21" t="n">
        <x:v>1</x:v>
      </x:c>
      <x:c r="AJ408" s="21" t="str">
        <x:v>未评估（本事件表不建立热浪因果关系）</x:v>
      </x:c>
      <x:c r="AK408" s="21" t="str">
        <x:v>缺失/待核实</x:v>
      </x:c>
    </x:row>
    <x:row r="409" ht="42" customHeight="1">
      <x:c r="A409" s="34" t="n">
        <x:v>408</x:v>
      </x:c>
      <x:c r="B409" s="34" t="str">
        <x:v>RAW-0408</x:v>
      </x:c>
      <x:c r="C409" s="37" t="str">
        <x:v>北美洲</x:v>
      </x:c>
      <x:c r="D409" s="37" t="str">
        <x:v>United States</x:v>
      </x:c>
      <x:c r="E409" s="22" t="str">
        <x:v>New York City</x:v>
      </x:c>
      <x:c r="F409" s="22" t="str">
        <x:v>6 East 43rd Street fire</x:v>
      </x:c>
      <x:c r="G409" s="40" t="n">
        <x:v>46098</x:v>
      </x:c>
      <x:c r="H409" s="22" t="str">
        <x:v>6 East 43rd Street高层建筑火灾；建筑高度记录为 未列明。死亡人数：0。Fire started in an HVAC system on the roof. Building was in the New York City St. Patrick's Day Parade's route.</x:v>
      </x:c>
      <x:c r="I409" s="22" t="str">
        <x:v>Fire started in an HVAC system on the roof.</x:v>
      </x:c>
      <x:c r="J409" s="22" t="str">
        <x:v>死亡人数：0。Fire started in an HVAC system on the roof. Building was in the New York City St. Patrick's Day Parade's route.</x:v>
      </x:c>
      <x:c r="K409" s="22" t="str">
        <x:v>https://www.fox5ny.com/news/fire-erupts-near-parade-route-midtown</x:v>
      </x:c>
      <x:c r="L409" s="28"/>
      <x:c r="M409" s="28"/>
      <x:c r="N409" s="22" t="str">
        <x:v>未提供坐标</x:v>
      </x:c>
      <x:c r="O409" s="22" t="str">
        <x:v>高层建筑火灾</x:v>
      </x:c>
      <x:c r="P409" s="22" t="str">
        <x:v>未检索到</x:v>
      </x:c>
      <x:c r="Q409" s="22" t="str">
        <x:v>未检索到</x:v>
      </x:c>
      <x:c r="R409" s="22" t="str">
        <x:v>未检索到</x:v>
      </x:c>
      <x:c r="S409" s="22" t="str">
        <x:v>未检索到</x:v>
      </x:c>
      <x:c r="T409" s="43" t="n">
        <x:v>0</x:v>
      </x:c>
      <x:c r="U409" s="43"/>
      <x:c r="V409" s="43"/>
      <x:c r="W409" s="34" t="str">
        <x:v>C</x:v>
      </x:c>
      <x:c r="X409" s="34" t="str">
        <x:v>compendium_needs_independent_verification</x:v>
      </x:c>
      <x:c r="Y409" s="34" t="str">
        <x:v>候选待核实</x:v>
      </x:c>
      <x:c r="Z409" s="22" t="str">
        <x:v>Wikipedia高层建筑专题表；需补充独立来源核验</x:v>
      </x:c>
      <x:c r="AA409" s="22" t="str">
        <x:v>List of fires in high-rise buildings</x:v>
      </x:c>
      <x:c r="AB409" s="22" t="str">
        <x:v>Wikipedia专题列表</x:v>
      </x:c>
      <x:c r="AC409" s="22" t="str"/>
      <x:c r="AD409" s="22" t="n">
        <x:v>1</x:v>
      </x:c>
      <x:c r="AE409" s="22" t="str">
        <x:v>未检查</x:v>
      </x:c>
      <x:c r="AF409" s="22" t="str"/>
      <x:c r="AG409" s="25" t="n">
        <x:v>46260</x:v>
      </x:c>
      <x:c r="AH409" s="22" t="str"/>
      <x:c r="AI409" s="22" t="n">
        <x:v>1</x:v>
      </x:c>
      <x:c r="AJ409" s="22" t="str">
        <x:v>未评估（本事件表不建立热浪因果关系）</x:v>
      </x:c>
      <x:c r="AK409" s="22" t="str">
        <x:v>已有来源描述</x:v>
      </x:c>
    </x:row>
  </x:sheetData>
  <x:conditionalFormatting sqref="Y2:Y409">
    <x:cfRule type="containsText" dxfId="8" priority="1" operator="containsText" text="严格确认"/>
    <x:cfRule type="containsText" dxfId="9" priority="2" operator="containsText" text="专题汇编"/>
    <x:cfRule type="containsText" dxfId="10" priority="3" operator="containsText" text="候选"/>
    <x:cfRule type="containsText" dxfId="11" priority="4" operator="containsText" text="排除"/>
  </x:conditionalFormatting>
  <x:conditionalFormatting sqref="AE2:AE409">
    <x:cfRule type="beginsWith" dxfId="12" priority="5" operator="beginsWith" text="可访问"/>
    <x:cfRule type="beginsWith" dxfId="13" priority="6" operator="beginsWith" text="受限"/>
    <x:cfRule type="containsText" dxfId="14" priority="7" operator="containsText" text="错误"/>
    <x:cfRule type="containsText" dxfId="15" priority="8" operator="containsText" text="失败"/>
  </x:conditionalFormatting>
  <x:pageMargins left="0.7" right="0.7" top="0.75" bottom="0.75" header="0.3" footer="0.3"/>
  <x:tableParts count="1">
    <x:tablePart xmlns:r="http://schemas.openxmlformats.org/officeDocument/2006/relationships" r:id="Rb7458fe5162144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16" hidden="0" customWidth="1"/>
    <x:col min="4" max="4" width="24" hidden="0" customWidth="1"/>
    <x:col min="5" max="5" width="16" hidden="0" customWidth="1"/>
    <x:col min="6" max="6" width="18" hidden="0" customWidth="1"/>
    <x:col min="7" max="7" width="26" hidden="0" customWidth="1"/>
  </x:cols>
  <x:sheetData>
    <x:row r="1" ht="34" customHeight="1">
      <x:c r="A1" s="47" t="str">
        <x:v>全球城市高层建筑火灾事件数据库：覆盖与质量概览</x:v>
      </x:c>
      <x:c r="B1" s="47"/>
      <x:c r="C1" s="47"/>
      <x:c r="D1" s="47"/>
      <x:c r="E1" s="47"/>
      <x:c r="F1" s="47"/>
      <x:c r="G1" s="47"/>
    </x:row>
    <x:row r="2" ht="28" customHeight="1">
      <x:c r="A2" s="50" t="str">
        <x:v>检索期：2000-01-01至2026-08-26；严格范围为城市高层建筑火灾，纯野火和普通低层火灾已排除。</x:v>
      </x:c>
      <x:c r="B2" s="50"/>
      <x:c r="C2" s="50"/>
      <x:c r="D2" s="50"/>
      <x:c r="E2" s="50"/>
      <x:c r="F2" s="50"/>
      <x:c r="G2" s="50"/>
    </x:row>
    <x:row r="4" ht="28" customHeight="1">
      <x:c r="A4" s="54" t="str">
        <x:v>去重主表行数</x:v>
      </x:c>
      <x:c r="B4" s="58" t="n">
        <x:f>COUNTA('事件主表'!$B$2:$B$173)</x:f>
        <x:v>172</x:v>
      </x:c>
      <x:c r="D4" s="64" t="str">
        <x:v>状态分组</x:v>
      </x:c>
      <x:c r="E4" s="64" t="str">
        <x:v>记录数</x:v>
      </x:c>
      <x:c r="F4" s="64" t="str">
        <x:v>含义</x:v>
      </x:c>
      <x:c r="G4" s="64" t="str">
        <x:v>是否可直接用于统计</x:v>
      </x:c>
    </x:row>
    <x:row r="5">
      <x:c r="A5" s="54" t="str">
        <x:v>独立事件计数</x:v>
      </x:c>
      <x:c r="B5" s="58" t="n">
        <x:f>SUM('事件主表'!$AI$2:$AI$173)</x:f>
        <x:v>172</x:v>
      </x:c>
      <x:c r="D5" s="65" t="str">
        <x:v>严格确认</x:v>
      </x:c>
      <x:c r="E5" s="61" t="n">
        <x:v>41</x:v>
      </x:c>
      <x:c r="F5" s="61" t="str">
        <x:v>高层属性和事件来源较明确</x:v>
      </x:c>
      <x:c r="G5" s="61" t="str">
        <x:v>可用，仍建议回看原文</x:v>
      </x:c>
    </x:row>
    <x:row r="6">
      <x:c r="A6" s="54" t="str">
        <x:v>严格确认事件</x:v>
      </x:c>
      <x:c r="B6" s="58" t="n">
        <x:f>SUMIFS('事件主表'!$AI$2:$AI$173,'事件主表'!$Y$2:$Y$173,"严格确认")</x:f>
        <x:v>41</x:v>
      </x:c>
      <x:c r="D6" s="65" t="str">
        <x:v>确认但有待复核字段</x:v>
      </x:c>
      <x:c r="E6" s="61" t="n">
        <x:v>5</x:v>
      </x:c>
      <x:c r="F6" s="61" t="str">
        <x:v>事件确认，但楼层/日期/伤亡等字段仍有差异</x:v>
      </x:c>
      <x:c r="G6" s="61" t="str">
        <x:v>谨慎使用</x:v>
      </x:c>
    </x:row>
    <x:row r="7">
      <x:c r="A7" s="54" t="str">
        <x:v>有坐标记录</x:v>
      </x:c>
      <x:c r="B7" s="58" t="n">
        <x:f>COUNTIFS('事件主表'!$L$2:$L$173,"&lt;&gt;",'事件主表'!$M$2:$M$173,"&lt;&gt;")</x:f>
        <x:v>162</x:v>
      </x:c>
      <x:c r="D7" s="65" t="str">
        <x:v>专题汇编记录</x:v>
      </x:c>
      <x:c r="E7" s="61" t="n">
        <x:v>117</x:v>
      </x:c>
      <x:c r="F7" s="61" t="str">
        <x:v>来自高层火灾专题表，未完成逐事件独立核验</x:v>
      </x:c>
      <x:c r="G7" s="61" t="str">
        <x:v>只作候选发现</x:v>
      </x:c>
    </x:row>
    <x:row r="8">
      <x:c r="A8" s="54" t="str">
        <x:v>原因缺失/待核实</x:v>
      </x:c>
      <x:c r="B8" s="58" t="n">
        <x:f>COUNTIF('事件主表'!$AK$2:$AK$173,"缺失/待核实")</x:f>
        <x:v>99</x:v>
      </x:c>
      <x:c r="D8" s="65" t="str">
        <x:v>候选待核实</x:v>
      </x:c>
      <x:c r="E8" s="61" t="n">
        <x:v>7</x:v>
      </x:c>
      <x:c r="F8" s="61" t="str">
        <x:v>尚缺独立来源或高层证据</x:v>
      </x:c>
      <x:c r="G8" s="61" t="str">
        <x:v>不可直接统计</x:v>
      </x:c>
    </x:row>
    <x:row r="9">
      <x:c r="A9" s="54" t="str">
        <x:v>全部候选来源URL</x:v>
      </x:c>
      <x:c r="B9" s="58" t="n">
        <x:v>139</x:v>
      </x:c>
      <x:c r="D9" s="65" t="str">
        <x:v>边界/建议排除</x:v>
      </x:c>
      <x:c r="E9" s="61" t="n">
        <x:v>2</x:v>
      </x:c>
      <x:c r="F9" s="61" t="str">
        <x:v>裙房、底部或未达到操作阈值等边界事件</x:v>
      </x:c>
      <x:c r="G9" s="61" t="str">
        <x:v>建议排除</x:v>
      </x:c>
    </x:row>
    <x:row r="10">
      <x:c r="A10" s="54" t="str">
        <x:v>可访问或受限URL</x:v>
      </x:c>
      <x:c r="B10" s="58" t="n">
        <x:v>122</x:v>
      </x:c>
    </x:row>
    <x:row r="12">
      <x:c r="A12" s="67" t="str">
        <x:v>年份</x:v>
      </x:c>
      <x:c r="B12" s="67" t="str">
        <x:v>洲</x:v>
      </x:c>
      <x:c r="C12" s="67" t="str">
        <x:v>全部独立事件</x:v>
      </x:c>
      <x:c r="D12" s="67" t="str">
        <x:v>严格确认</x:v>
      </x:c>
      <x:c r="E12" s="67" t="str">
        <x:v>有坐标</x:v>
      </x:c>
      <x:c r="F12" s="67" t="str">
        <x:v>距原20条目标</x:v>
      </x:c>
      <x:c r="G12" s="67" t="str">
        <x:v>覆盖状态</x:v>
      </x:c>
    </x:row>
    <x:row r="13">
      <x:c r="A13" s="68" t="n">
        <x:v>2000</x:v>
      </x:c>
      <x:c r="B13" s="68" t="str">
        <x:v>亚洲</x:v>
      </x:c>
      <x:c r="C13" s="69" t="n">
        <x:f>SUMIFS('事件主表'!$AI$2:$AI$173,'事件主表'!$C$2:$C$173,$B13,'事件主表'!$G$2:$G$173,"&gt;="&amp;DATE($A13,1,1),'事件主表'!$G$2:$G$173,"&lt;"&amp;DATE($A13+1,1,1))</x:f>
        <x:v>1</x:v>
      </x:c>
      <x:c r="D13" s="69" t="n">
        <x:f>SUMIFS('事件主表'!$AI$2:$AI$173,'事件主表'!$C$2:$C$173,$B13,'事件主表'!$Y$2:$Y$173,"严格确认",'事件主表'!$G$2:$G$173,"&gt;="&amp;DATE($A13,1,1),'事件主表'!$G$2:$G$173,"&lt;"&amp;DATE($A13+1,1,1))</x:f>
        <x:v>0</x:v>
      </x:c>
      <x:c r="E13" s="69" t="n">
        <x:f>SUMIFS('事件主表'!$AI$2:$AI$173,'事件主表'!$C$2:$C$173,$B13,'事件主表'!$L$2:$L$173,"&lt;&gt;",'事件主表'!$M$2:$M$173,"&lt;&gt;",'事件主表'!$G$2:$G$173,"&gt;="&amp;DATE($A13,1,1),'事件主表'!$G$2:$G$173,"&lt;"&amp;DATE($A13+1,1,1))</x:f>
        <x:v>1</x:v>
      </x:c>
      <x:c r="F13" s="69" t="n">
        <x:f>MAX(0,20-C13)</x:f>
        <x:v>19</x:v>
      </x:c>
      <x:c r="G13" s="67" t="str">
        <x:f>IF(C13=0,"无记录",IF(D13=0,"仅候选/汇编",IF(C13&lt;20,"已确认但不足原目标","达到原目标")))</x:f>
        <x:v>仅候选/汇编</x:v>
      </x:c>
    </x:row>
    <x:row r="14">
      <x:c r="A14" s="68" t="n">
        <x:v>2000</x:v>
      </x:c>
      <x:c r="B14" s="68" t="str">
        <x:v>欧洲</x:v>
      </x:c>
      <x:c r="C14" s="69" t="n">
        <x:f>SUMIFS('事件主表'!$AI$2:$AI$173,'事件主表'!$C$2:$C$173,$B14,'事件主表'!$G$2:$G$173,"&gt;="&amp;DATE($A14,1,1),'事件主表'!$G$2:$G$173,"&lt;"&amp;DATE($A14+1,1,1))</x:f>
        <x:v>1</x:v>
      </x:c>
      <x:c r="D14" s="69" t="n">
        <x:f>SUMIFS('事件主表'!$AI$2:$AI$173,'事件主表'!$C$2:$C$173,$B14,'事件主表'!$Y$2:$Y$173,"严格确认",'事件主表'!$G$2:$G$173,"&gt;="&amp;DATE($A14,1,1),'事件主表'!$G$2:$G$173,"&lt;"&amp;DATE($A14+1,1,1))</x:f>
        <x:v>0</x:v>
      </x:c>
      <x:c r="E14" s="69" t="n">
        <x:f>SUMIFS('事件主表'!$AI$2:$AI$173,'事件主表'!$C$2:$C$173,$B14,'事件主表'!$L$2:$L$173,"&lt;&gt;",'事件主表'!$M$2:$M$173,"&lt;&gt;",'事件主表'!$G$2:$G$173,"&gt;="&amp;DATE($A14,1,1),'事件主表'!$G$2:$G$173,"&lt;"&amp;DATE($A14+1,1,1))</x:f>
        <x:v>1</x:v>
      </x:c>
      <x:c r="F14" s="69" t="n">
        <x:f>MAX(0,20-C14)</x:f>
        <x:v>19</x:v>
      </x:c>
      <x:c r="G14" s="67" t="str">
        <x:f>IF(C14=0,"无记录",IF(D14=0,"仅候选/汇编",IF(C14&lt;20,"已确认但不足原目标","达到原目标")))</x:f>
        <x:v>仅候选/汇编</x:v>
      </x:c>
    </x:row>
    <x:row r="15">
      <x:c r="A15" s="68" t="n">
        <x:v>2000</x:v>
      </x:c>
      <x:c r="B15" s="68" t="str">
        <x:v>非洲</x:v>
      </x:c>
      <x:c r="C15" s="69" t="n">
        <x:f>SUMIFS('事件主表'!$AI$2:$AI$173,'事件主表'!$C$2:$C$173,$B15,'事件主表'!$G$2:$G$173,"&gt;="&amp;DATE($A15,1,1),'事件主表'!$G$2:$G$173,"&lt;"&amp;DATE($A15+1,1,1))</x:f>
        <x:v>0</x:v>
      </x:c>
      <x:c r="D15" s="69" t="n">
        <x:f>SUMIFS('事件主表'!$AI$2:$AI$173,'事件主表'!$C$2:$C$173,$B15,'事件主表'!$Y$2:$Y$173,"严格确认",'事件主表'!$G$2:$G$173,"&gt;="&amp;DATE($A15,1,1),'事件主表'!$G$2:$G$173,"&lt;"&amp;DATE($A15+1,1,1))</x:f>
        <x:v>0</x:v>
      </x:c>
      <x:c r="E15" s="69" t="n">
        <x:f>SUMIFS('事件主表'!$AI$2:$AI$173,'事件主表'!$C$2:$C$173,$B15,'事件主表'!$L$2:$L$173,"&lt;&gt;",'事件主表'!$M$2:$M$173,"&lt;&gt;",'事件主表'!$G$2:$G$173,"&gt;="&amp;DATE($A15,1,1),'事件主表'!$G$2:$G$173,"&lt;"&amp;DATE($A15+1,1,1))</x:f>
        <x:v>0</x:v>
      </x:c>
      <x:c r="F15" s="69" t="n">
        <x:f>MAX(0,20-C15)</x:f>
        <x:v>20</x:v>
      </x:c>
      <x:c r="G15" s="67" t="str">
        <x:f>IF(C15=0,"无记录",IF(D15=0,"仅候选/汇编",IF(C15&lt;20,"已确认但不足原目标","达到原目标")))</x:f>
        <x:v>无记录</x:v>
      </x:c>
    </x:row>
    <x:row r="16">
      <x:c r="A16" s="68" t="n">
        <x:v>2000</x:v>
      </x:c>
      <x:c r="B16" s="68" t="str">
        <x:v>北美洲</x:v>
      </x:c>
      <x:c r="C16" s="69" t="n">
        <x:f>SUMIFS('事件主表'!$AI$2:$AI$173,'事件主表'!$C$2:$C$173,$B16,'事件主表'!$G$2:$G$173,"&gt;="&amp;DATE($A16,1,1),'事件主表'!$G$2:$G$173,"&lt;"&amp;DATE($A16+1,1,1))</x:f>
        <x:v>0</x:v>
      </x:c>
      <x:c r="D16" s="69" t="n">
        <x:f>SUMIFS('事件主表'!$AI$2:$AI$173,'事件主表'!$C$2:$C$173,$B16,'事件主表'!$Y$2:$Y$173,"严格确认",'事件主表'!$G$2:$G$173,"&gt;="&amp;DATE($A16,1,1),'事件主表'!$G$2:$G$173,"&lt;"&amp;DATE($A16+1,1,1))</x:f>
        <x:v>0</x:v>
      </x:c>
      <x:c r="E16" s="69" t="n">
        <x:f>SUMIFS('事件主表'!$AI$2:$AI$173,'事件主表'!$C$2:$C$173,$B16,'事件主表'!$L$2:$L$173,"&lt;&gt;",'事件主表'!$M$2:$M$173,"&lt;&gt;",'事件主表'!$G$2:$G$173,"&gt;="&amp;DATE($A16,1,1),'事件主表'!$G$2:$G$173,"&lt;"&amp;DATE($A16+1,1,1))</x:f>
        <x:v>0</x:v>
      </x:c>
      <x:c r="F16" s="69" t="n">
        <x:f>MAX(0,20-C16)</x:f>
        <x:v>20</x:v>
      </x:c>
      <x:c r="G16" s="67" t="str">
        <x:f>IF(C16=0,"无记录",IF(D16=0,"仅候选/汇编",IF(C16&lt;20,"已确认但不足原目标","达到原目标")))</x:f>
        <x:v>无记录</x:v>
      </x:c>
    </x:row>
    <x:row r="17">
      <x:c r="A17" s="68" t="n">
        <x:v>2000</x:v>
      </x:c>
      <x:c r="B17" s="68" t="str">
        <x:v>南美洲</x:v>
      </x:c>
      <x:c r="C17" s="69" t="n">
        <x:f>SUMIFS('事件主表'!$AI$2:$AI$173,'事件主表'!$C$2:$C$173,$B17,'事件主表'!$G$2:$G$173,"&gt;="&amp;DATE($A17,1,1),'事件主表'!$G$2:$G$173,"&lt;"&amp;DATE($A17+1,1,1))</x:f>
        <x:v>0</x:v>
      </x:c>
      <x:c r="D17" s="69" t="n">
        <x:f>SUMIFS('事件主表'!$AI$2:$AI$173,'事件主表'!$C$2:$C$173,$B17,'事件主表'!$Y$2:$Y$173,"严格确认",'事件主表'!$G$2:$G$173,"&gt;="&amp;DATE($A17,1,1),'事件主表'!$G$2:$G$173,"&lt;"&amp;DATE($A17+1,1,1))</x:f>
        <x:v>0</x:v>
      </x:c>
      <x:c r="E17" s="69" t="n">
        <x:f>SUMIFS('事件主表'!$AI$2:$AI$173,'事件主表'!$C$2:$C$173,$B17,'事件主表'!$L$2:$L$173,"&lt;&gt;",'事件主表'!$M$2:$M$173,"&lt;&gt;",'事件主表'!$G$2:$G$173,"&gt;="&amp;DATE($A17,1,1),'事件主表'!$G$2:$G$173,"&lt;"&amp;DATE($A17+1,1,1))</x:f>
        <x:v>0</x:v>
      </x:c>
      <x:c r="F17" s="69" t="n">
        <x:f>MAX(0,20-C17)</x:f>
        <x:v>20</x:v>
      </x:c>
      <x:c r="G17" s="67" t="str">
        <x:f>IF(C17=0,"无记录",IF(D17=0,"仅候选/汇编",IF(C17&lt;20,"已确认但不足原目标","达到原目标")))</x:f>
        <x:v>无记录</x:v>
      </x:c>
    </x:row>
    <x:row r="18">
      <x:c r="A18" s="68" t="n">
        <x:v>2000</x:v>
      </x:c>
      <x:c r="B18" s="68" t="str">
        <x:v>大洋洲</x:v>
      </x:c>
      <x:c r="C18" s="69" t="n">
        <x:f>SUMIFS('事件主表'!$AI$2:$AI$173,'事件主表'!$C$2:$C$173,$B18,'事件主表'!$G$2:$G$173,"&gt;="&amp;DATE($A18,1,1),'事件主表'!$G$2:$G$173,"&lt;"&amp;DATE($A18+1,1,1))</x:f>
        <x:v>0</x:v>
      </x:c>
      <x:c r="D18" s="69" t="n">
        <x:f>SUMIFS('事件主表'!$AI$2:$AI$173,'事件主表'!$C$2:$C$173,$B18,'事件主表'!$Y$2:$Y$173,"严格确认",'事件主表'!$G$2:$G$173,"&gt;="&amp;DATE($A18,1,1),'事件主表'!$G$2:$G$173,"&lt;"&amp;DATE($A18+1,1,1))</x:f>
        <x:v>0</x:v>
      </x:c>
      <x:c r="E18" s="69" t="n">
        <x:f>SUMIFS('事件主表'!$AI$2:$AI$173,'事件主表'!$C$2:$C$173,$B18,'事件主表'!$L$2:$L$173,"&lt;&gt;",'事件主表'!$M$2:$M$173,"&lt;&gt;",'事件主表'!$G$2:$G$173,"&gt;="&amp;DATE($A18,1,1),'事件主表'!$G$2:$G$173,"&lt;"&amp;DATE($A18+1,1,1))</x:f>
        <x:v>0</x:v>
      </x:c>
      <x:c r="F18" s="69" t="n">
        <x:f>MAX(0,20-C18)</x:f>
        <x:v>20</x:v>
      </x:c>
      <x:c r="G18" s="67" t="str">
        <x:f>IF(C18=0,"无记录",IF(D18=0,"仅候选/汇编",IF(C18&lt;20,"已确认但不足原目标","达到原目标")))</x:f>
        <x:v>无记录</x:v>
      </x:c>
    </x:row>
    <x:row r="19">
      <x:c r="A19" s="68" t="n">
        <x:v>2001</x:v>
      </x:c>
      <x:c r="B19" s="68" t="str">
        <x:v>亚洲</x:v>
      </x:c>
      <x:c r="C19" s="69" t="n">
        <x:f>SUMIFS('事件主表'!$AI$2:$AI$173,'事件主表'!$C$2:$C$173,$B19,'事件主表'!$G$2:$G$173,"&gt;="&amp;DATE($A19,1,1),'事件主表'!$G$2:$G$173,"&lt;"&amp;DATE($A19+1,1,1))</x:f>
        <x:v>0</x:v>
      </x:c>
      <x:c r="D19" s="69" t="n">
        <x:f>SUMIFS('事件主表'!$AI$2:$AI$173,'事件主表'!$C$2:$C$173,$B19,'事件主表'!$Y$2:$Y$173,"严格确认",'事件主表'!$G$2:$G$173,"&gt;="&amp;DATE($A19,1,1),'事件主表'!$G$2:$G$173,"&lt;"&amp;DATE($A19+1,1,1))</x:f>
        <x:v>0</x:v>
      </x:c>
      <x:c r="E19" s="69" t="n">
        <x:f>SUMIFS('事件主表'!$AI$2:$AI$173,'事件主表'!$C$2:$C$173,$B19,'事件主表'!$L$2:$L$173,"&lt;&gt;",'事件主表'!$M$2:$M$173,"&lt;&gt;",'事件主表'!$G$2:$G$173,"&gt;="&amp;DATE($A19,1,1),'事件主表'!$G$2:$G$173,"&lt;"&amp;DATE($A19+1,1,1))</x:f>
        <x:v>0</x:v>
      </x:c>
      <x:c r="F19" s="69" t="n">
        <x:f>MAX(0,20-C19)</x:f>
        <x:v>20</x:v>
      </x:c>
      <x:c r="G19" s="67" t="str">
        <x:f>IF(C19=0,"无记录",IF(D19=0,"仅候选/汇编",IF(C19&lt;20,"已确认但不足原目标","达到原目标")))</x:f>
        <x:v>无记录</x:v>
      </x:c>
    </x:row>
    <x:row r="20">
      <x:c r="A20" s="68" t="n">
        <x:v>2001</x:v>
      </x:c>
      <x:c r="B20" s="68" t="str">
        <x:v>欧洲</x:v>
      </x:c>
      <x:c r="C20" s="69" t="n">
        <x:f>SUMIFS('事件主表'!$AI$2:$AI$173,'事件主表'!$C$2:$C$173,$B20,'事件主表'!$G$2:$G$173,"&gt;="&amp;DATE($A20,1,1),'事件主表'!$G$2:$G$173,"&lt;"&amp;DATE($A20+1,1,1))</x:f>
        <x:v>0</x:v>
      </x:c>
      <x:c r="D20" s="69" t="n">
        <x:f>SUMIFS('事件主表'!$AI$2:$AI$173,'事件主表'!$C$2:$C$173,$B20,'事件主表'!$Y$2:$Y$173,"严格确认",'事件主表'!$G$2:$G$173,"&gt;="&amp;DATE($A20,1,1),'事件主表'!$G$2:$G$173,"&lt;"&amp;DATE($A20+1,1,1))</x:f>
        <x:v>0</x:v>
      </x:c>
      <x:c r="E20" s="69" t="n">
        <x:f>SUMIFS('事件主表'!$AI$2:$AI$173,'事件主表'!$C$2:$C$173,$B20,'事件主表'!$L$2:$L$173,"&lt;&gt;",'事件主表'!$M$2:$M$173,"&lt;&gt;",'事件主表'!$G$2:$G$173,"&gt;="&amp;DATE($A20,1,1),'事件主表'!$G$2:$G$173,"&lt;"&amp;DATE($A20+1,1,1))</x:f>
        <x:v>0</x:v>
      </x:c>
      <x:c r="F20" s="69" t="n">
        <x:f>MAX(0,20-C20)</x:f>
        <x:v>20</x:v>
      </x:c>
      <x:c r="G20" s="67" t="str">
        <x:f>IF(C20=0,"无记录",IF(D20=0,"仅候选/汇编",IF(C20&lt;20,"已确认但不足原目标","达到原目标")))</x:f>
        <x:v>无记录</x:v>
      </x:c>
    </x:row>
    <x:row r="21">
      <x:c r="A21" s="68" t="n">
        <x:v>2001</x:v>
      </x:c>
      <x:c r="B21" s="68" t="str">
        <x:v>非洲</x:v>
      </x:c>
      <x:c r="C21" s="69" t="n">
        <x:f>SUMIFS('事件主表'!$AI$2:$AI$173,'事件主表'!$C$2:$C$173,$B21,'事件主表'!$G$2:$G$173,"&gt;="&amp;DATE($A21,1,1),'事件主表'!$G$2:$G$173,"&lt;"&amp;DATE($A21+1,1,1))</x:f>
        <x:v>0</x:v>
      </x:c>
      <x:c r="D21" s="69" t="n">
        <x:f>SUMIFS('事件主表'!$AI$2:$AI$173,'事件主表'!$C$2:$C$173,$B21,'事件主表'!$Y$2:$Y$173,"严格确认",'事件主表'!$G$2:$G$173,"&gt;="&amp;DATE($A21,1,1),'事件主表'!$G$2:$G$173,"&lt;"&amp;DATE($A21+1,1,1))</x:f>
        <x:v>0</x:v>
      </x:c>
      <x:c r="E21" s="69" t="n">
        <x:f>SUMIFS('事件主表'!$AI$2:$AI$173,'事件主表'!$C$2:$C$173,$B21,'事件主表'!$L$2:$L$173,"&lt;&gt;",'事件主表'!$M$2:$M$173,"&lt;&gt;",'事件主表'!$G$2:$G$173,"&gt;="&amp;DATE($A21,1,1),'事件主表'!$G$2:$G$173,"&lt;"&amp;DATE($A21+1,1,1))</x:f>
        <x:v>0</x:v>
      </x:c>
      <x:c r="F21" s="69" t="n">
        <x:f>MAX(0,20-C21)</x:f>
        <x:v>20</x:v>
      </x:c>
      <x:c r="G21" s="67" t="str">
        <x:f>IF(C21=0,"无记录",IF(D21=0,"仅候选/汇编",IF(C21&lt;20,"已确认但不足原目标","达到原目标")))</x:f>
        <x:v>无记录</x:v>
      </x:c>
    </x:row>
    <x:row r="22">
      <x:c r="A22" s="68" t="n">
        <x:v>2001</x:v>
      </x:c>
      <x:c r="B22" s="68" t="str">
        <x:v>北美洲</x:v>
      </x:c>
      <x:c r="C22" s="69" t="n">
        <x:f>SUMIFS('事件主表'!$AI$2:$AI$173,'事件主表'!$C$2:$C$173,$B22,'事件主表'!$G$2:$G$173,"&gt;="&amp;DATE($A22,1,1),'事件主表'!$G$2:$G$173,"&lt;"&amp;DATE($A22+1,1,1))</x:f>
        <x:v>2</x:v>
      </x:c>
      <x:c r="D22" s="69" t="n">
        <x:f>SUMIFS('事件主表'!$AI$2:$AI$173,'事件主表'!$C$2:$C$173,$B22,'事件主表'!$Y$2:$Y$173,"严格确认",'事件主表'!$G$2:$G$173,"&gt;="&amp;DATE($A22,1,1),'事件主表'!$G$2:$G$173,"&lt;"&amp;DATE($A22+1,1,1))</x:f>
        <x:v>1</x:v>
      </x:c>
      <x:c r="E22" s="69" t="n">
        <x:f>SUMIFS('事件主表'!$AI$2:$AI$173,'事件主表'!$C$2:$C$173,$B22,'事件主表'!$L$2:$L$173,"&lt;&gt;",'事件主表'!$M$2:$M$173,"&lt;&gt;",'事件主表'!$G$2:$G$173,"&gt;="&amp;DATE($A22,1,1),'事件主表'!$G$2:$G$173,"&lt;"&amp;DATE($A22+1,1,1))</x:f>
        <x:v>1</x:v>
      </x:c>
      <x:c r="F22" s="69" t="n">
        <x:f>MAX(0,20-C22)</x:f>
        <x:v>18</x:v>
      </x:c>
      <x:c r="G22" s="67" t="str">
        <x:f>IF(C22=0,"无记录",IF(D22=0,"仅候选/汇编",IF(C22&lt;20,"已确认但不足原目标","达到原目标")))</x:f>
        <x:v>已确认但不足原目标</x:v>
      </x:c>
    </x:row>
    <x:row r="23">
      <x:c r="A23" s="68" t="n">
        <x:v>2001</x:v>
      </x:c>
      <x:c r="B23" s="68" t="str">
        <x:v>南美洲</x:v>
      </x:c>
      <x:c r="C23" s="69" t="n">
        <x:f>SUMIFS('事件主表'!$AI$2:$AI$173,'事件主表'!$C$2:$C$173,$B23,'事件主表'!$G$2:$G$173,"&gt;="&amp;DATE($A23,1,1),'事件主表'!$G$2:$G$173,"&lt;"&amp;DATE($A23+1,1,1))</x:f>
        <x:v>0</x:v>
      </x:c>
      <x:c r="D23" s="69" t="n">
        <x:f>SUMIFS('事件主表'!$AI$2:$AI$173,'事件主表'!$C$2:$C$173,$B23,'事件主表'!$Y$2:$Y$173,"严格确认",'事件主表'!$G$2:$G$173,"&gt;="&amp;DATE($A23,1,1),'事件主表'!$G$2:$G$173,"&lt;"&amp;DATE($A23+1,1,1))</x:f>
        <x:v>0</x:v>
      </x:c>
      <x:c r="E23" s="69" t="n">
        <x:f>SUMIFS('事件主表'!$AI$2:$AI$173,'事件主表'!$C$2:$C$173,$B23,'事件主表'!$L$2:$L$173,"&lt;&gt;",'事件主表'!$M$2:$M$173,"&lt;&gt;",'事件主表'!$G$2:$G$173,"&gt;="&amp;DATE($A23,1,1),'事件主表'!$G$2:$G$173,"&lt;"&amp;DATE($A23+1,1,1))</x:f>
        <x:v>0</x:v>
      </x:c>
      <x:c r="F23" s="69" t="n">
        <x:f>MAX(0,20-C23)</x:f>
        <x:v>20</x:v>
      </x:c>
      <x:c r="G23" s="67" t="str">
        <x:f>IF(C23=0,"无记录",IF(D23=0,"仅候选/汇编",IF(C23&lt;20,"已确认但不足原目标","达到原目标")))</x:f>
        <x:v>无记录</x:v>
      </x:c>
    </x:row>
    <x:row r="24">
      <x:c r="A24" s="68" t="n">
        <x:v>2001</x:v>
      </x:c>
      <x:c r="B24" s="68" t="str">
        <x:v>大洋洲</x:v>
      </x:c>
      <x:c r="C24" s="69" t="n">
        <x:f>SUMIFS('事件主表'!$AI$2:$AI$173,'事件主表'!$C$2:$C$173,$B24,'事件主表'!$G$2:$G$173,"&gt;="&amp;DATE($A24,1,1),'事件主表'!$G$2:$G$173,"&lt;"&amp;DATE($A24+1,1,1))</x:f>
        <x:v>0</x:v>
      </x:c>
      <x:c r="D24" s="69" t="n">
        <x:f>SUMIFS('事件主表'!$AI$2:$AI$173,'事件主表'!$C$2:$C$173,$B24,'事件主表'!$Y$2:$Y$173,"严格确认",'事件主表'!$G$2:$G$173,"&gt;="&amp;DATE($A24,1,1),'事件主表'!$G$2:$G$173,"&lt;"&amp;DATE($A24+1,1,1))</x:f>
        <x:v>0</x:v>
      </x:c>
      <x:c r="E24" s="69" t="n">
        <x:f>SUMIFS('事件主表'!$AI$2:$AI$173,'事件主表'!$C$2:$C$173,$B24,'事件主表'!$L$2:$L$173,"&lt;&gt;",'事件主表'!$M$2:$M$173,"&lt;&gt;",'事件主表'!$G$2:$G$173,"&gt;="&amp;DATE($A24,1,1),'事件主表'!$G$2:$G$173,"&lt;"&amp;DATE($A24+1,1,1))</x:f>
        <x:v>0</x:v>
      </x:c>
      <x:c r="F24" s="69" t="n">
        <x:f>MAX(0,20-C24)</x:f>
        <x:v>20</x:v>
      </x:c>
      <x:c r="G24" s="67" t="str">
        <x:f>IF(C24=0,"无记录",IF(D24=0,"仅候选/汇编",IF(C24&lt;20,"已确认但不足原目标","达到原目标")))</x:f>
        <x:v>无记录</x:v>
      </x:c>
    </x:row>
    <x:row r="25">
      <x:c r="A25" s="68" t="n">
        <x:v>2002</x:v>
      </x:c>
      <x:c r="B25" s="68" t="str">
        <x:v>亚洲</x:v>
      </x:c>
      <x:c r="C25" s="69" t="n">
        <x:f>SUMIFS('事件主表'!$AI$2:$AI$173,'事件主表'!$C$2:$C$173,$B25,'事件主表'!$G$2:$G$173,"&gt;="&amp;DATE($A25,1,1),'事件主表'!$G$2:$G$173,"&lt;"&amp;DATE($A25+1,1,1))</x:f>
        <x:v>0</x:v>
      </x:c>
      <x:c r="D25" s="69" t="n">
        <x:f>SUMIFS('事件主表'!$AI$2:$AI$173,'事件主表'!$C$2:$C$173,$B25,'事件主表'!$Y$2:$Y$173,"严格确认",'事件主表'!$G$2:$G$173,"&gt;="&amp;DATE($A25,1,1),'事件主表'!$G$2:$G$173,"&lt;"&amp;DATE($A25+1,1,1))</x:f>
        <x:v>0</x:v>
      </x:c>
      <x:c r="E25" s="69" t="n">
        <x:f>SUMIFS('事件主表'!$AI$2:$AI$173,'事件主表'!$C$2:$C$173,$B25,'事件主表'!$L$2:$L$173,"&lt;&gt;",'事件主表'!$M$2:$M$173,"&lt;&gt;",'事件主表'!$G$2:$G$173,"&gt;="&amp;DATE($A25,1,1),'事件主表'!$G$2:$G$173,"&lt;"&amp;DATE($A25+1,1,1))</x:f>
        <x:v>0</x:v>
      </x:c>
      <x:c r="F25" s="69" t="n">
        <x:f>MAX(0,20-C25)</x:f>
        <x:v>20</x:v>
      </x:c>
      <x:c r="G25" s="67" t="str">
        <x:f>IF(C25=0,"无记录",IF(D25=0,"仅候选/汇编",IF(C25&lt;20,"已确认但不足原目标","达到原目标")))</x:f>
        <x:v>无记录</x:v>
      </x:c>
    </x:row>
    <x:row r="26">
      <x:c r="A26" s="68" t="n">
        <x:v>2002</x:v>
      </x:c>
      <x:c r="B26" s="68" t="str">
        <x:v>欧洲</x:v>
      </x:c>
      <x:c r="C26" s="69" t="n">
        <x:f>SUMIFS('事件主表'!$AI$2:$AI$173,'事件主表'!$C$2:$C$173,$B26,'事件主表'!$G$2:$G$173,"&gt;="&amp;DATE($A26,1,1),'事件主表'!$G$2:$G$173,"&lt;"&amp;DATE($A26+1,1,1))</x:f>
        <x:v>1</x:v>
      </x:c>
      <x:c r="D26" s="69" t="n">
        <x:f>SUMIFS('事件主表'!$AI$2:$AI$173,'事件主表'!$C$2:$C$173,$B26,'事件主表'!$Y$2:$Y$173,"严格确认",'事件主表'!$G$2:$G$173,"&gt;="&amp;DATE($A26,1,1),'事件主表'!$G$2:$G$173,"&lt;"&amp;DATE($A26+1,1,1))</x:f>
        <x:v>0</x:v>
      </x:c>
      <x:c r="E26" s="69" t="n">
        <x:f>SUMIFS('事件主表'!$AI$2:$AI$173,'事件主表'!$C$2:$C$173,$B26,'事件主表'!$L$2:$L$173,"&lt;&gt;",'事件主表'!$M$2:$M$173,"&lt;&gt;",'事件主表'!$G$2:$G$173,"&gt;="&amp;DATE($A26,1,1),'事件主表'!$G$2:$G$173,"&lt;"&amp;DATE($A26+1,1,1))</x:f>
        <x:v>1</x:v>
      </x:c>
      <x:c r="F26" s="69" t="n">
        <x:f>MAX(0,20-C26)</x:f>
        <x:v>19</x:v>
      </x:c>
      <x:c r="G26" s="67" t="str">
        <x:f>IF(C26=0,"无记录",IF(D26=0,"仅候选/汇编",IF(C26&lt;20,"已确认但不足原目标","达到原目标")))</x:f>
        <x:v>仅候选/汇编</x:v>
      </x:c>
    </x:row>
    <x:row r="27">
      <x:c r="A27" s="68" t="n">
        <x:v>2002</x:v>
      </x:c>
      <x:c r="B27" s="68" t="str">
        <x:v>非洲</x:v>
      </x:c>
      <x:c r="C27" s="69" t="n">
        <x:f>SUMIFS('事件主表'!$AI$2:$AI$173,'事件主表'!$C$2:$C$173,$B27,'事件主表'!$G$2:$G$173,"&gt;="&amp;DATE($A27,1,1),'事件主表'!$G$2:$G$173,"&lt;"&amp;DATE($A27+1,1,1))</x:f>
        <x:v>0</x:v>
      </x:c>
      <x:c r="D27" s="69" t="n">
        <x:f>SUMIFS('事件主表'!$AI$2:$AI$173,'事件主表'!$C$2:$C$173,$B27,'事件主表'!$Y$2:$Y$173,"严格确认",'事件主表'!$G$2:$G$173,"&gt;="&amp;DATE($A27,1,1),'事件主表'!$G$2:$G$173,"&lt;"&amp;DATE($A27+1,1,1))</x:f>
        <x:v>0</x:v>
      </x:c>
      <x:c r="E27" s="69" t="n">
        <x:f>SUMIFS('事件主表'!$AI$2:$AI$173,'事件主表'!$C$2:$C$173,$B27,'事件主表'!$L$2:$L$173,"&lt;&gt;",'事件主表'!$M$2:$M$173,"&lt;&gt;",'事件主表'!$G$2:$G$173,"&gt;="&amp;DATE($A27,1,1),'事件主表'!$G$2:$G$173,"&lt;"&amp;DATE($A27+1,1,1))</x:f>
        <x:v>0</x:v>
      </x:c>
      <x:c r="F27" s="69" t="n">
        <x:f>MAX(0,20-C27)</x:f>
        <x:v>20</x:v>
      </x:c>
      <x:c r="G27" s="67" t="str">
        <x:f>IF(C27=0,"无记录",IF(D27=0,"仅候选/汇编",IF(C27&lt;20,"已确认但不足原目标","达到原目标")))</x:f>
        <x:v>无记录</x:v>
      </x:c>
    </x:row>
    <x:row r="28">
      <x:c r="A28" s="68" t="n">
        <x:v>2002</x:v>
      </x:c>
      <x:c r="B28" s="68" t="str">
        <x:v>北美洲</x:v>
      </x:c>
      <x:c r="C28" s="69" t="n">
        <x:f>SUMIFS('事件主表'!$AI$2:$AI$173,'事件主表'!$C$2:$C$173,$B28,'事件主表'!$G$2:$G$173,"&gt;="&amp;DATE($A28,1,1),'事件主表'!$G$2:$G$173,"&lt;"&amp;DATE($A28+1,1,1))</x:f>
        <x:v>1</x:v>
      </x:c>
      <x:c r="D28" s="69" t="n">
        <x:f>SUMIFS('事件主表'!$AI$2:$AI$173,'事件主表'!$C$2:$C$173,$B28,'事件主表'!$Y$2:$Y$173,"严格确认",'事件主表'!$G$2:$G$173,"&gt;="&amp;DATE($A28,1,1),'事件主表'!$G$2:$G$173,"&lt;"&amp;DATE($A28+1,1,1))</x:f>
        <x:v>0</x:v>
      </x:c>
      <x:c r="E28" s="69" t="n">
        <x:f>SUMIFS('事件主表'!$AI$2:$AI$173,'事件主表'!$C$2:$C$173,$B28,'事件主表'!$L$2:$L$173,"&lt;&gt;",'事件主表'!$M$2:$M$173,"&lt;&gt;",'事件主表'!$G$2:$G$173,"&gt;="&amp;DATE($A28,1,1),'事件主表'!$G$2:$G$173,"&lt;"&amp;DATE($A28+1,1,1))</x:f>
        <x:v>1</x:v>
      </x:c>
      <x:c r="F28" s="69" t="n">
        <x:f>MAX(0,20-C28)</x:f>
        <x:v>19</x:v>
      </x:c>
      <x:c r="G28" s="67" t="str">
        <x:f>IF(C28=0,"无记录",IF(D28=0,"仅候选/汇编",IF(C28&lt;20,"已确认但不足原目标","达到原目标")))</x:f>
        <x:v>仅候选/汇编</x:v>
      </x:c>
    </x:row>
    <x:row r="29">
      <x:c r="A29" s="68" t="n">
        <x:v>2002</x:v>
      </x:c>
      <x:c r="B29" s="68" t="str">
        <x:v>南美洲</x:v>
      </x:c>
      <x:c r="C29" s="69" t="n">
        <x:f>SUMIFS('事件主表'!$AI$2:$AI$173,'事件主表'!$C$2:$C$173,$B29,'事件主表'!$G$2:$G$173,"&gt;="&amp;DATE($A29,1,1),'事件主表'!$G$2:$G$173,"&lt;"&amp;DATE($A29+1,1,1))</x:f>
        <x:v>0</x:v>
      </x:c>
      <x:c r="D29" s="69" t="n">
        <x:f>SUMIFS('事件主表'!$AI$2:$AI$173,'事件主表'!$C$2:$C$173,$B29,'事件主表'!$Y$2:$Y$173,"严格确认",'事件主表'!$G$2:$G$173,"&gt;="&amp;DATE($A29,1,1),'事件主表'!$G$2:$G$173,"&lt;"&amp;DATE($A29+1,1,1))</x:f>
        <x:v>0</x:v>
      </x:c>
      <x:c r="E29" s="69" t="n">
        <x:f>SUMIFS('事件主表'!$AI$2:$AI$173,'事件主表'!$C$2:$C$173,$B29,'事件主表'!$L$2:$L$173,"&lt;&gt;",'事件主表'!$M$2:$M$173,"&lt;&gt;",'事件主表'!$G$2:$G$173,"&gt;="&amp;DATE($A29,1,1),'事件主表'!$G$2:$G$173,"&lt;"&amp;DATE($A29+1,1,1))</x:f>
        <x:v>0</x:v>
      </x:c>
      <x:c r="F29" s="69" t="n">
        <x:f>MAX(0,20-C29)</x:f>
        <x:v>20</x:v>
      </x:c>
      <x:c r="G29" s="67" t="str">
        <x:f>IF(C29=0,"无记录",IF(D29=0,"仅候选/汇编",IF(C29&lt;20,"已确认但不足原目标","达到原目标")))</x:f>
        <x:v>无记录</x:v>
      </x:c>
    </x:row>
    <x:row r="30">
      <x:c r="A30" s="68" t="n">
        <x:v>2002</x:v>
      </x:c>
      <x:c r="B30" s="68" t="str">
        <x:v>大洋洲</x:v>
      </x:c>
      <x:c r="C30" s="69" t="n">
        <x:f>SUMIFS('事件主表'!$AI$2:$AI$173,'事件主表'!$C$2:$C$173,$B30,'事件主表'!$G$2:$G$173,"&gt;="&amp;DATE($A30,1,1),'事件主表'!$G$2:$G$173,"&lt;"&amp;DATE($A30+1,1,1))</x:f>
        <x:v>1</x:v>
      </x:c>
      <x:c r="D30" s="69" t="n">
        <x:f>SUMIFS('事件主表'!$AI$2:$AI$173,'事件主表'!$C$2:$C$173,$B30,'事件主表'!$Y$2:$Y$173,"严格确认",'事件主表'!$G$2:$G$173,"&gt;="&amp;DATE($A30,1,1),'事件主表'!$G$2:$G$173,"&lt;"&amp;DATE($A30+1,1,1))</x:f>
        <x:v>0</x:v>
      </x:c>
      <x:c r="E30" s="69" t="n">
        <x:f>SUMIFS('事件主表'!$AI$2:$AI$173,'事件主表'!$C$2:$C$173,$B30,'事件主表'!$L$2:$L$173,"&lt;&gt;",'事件主表'!$M$2:$M$173,"&lt;&gt;",'事件主表'!$G$2:$G$173,"&gt;="&amp;DATE($A30,1,1),'事件主表'!$G$2:$G$173,"&lt;"&amp;DATE($A30+1,1,1))</x:f>
        <x:v>1</x:v>
      </x:c>
      <x:c r="F30" s="69" t="n">
        <x:f>MAX(0,20-C30)</x:f>
        <x:v>19</x:v>
      </x:c>
      <x:c r="G30" s="67" t="str">
        <x:f>IF(C30=0,"无记录",IF(D30=0,"仅候选/汇编",IF(C30&lt;20,"已确认但不足原目标","达到原目标")))</x:f>
        <x:v>仅候选/汇编</x:v>
      </x:c>
    </x:row>
    <x:row r="31">
      <x:c r="A31" s="68" t="n">
        <x:v>2003</x:v>
      </x:c>
      <x:c r="B31" s="68" t="str">
        <x:v>亚洲</x:v>
      </x:c>
      <x:c r="C31" s="69" t="n">
        <x:f>SUMIFS('事件主表'!$AI$2:$AI$173,'事件主表'!$C$2:$C$173,$B31,'事件主表'!$G$2:$G$173,"&gt;="&amp;DATE($A31,1,1),'事件主表'!$G$2:$G$173,"&lt;"&amp;DATE($A31+1,1,1))</x:f>
        <x:v>1</x:v>
      </x:c>
      <x:c r="D31" s="69" t="n">
        <x:f>SUMIFS('事件主表'!$AI$2:$AI$173,'事件主表'!$C$2:$C$173,$B31,'事件主表'!$Y$2:$Y$173,"严格确认",'事件主表'!$G$2:$G$173,"&gt;="&amp;DATE($A31,1,1),'事件主表'!$G$2:$G$173,"&lt;"&amp;DATE($A31+1,1,1))</x:f>
        <x:v>0</x:v>
      </x:c>
      <x:c r="E31" s="69" t="n">
        <x:f>SUMIFS('事件主表'!$AI$2:$AI$173,'事件主表'!$C$2:$C$173,$B31,'事件主表'!$L$2:$L$173,"&lt;&gt;",'事件主表'!$M$2:$M$173,"&lt;&gt;",'事件主表'!$G$2:$G$173,"&gt;="&amp;DATE($A31,1,1),'事件主表'!$G$2:$G$173,"&lt;"&amp;DATE($A31+1,1,1))</x:f>
        <x:v>1</x:v>
      </x:c>
      <x:c r="F31" s="69" t="n">
        <x:f>MAX(0,20-C31)</x:f>
        <x:v>19</x:v>
      </x:c>
      <x:c r="G31" s="67" t="str">
        <x:f>IF(C31=0,"无记录",IF(D31=0,"仅候选/汇编",IF(C31&lt;20,"已确认但不足原目标","达到原目标")))</x:f>
        <x:v>仅候选/汇编</x:v>
      </x:c>
    </x:row>
    <x:row r="32">
      <x:c r="A32" s="68" t="n">
        <x:v>2003</x:v>
      </x:c>
      <x:c r="B32" s="68" t="str">
        <x:v>欧洲</x:v>
      </x:c>
      <x:c r="C32" s="69" t="n">
        <x:f>SUMIFS('事件主表'!$AI$2:$AI$173,'事件主表'!$C$2:$C$173,$B32,'事件主表'!$G$2:$G$173,"&gt;="&amp;DATE($A32,1,1),'事件主表'!$G$2:$G$173,"&lt;"&amp;DATE($A32+1,1,1))</x:f>
        <x:v>1</x:v>
      </x:c>
      <x:c r="D32" s="69" t="n">
        <x:f>SUMIFS('事件主表'!$AI$2:$AI$173,'事件主表'!$C$2:$C$173,$B32,'事件主表'!$Y$2:$Y$173,"严格确认",'事件主表'!$G$2:$G$173,"&gt;="&amp;DATE($A32,1,1),'事件主表'!$G$2:$G$173,"&lt;"&amp;DATE($A32+1,1,1))</x:f>
        <x:v>1</x:v>
      </x:c>
      <x:c r="E32" s="69" t="n">
        <x:f>SUMIFS('事件主表'!$AI$2:$AI$173,'事件主表'!$C$2:$C$173,$B32,'事件主表'!$L$2:$L$173,"&lt;&gt;",'事件主表'!$M$2:$M$173,"&lt;&gt;",'事件主表'!$G$2:$G$173,"&gt;="&amp;DATE($A32,1,1),'事件主表'!$G$2:$G$173,"&lt;"&amp;DATE($A32+1,1,1))</x:f>
        <x:v>1</x:v>
      </x:c>
      <x:c r="F32" s="69" t="n">
        <x:f>MAX(0,20-C32)</x:f>
        <x:v>19</x:v>
      </x:c>
      <x:c r="G32" s="67" t="str">
        <x:f>IF(C32=0,"无记录",IF(D32=0,"仅候选/汇编",IF(C32&lt;20,"已确认但不足原目标","达到原目标")))</x:f>
        <x:v>已确认但不足原目标</x:v>
      </x:c>
    </x:row>
    <x:row r="33">
      <x:c r="A33" s="68" t="n">
        <x:v>2003</x:v>
      </x:c>
      <x:c r="B33" s="68" t="str">
        <x:v>非洲</x:v>
      </x:c>
      <x:c r="C33" s="69" t="n">
        <x:f>SUMIFS('事件主表'!$AI$2:$AI$173,'事件主表'!$C$2:$C$173,$B33,'事件主表'!$G$2:$G$173,"&gt;="&amp;DATE($A33,1,1),'事件主表'!$G$2:$G$173,"&lt;"&amp;DATE($A33+1,1,1))</x:f>
        <x:v>1</x:v>
      </x:c>
      <x:c r="D33" s="69" t="n">
        <x:f>SUMIFS('事件主表'!$AI$2:$AI$173,'事件主表'!$C$2:$C$173,$B33,'事件主表'!$Y$2:$Y$173,"严格确认",'事件主表'!$G$2:$G$173,"&gt;="&amp;DATE($A33,1,1),'事件主表'!$G$2:$G$173,"&lt;"&amp;DATE($A33+1,1,1))</x:f>
        <x:v>0</x:v>
      </x:c>
      <x:c r="E33" s="69" t="n">
        <x:f>SUMIFS('事件主表'!$AI$2:$AI$173,'事件主表'!$C$2:$C$173,$B33,'事件主表'!$L$2:$L$173,"&lt;&gt;",'事件主表'!$M$2:$M$173,"&lt;&gt;",'事件主表'!$G$2:$G$173,"&gt;="&amp;DATE($A33,1,1),'事件主表'!$G$2:$G$173,"&lt;"&amp;DATE($A33+1,1,1))</x:f>
        <x:v>1</x:v>
      </x:c>
      <x:c r="F33" s="69" t="n">
        <x:f>MAX(0,20-C33)</x:f>
        <x:v>19</x:v>
      </x:c>
      <x:c r="G33" s="67" t="str">
        <x:f>IF(C33=0,"无记录",IF(D33=0,"仅候选/汇编",IF(C33&lt;20,"已确认但不足原目标","达到原目标")))</x:f>
        <x:v>仅候选/汇编</x:v>
      </x:c>
    </x:row>
    <x:row r="34">
      <x:c r="A34" s="68" t="n">
        <x:v>2003</x:v>
      </x:c>
      <x:c r="B34" s="68" t="str">
        <x:v>北美洲</x:v>
      </x:c>
      <x:c r="C34" s="69" t="n">
        <x:f>SUMIFS('事件主表'!$AI$2:$AI$173,'事件主表'!$C$2:$C$173,$B34,'事件主表'!$G$2:$G$173,"&gt;="&amp;DATE($A34,1,1),'事件主表'!$G$2:$G$173,"&lt;"&amp;DATE($A34+1,1,1))</x:f>
        <x:v>1</x:v>
      </x:c>
      <x:c r="D34" s="69" t="n">
        <x:f>SUMIFS('事件主表'!$AI$2:$AI$173,'事件主表'!$C$2:$C$173,$B34,'事件主表'!$Y$2:$Y$173,"严格确认",'事件主表'!$G$2:$G$173,"&gt;="&amp;DATE($A34,1,1),'事件主表'!$G$2:$G$173,"&lt;"&amp;DATE($A34+1,1,1))</x:f>
        <x:v>1</x:v>
      </x:c>
      <x:c r="E34" s="69" t="n">
        <x:f>SUMIFS('事件主表'!$AI$2:$AI$173,'事件主表'!$C$2:$C$173,$B34,'事件主表'!$L$2:$L$173,"&lt;&gt;",'事件主表'!$M$2:$M$173,"&lt;&gt;",'事件主表'!$G$2:$G$173,"&gt;="&amp;DATE($A34,1,1),'事件主表'!$G$2:$G$173,"&lt;"&amp;DATE($A34+1,1,1))</x:f>
        <x:v>1</x:v>
      </x:c>
      <x:c r="F34" s="69" t="n">
        <x:f>MAX(0,20-C34)</x:f>
        <x:v>19</x:v>
      </x:c>
      <x:c r="G34" s="67" t="str">
        <x:f>IF(C34=0,"无记录",IF(D34=0,"仅候选/汇编",IF(C34&lt;20,"已确认但不足原目标","达到原目标")))</x:f>
        <x:v>已确认但不足原目标</x:v>
      </x:c>
    </x:row>
    <x:row r="35">
      <x:c r="A35" s="68" t="n">
        <x:v>2003</x:v>
      </x:c>
      <x:c r="B35" s="68" t="str">
        <x:v>南美洲</x:v>
      </x:c>
      <x:c r="C35" s="69" t="n">
        <x:f>SUMIFS('事件主表'!$AI$2:$AI$173,'事件主表'!$C$2:$C$173,$B35,'事件主表'!$G$2:$G$173,"&gt;="&amp;DATE($A35,1,1),'事件主表'!$G$2:$G$173,"&lt;"&amp;DATE($A35+1,1,1))</x:f>
        <x:v>0</x:v>
      </x:c>
      <x:c r="D35" s="69" t="n">
        <x:f>SUMIFS('事件主表'!$AI$2:$AI$173,'事件主表'!$C$2:$C$173,$B35,'事件主表'!$Y$2:$Y$173,"严格确认",'事件主表'!$G$2:$G$173,"&gt;="&amp;DATE($A35,1,1),'事件主表'!$G$2:$G$173,"&lt;"&amp;DATE($A35+1,1,1))</x:f>
        <x:v>0</x:v>
      </x:c>
      <x:c r="E35" s="69" t="n">
        <x:f>SUMIFS('事件主表'!$AI$2:$AI$173,'事件主表'!$C$2:$C$173,$B35,'事件主表'!$L$2:$L$173,"&lt;&gt;",'事件主表'!$M$2:$M$173,"&lt;&gt;",'事件主表'!$G$2:$G$173,"&gt;="&amp;DATE($A35,1,1),'事件主表'!$G$2:$G$173,"&lt;"&amp;DATE($A35+1,1,1))</x:f>
        <x:v>0</x:v>
      </x:c>
      <x:c r="F35" s="69" t="n">
        <x:f>MAX(0,20-C35)</x:f>
        <x:v>20</x:v>
      </x:c>
      <x:c r="G35" s="67" t="str">
        <x:f>IF(C35=0,"无记录",IF(D35=0,"仅候选/汇编",IF(C35&lt;20,"已确认但不足原目标","达到原目标")))</x:f>
        <x:v>无记录</x:v>
      </x:c>
    </x:row>
    <x:row r="36">
      <x:c r="A36" s="68" t="n">
        <x:v>2003</x:v>
      </x:c>
      <x:c r="B36" s="68" t="str">
        <x:v>大洋洲</x:v>
      </x:c>
      <x:c r="C36" s="69" t="n">
        <x:f>SUMIFS('事件主表'!$AI$2:$AI$173,'事件主表'!$C$2:$C$173,$B36,'事件主表'!$G$2:$G$173,"&gt;="&amp;DATE($A36,1,1),'事件主表'!$G$2:$G$173,"&lt;"&amp;DATE($A36+1,1,1))</x:f>
        <x:v>0</x:v>
      </x:c>
      <x:c r="D36" s="69" t="n">
        <x:f>SUMIFS('事件主表'!$AI$2:$AI$173,'事件主表'!$C$2:$C$173,$B36,'事件主表'!$Y$2:$Y$173,"严格确认",'事件主表'!$G$2:$G$173,"&gt;="&amp;DATE($A36,1,1),'事件主表'!$G$2:$G$173,"&lt;"&amp;DATE($A36+1,1,1))</x:f>
        <x:v>0</x:v>
      </x:c>
      <x:c r="E36" s="69" t="n">
        <x:f>SUMIFS('事件主表'!$AI$2:$AI$173,'事件主表'!$C$2:$C$173,$B36,'事件主表'!$L$2:$L$173,"&lt;&gt;",'事件主表'!$M$2:$M$173,"&lt;&gt;",'事件主表'!$G$2:$G$173,"&gt;="&amp;DATE($A36,1,1),'事件主表'!$G$2:$G$173,"&lt;"&amp;DATE($A36+1,1,1))</x:f>
        <x:v>0</x:v>
      </x:c>
      <x:c r="F36" s="69" t="n">
        <x:f>MAX(0,20-C36)</x:f>
        <x:v>20</x:v>
      </x:c>
      <x:c r="G36" s="67" t="str">
        <x:f>IF(C36=0,"无记录",IF(D36=0,"仅候选/汇编",IF(C36&lt;20,"已确认但不足原目标","达到原目标")))</x:f>
        <x:v>无记录</x:v>
      </x:c>
    </x:row>
    <x:row r="37">
      <x:c r="A37" s="68" t="n">
        <x:v>2004</x:v>
      </x:c>
      <x:c r="B37" s="68" t="str">
        <x:v>亚洲</x:v>
      </x:c>
      <x:c r="C37" s="69" t="n">
        <x:f>SUMIFS('事件主表'!$AI$2:$AI$173,'事件主表'!$C$2:$C$173,$B37,'事件主表'!$G$2:$G$173,"&gt;="&amp;DATE($A37,1,1),'事件主表'!$G$2:$G$173,"&lt;"&amp;DATE($A37+1,1,1))</x:f>
        <x:v>0</x:v>
      </x:c>
      <x:c r="D37" s="69" t="n">
        <x:f>SUMIFS('事件主表'!$AI$2:$AI$173,'事件主表'!$C$2:$C$173,$B37,'事件主表'!$Y$2:$Y$173,"严格确认",'事件主表'!$G$2:$G$173,"&gt;="&amp;DATE($A37,1,1),'事件主表'!$G$2:$G$173,"&lt;"&amp;DATE($A37+1,1,1))</x:f>
        <x:v>0</x:v>
      </x:c>
      <x:c r="E37" s="69" t="n">
        <x:f>SUMIFS('事件主表'!$AI$2:$AI$173,'事件主表'!$C$2:$C$173,$B37,'事件主表'!$L$2:$L$173,"&lt;&gt;",'事件主表'!$M$2:$M$173,"&lt;&gt;",'事件主表'!$G$2:$G$173,"&gt;="&amp;DATE($A37,1,1),'事件主表'!$G$2:$G$173,"&lt;"&amp;DATE($A37+1,1,1))</x:f>
        <x:v>0</x:v>
      </x:c>
      <x:c r="F37" s="69" t="n">
        <x:f>MAX(0,20-C37)</x:f>
        <x:v>20</x:v>
      </x:c>
      <x:c r="G37" s="67" t="str">
        <x:f>IF(C37=0,"无记录",IF(D37=0,"仅候选/汇编",IF(C37&lt;20,"已确认但不足原目标","达到原目标")))</x:f>
        <x:v>无记录</x:v>
      </x:c>
    </x:row>
    <x:row r="38">
      <x:c r="A38" s="68" t="n">
        <x:v>2004</x:v>
      </x:c>
      <x:c r="B38" s="68" t="str">
        <x:v>欧洲</x:v>
      </x:c>
      <x:c r="C38" s="69" t="n">
        <x:f>SUMIFS('事件主表'!$AI$2:$AI$173,'事件主表'!$C$2:$C$173,$B38,'事件主表'!$G$2:$G$173,"&gt;="&amp;DATE($A38,1,1),'事件主表'!$G$2:$G$173,"&lt;"&amp;DATE($A38+1,1,1))</x:f>
        <x:v>0</x:v>
      </x:c>
      <x:c r="D38" s="69" t="n">
        <x:f>SUMIFS('事件主表'!$AI$2:$AI$173,'事件主表'!$C$2:$C$173,$B38,'事件主表'!$Y$2:$Y$173,"严格确认",'事件主表'!$G$2:$G$173,"&gt;="&amp;DATE($A38,1,1),'事件主表'!$G$2:$G$173,"&lt;"&amp;DATE($A38+1,1,1))</x:f>
        <x:v>0</x:v>
      </x:c>
      <x:c r="E38" s="69" t="n">
        <x:f>SUMIFS('事件主表'!$AI$2:$AI$173,'事件主表'!$C$2:$C$173,$B38,'事件主表'!$L$2:$L$173,"&lt;&gt;",'事件主表'!$M$2:$M$173,"&lt;&gt;",'事件主表'!$G$2:$G$173,"&gt;="&amp;DATE($A38,1,1),'事件主表'!$G$2:$G$173,"&lt;"&amp;DATE($A38+1,1,1))</x:f>
        <x:v>0</x:v>
      </x:c>
      <x:c r="F38" s="69" t="n">
        <x:f>MAX(0,20-C38)</x:f>
        <x:v>20</x:v>
      </x:c>
      <x:c r="G38" s="67" t="str">
        <x:f>IF(C38=0,"无记录",IF(D38=0,"仅候选/汇编",IF(C38&lt;20,"已确认但不足原目标","达到原目标")))</x:f>
        <x:v>无记录</x:v>
      </x:c>
    </x:row>
    <x:row r="39">
      <x:c r="A39" s="68" t="n">
        <x:v>2004</x:v>
      </x:c>
      <x:c r="B39" s="68" t="str">
        <x:v>非洲</x:v>
      </x:c>
      <x:c r="C39" s="69" t="n">
        <x:f>SUMIFS('事件主表'!$AI$2:$AI$173,'事件主表'!$C$2:$C$173,$B39,'事件主表'!$G$2:$G$173,"&gt;="&amp;DATE($A39,1,1),'事件主表'!$G$2:$G$173,"&lt;"&amp;DATE($A39+1,1,1))</x:f>
        <x:v>1</x:v>
      </x:c>
      <x:c r="D39" s="69" t="n">
        <x:f>SUMIFS('事件主表'!$AI$2:$AI$173,'事件主表'!$C$2:$C$173,$B39,'事件主表'!$Y$2:$Y$173,"严格确认",'事件主表'!$G$2:$G$173,"&gt;="&amp;DATE($A39,1,1),'事件主表'!$G$2:$G$173,"&lt;"&amp;DATE($A39+1,1,1))</x:f>
        <x:v>0</x:v>
      </x:c>
      <x:c r="E39" s="69" t="n">
        <x:f>SUMIFS('事件主表'!$AI$2:$AI$173,'事件主表'!$C$2:$C$173,$B39,'事件主表'!$L$2:$L$173,"&lt;&gt;",'事件主表'!$M$2:$M$173,"&lt;&gt;",'事件主表'!$G$2:$G$173,"&gt;="&amp;DATE($A39,1,1),'事件主表'!$G$2:$G$173,"&lt;"&amp;DATE($A39+1,1,1))</x:f>
        <x:v>1</x:v>
      </x:c>
      <x:c r="F39" s="69" t="n">
        <x:f>MAX(0,20-C39)</x:f>
        <x:v>19</x:v>
      </x:c>
      <x:c r="G39" s="67" t="str">
        <x:f>IF(C39=0,"无记录",IF(D39=0,"仅候选/汇编",IF(C39&lt;20,"已确认但不足原目标","达到原目标")))</x:f>
        <x:v>仅候选/汇编</x:v>
      </x:c>
    </x:row>
    <x:row r="40">
      <x:c r="A40" s="68" t="n">
        <x:v>2004</x:v>
      </x:c>
      <x:c r="B40" s="68" t="str">
        <x:v>北美洲</x:v>
      </x:c>
      <x:c r="C40" s="69" t="n">
        <x:f>SUMIFS('事件主表'!$AI$2:$AI$173,'事件主表'!$C$2:$C$173,$B40,'事件主表'!$G$2:$G$173,"&gt;="&amp;DATE($A40,1,1),'事件主表'!$G$2:$G$173,"&lt;"&amp;DATE($A40+1,1,1))</x:f>
        <x:v>1</x:v>
      </x:c>
      <x:c r="D40" s="69" t="n">
        <x:f>SUMIFS('事件主表'!$AI$2:$AI$173,'事件主表'!$C$2:$C$173,$B40,'事件主表'!$Y$2:$Y$173,"严格确认",'事件主表'!$G$2:$G$173,"&gt;="&amp;DATE($A40,1,1),'事件主表'!$G$2:$G$173,"&lt;"&amp;DATE($A40+1,1,1))</x:f>
        <x:v>1</x:v>
      </x:c>
      <x:c r="E40" s="69" t="n">
        <x:f>SUMIFS('事件主表'!$AI$2:$AI$173,'事件主表'!$C$2:$C$173,$B40,'事件主表'!$L$2:$L$173,"&lt;&gt;",'事件主表'!$M$2:$M$173,"&lt;&gt;",'事件主表'!$G$2:$G$173,"&gt;="&amp;DATE($A40,1,1),'事件主表'!$G$2:$G$173,"&lt;"&amp;DATE($A40+1,1,1))</x:f>
        <x:v>1</x:v>
      </x:c>
      <x:c r="F40" s="69" t="n">
        <x:f>MAX(0,20-C40)</x:f>
        <x:v>19</x:v>
      </x:c>
      <x:c r="G40" s="67" t="str">
        <x:f>IF(C40=0,"无记录",IF(D40=0,"仅候选/汇编",IF(C40&lt;20,"已确认但不足原目标","达到原目标")))</x:f>
        <x:v>已确认但不足原目标</x:v>
      </x:c>
    </x:row>
    <x:row r="41">
      <x:c r="A41" s="68" t="n">
        <x:v>2004</x:v>
      </x:c>
      <x:c r="B41" s="68" t="str">
        <x:v>南美洲</x:v>
      </x:c>
      <x:c r="C41" s="69" t="n">
        <x:f>SUMIFS('事件主表'!$AI$2:$AI$173,'事件主表'!$C$2:$C$173,$B41,'事件主表'!$G$2:$G$173,"&gt;="&amp;DATE($A41,1,1),'事件主表'!$G$2:$G$173,"&lt;"&amp;DATE($A41+1,1,1))</x:f>
        <x:v>1</x:v>
      </x:c>
      <x:c r="D41" s="69" t="n">
        <x:f>SUMIFS('事件主表'!$AI$2:$AI$173,'事件主表'!$C$2:$C$173,$B41,'事件主表'!$Y$2:$Y$173,"严格确认",'事件主表'!$G$2:$G$173,"&gt;="&amp;DATE($A41,1,1),'事件主表'!$G$2:$G$173,"&lt;"&amp;DATE($A41+1,1,1))</x:f>
        <x:v>1</x:v>
      </x:c>
      <x:c r="E41" s="69" t="n">
        <x:f>SUMIFS('事件主表'!$AI$2:$AI$173,'事件主表'!$C$2:$C$173,$B41,'事件主表'!$L$2:$L$173,"&lt;&gt;",'事件主表'!$M$2:$M$173,"&lt;&gt;",'事件主表'!$G$2:$G$173,"&gt;="&amp;DATE($A41,1,1),'事件主表'!$G$2:$G$173,"&lt;"&amp;DATE($A41+1,1,1))</x:f>
        <x:v>1</x:v>
      </x:c>
      <x:c r="F41" s="69" t="n">
        <x:f>MAX(0,20-C41)</x:f>
        <x:v>19</x:v>
      </x:c>
      <x:c r="G41" s="67" t="str">
        <x:f>IF(C41=0,"无记录",IF(D41=0,"仅候选/汇编",IF(C41&lt;20,"已确认但不足原目标","达到原目标")))</x:f>
        <x:v>已确认但不足原目标</x:v>
      </x:c>
    </x:row>
    <x:row r="42">
      <x:c r="A42" s="68" t="n">
        <x:v>2004</x:v>
      </x:c>
      <x:c r="B42" s="68" t="str">
        <x:v>大洋洲</x:v>
      </x:c>
      <x:c r="C42" s="69" t="n">
        <x:f>SUMIFS('事件主表'!$AI$2:$AI$173,'事件主表'!$C$2:$C$173,$B42,'事件主表'!$G$2:$G$173,"&gt;="&amp;DATE($A42,1,1),'事件主表'!$G$2:$G$173,"&lt;"&amp;DATE($A42+1,1,1))</x:f>
        <x:v>0</x:v>
      </x:c>
      <x:c r="D42" s="69" t="n">
        <x:f>SUMIFS('事件主表'!$AI$2:$AI$173,'事件主表'!$C$2:$C$173,$B42,'事件主表'!$Y$2:$Y$173,"严格确认",'事件主表'!$G$2:$G$173,"&gt;="&amp;DATE($A42,1,1),'事件主表'!$G$2:$G$173,"&lt;"&amp;DATE($A42+1,1,1))</x:f>
        <x:v>0</x:v>
      </x:c>
      <x:c r="E42" s="69" t="n">
        <x:f>SUMIFS('事件主表'!$AI$2:$AI$173,'事件主表'!$C$2:$C$173,$B42,'事件主表'!$L$2:$L$173,"&lt;&gt;",'事件主表'!$M$2:$M$173,"&lt;&gt;",'事件主表'!$G$2:$G$173,"&gt;="&amp;DATE($A42,1,1),'事件主表'!$G$2:$G$173,"&lt;"&amp;DATE($A42+1,1,1))</x:f>
        <x:v>0</x:v>
      </x:c>
      <x:c r="F42" s="69" t="n">
        <x:f>MAX(0,20-C42)</x:f>
        <x:v>20</x:v>
      </x:c>
      <x:c r="G42" s="67" t="str">
        <x:f>IF(C42=0,"无记录",IF(D42=0,"仅候选/汇编",IF(C42&lt;20,"已确认但不足原目标","达到原目标")))</x:f>
        <x:v>无记录</x:v>
      </x:c>
    </x:row>
    <x:row r="43">
      <x:c r="A43" s="68" t="n">
        <x:v>2005</x:v>
      </x:c>
      <x:c r="B43" s="68" t="str">
        <x:v>亚洲</x:v>
      </x:c>
      <x:c r="C43" s="69" t="n">
        <x:f>SUMIFS('事件主表'!$AI$2:$AI$173,'事件主表'!$C$2:$C$173,$B43,'事件主表'!$G$2:$G$173,"&gt;="&amp;DATE($A43,1,1),'事件主表'!$G$2:$G$173,"&lt;"&amp;DATE($A43+1,1,1))</x:f>
        <x:v>1</x:v>
      </x:c>
      <x:c r="D43" s="69" t="n">
        <x:f>SUMIFS('事件主表'!$AI$2:$AI$173,'事件主表'!$C$2:$C$173,$B43,'事件主表'!$Y$2:$Y$173,"严格确认",'事件主表'!$G$2:$G$173,"&gt;="&amp;DATE($A43,1,1),'事件主表'!$G$2:$G$173,"&lt;"&amp;DATE($A43+1,1,1))</x:f>
        <x:v>0</x:v>
      </x:c>
      <x:c r="E43" s="69" t="n">
        <x:f>SUMIFS('事件主表'!$AI$2:$AI$173,'事件主表'!$C$2:$C$173,$B43,'事件主表'!$L$2:$L$173,"&lt;&gt;",'事件主表'!$M$2:$M$173,"&lt;&gt;",'事件主表'!$G$2:$G$173,"&gt;="&amp;DATE($A43,1,1),'事件主表'!$G$2:$G$173,"&lt;"&amp;DATE($A43+1,1,1))</x:f>
        <x:v>1</x:v>
      </x:c>
      <x:c r="F43" s="69" t="n">
        <x:f>MAX(0,20-C43)</x:f>
        <x:v>19</x:v>
      </x:c>
      <x:c r="G43" s="67" t="str">
        <x:f>IF(C43=0,"无记录",IF(D43=0,"仅候选/汇编",IF(C43&lt;20,"已确认但不足原目标","达到原目标")))</x:f>
        <x:v>仅候选/汇编</x:v>
      </x:c>
    </x:row>
    <x:row r="44">
      <x:c r="A44" s="68" t="n">
        <x:v>2005</x:v>
      </x:c>
      <x:c r="B44" s="68" t="str">
        <x:v>欧洲</x:v>
      </x:c>
      <x:c r="C44" s="69" t="n">
        <x:f>SUMIFS('事件主表'!$AI$2:$AI$173,'事件主表'!$C$2:$C$173,$B44,'事件主表'!$G$2:$G$173,"&gt;="&amp;DATE($A44,1,1),'事件主表'!$G$2:$G$173,"&lt;"&amp;DATE($A44+1,1,1))</x:f>
        <x:v>3</x:v>
      </x:c>
      <x:c r="D44" s="69" t="n">
        <x:f>SUMIFS('事件主表'!$AI$2:$AI$173,'事件主表'!$C$2:$C$173,$B44,'事件主表'!$Y$2:$Y$173,"严格确认",'事件主表'!$G$2:$G$173,"&gt;="&amp;DATE($A44,1,1),'事件主表'!$G$2:$G$173,"&lt;"&amp;DATE($A44+1,1,1))</x:f>
        <x:v>1</x:v>
      </x:c>
      <x:c r="E44" s="69" t="n">
        <x:f>SUMIFS('事件主表'!$AI$2:$AI$173,'事件主表'!$C$2:$C$173,$B44,'事件主表'!$L$2:$L$173,"&lt;&gt;",'事件主表'!$M$2:$M$173,"&lt;&gt;",'事件主表'!$G$2:$G$173,"&gt;="&amp;DATE($A44,1,1),'事件主表'!$G$2:$G$173,"&lt;"&amp;DATE($A44+1,1,1))</x:f>
        <x:v>2</x:v>
      </x:c>
      <x:c r="F44" s="69" t="n">
        <x:f>MAX(0,20-C44)</x:f>
        <x:v>17</x:v>
      </x:c>
      <x:c r="G44" s="67" t="str">
        <x:f>IF(C44=0,"无记录",IF(D44=0,"仅候选/汇编",IF(C44&lt;20,"已确认但不足原目标","达到原目标")))</x:f>
        <x:v>已确认但不足原目标</x:v>
      </x:c>
    </x:row>
    <x:row r="45">
      <x:c r="A45" s="68" t="n">
        <x:v>2005</x:v>
      </x:c>
      <x:c r="B45" s="68" t="str">
        <x:v>非洲</x:v>
      </x:c>
      <x:c r="C45" s="69" t="n">
        <x:f>SUMIFS('事件主表'!$AI$2:$AI$173,'事件主表'!$C$2:$C$173,$B45,'事件主表'!$G$2:$G$173,"&gt;="&amp;DATE($A45,1,1),'事件主表'!$G$2:$G$173,"&lt;"&amp;DATE($A45+1,1,1))</x:f>
        <x:v>0</x:v>
      </x:c>
      <x:c r="D45" s="69" t="n">
        <x:f>SUMIFS('事件主表'!$AI$2:$AI$173,'事件主表'!$C$2:$C$173,$B45,'事件主表'!$Y$2:$Y$173,"严格确认",'事件主表'!$G$2:$G$173,"&gt;="&amp;DATE($A45,1,1),'事件主表'!$G$2:$G$173,"&lt;"&amp;DATE($A45+1,1,1))</x:f>
        <x:v>0</x:v>
      </x:c>
      <x:c r="E45" s="69" t="n">
        <x:f>SUMIFS('事件主表'!$AI$2:$AI$173,'事件主表'!$C$2:$C$173,$B45,'事件主表'!$L$2:$L$173,"&lt;&gt;",'事件主表'!$M$2:$M$173,"&lt;&gt;",'事件主表'!$G$2:$G$173,"&gt;="&amp;DATE($A45,1,1),'事件主表'!$G$2:$G$173,"&lt;"&amp;DATE($A45+1,1,1))</x:f>
        <x:v>0</x:v>
      </x:c>
      <x:c r="F45" s="69" t="n">
        <x:f>MAX(0,20-C45)</x:f>
        <x:v>20</x:v>
      </x:c>
      <x:c r="G45" s="67" t="str">
        <x:f>IF(C45=0,"无记录",IF(D45=0,"仅候选/汇编",IF(C45&lt;20,"已确认但不足原目标","达到原目标")))</x:f>
        <x:v>无记录</x:v>
      </x:c>
    </x:row>
    <x:row r="46">
      <x:c r="A46" s="68" t="n">
        <x:v>2005</x:v>
      </x:c>
      <x:c r="B46" s="68" t="str">
        <x:v>北美洲</x:v>
      </x:c>
      <x:c r="C46" s="69" t="n">
        <x:f>SUMIFS('事件主表'!$AI$2:$AI$173,'事件主表'!$C$2:$C$173,$B46,'事件主表'!$G$2:$G$173,"&gt;="&amp;DATE($A46,1,1),'事件主表'!$G$2:$G$173,"&lt;"&amp;DATE($A46+1,1,1))</x:f>
        <x:v>0</x:v>
      </x:c>
      <x:c r="D46" s="69" t="n">
        <x:f>SUMIFS('事件主表'!$AI$2:$AI$173,'事件主表'!$C$2:$C$173,$B46,'事件主表'!$Y$2:$Y$173,"严格确认",'事件主表'!$G$2:$G$173,"&gt;="&amp;DATE($A46,1,1),'事件主表'!$G$2:$G$173,"&lt;"&amp;DATE($A46+1,1,1))</x:f>
        <x:v>0</x:v>
      </x:c>
      <x:c r="E46" s="69" t="n">
        <x:f>SUMIFS('事件主表'!$AI$2:$AI$173,'事件主表'!$C$2:$C$173,$B46,'事件主表'!$L$2:$L$173,"&lt;&gt;",'事件主表'!$M$2:$M$173,"&lt;&gt;",'事件主表'!$G$2:$G$173,"&gt;="&amp;DATE($A46,1,1),'事件主表'!$G$2:$G$173,"&lt;"&amp;DATE($A46+1,1,1))</x:f>
        <x:v>0</x:v>
      </x:c>
      <x:c r="F46" s="69" t="n">
        <x:f>MAX(0,20-C46)</x:f>
        <x:v>20</x:v>
      </x:c>
      <x:c r="G46" s="67" t="str">
        <x:f>IF(C46=0,"无记录",IF(D46=0,"仅候选/汇编",IF(C46&lt;20,"已确认但不足原目标","达到原目标")))</x:f>
        <x:v>无记录</x:v>
      </x:c>
    </x:row>
    <x:row r="47">
      <x:c r="A47" s="68" t="n">
        <x:v>2005</x:v>
      </x:c>
      <x:c r="B47" s="68" t="str">
        <x:v>南美洲</x:v>
      </x:c>
      <x:c r="C47" s="69" t="n">
        <x:f>SUMIFS('事件主表'!$AI$2:$AI$173,'事件主表'!$C$2:$C$173,$B47,'事件主表'!$G$2:$G$173,"&gt;="&amp;DATE($A47,1,1),'事件主表'!$G$2:$G$173,"&lt;"&amp;DATE($A47+1,1,1))</x:f>
        <x:v>0</x:v>
      </x:c>
      <x:c r="D47" s="69" t="n">
        <x:f>SUMIFS('事件主表'!$AI$2:$AI$173,'事件主表'!$C$2:$C$173,$B47,'事件主表'!$Y$2:$Y$173,"严格确认",'事件主表'!$G$2:$G$173,"&gt;="&amp;DATE($A47,1,1),'事件主表'!$G$2:$G$173,"&lt;"&amp;DATE($A47+1,1,1))</x:f>
        <x:v>0</x:v>
      </x:c>
      <x:c r="E47" s="69" t="n">
        <x:f>SUMIFS('事件主表'!$AI$2:$AI$173,'事件主表'!$C$2:$C$173,$B47,'事件主表'!$L$2:$L$173,"&lt;&gt;",'事件主表'!$M$2:$M$173,"&lt;&gt;",'事件主表'!$G$2:$G$173,"&gt;="&amp;DATE($A47,1,1),'事件主表'!$G$2:$G$173,"&lt;"&amp;DATE($A47+1,1,1))</x:f>
        <x:v>0</x:v>
      </x:c>
      <x:c r="F47" s="69" t="n">
        <x:f>MAX(0,20-C47)</x:f>
        <x:v>20</x:v>
      </x:c>
      <x:c r="G47" s="67" t="str">
        <x:f>IF(C47=0,"无记录",IF(D47=0,"仅候选/汇编",IF(C47&lt;20,"已确认但不足原目标","达到原目标")))</x:f>
        <x:v>无记录</x:v>
      </x:c>
    </x:row>
    <x:row r="48">
      <x:c r="A48" s="68" t="n">
        <x:v>2005</x:v>
      </x:c>
      <x:c r="B48" s="68" t="str">
        <x:v>大洋洲</x:v>
      </x:c>
      <x:c r="C48" s="69" t="n">
        <x:f>SUMIFS('事件主表'!$AI$2:$AI$173,'事件主表'!$C$2:$C$173,$B48,'事件主表'!$G$2:$G$173,"&gt;="&amp;DATE($A48,1,1),'事件主表'!$G$2:$G$173,"&lt;"&amp;DATE($A48+1,1,1))</x:f>
        <x:v>0</x:v>
      </x:c>
      <x:c r="D48" s="69" t="n">
        <x:f>SUMIFS('事件主表'!$AI$2:$AI$173,'事件主表'!$C$2:$C$173,$B48,'事件主表'!$Y$2:$Y$173,"严格确认",'事件主表'!$G$2:$G$173,"&gt;="&amp;DATE($A48,1,1),'事件主表'!$G$2:$G$173,"&lt;"&amp;DATE($A48+1,1,1))</x:f>
        <x:v>0</x:v>
      </x:c>
      <x:c r="E48" s="69" t="n">
        <x:f>SUMIFS('事件主表'!$AI$2:$AI$173,'事件主表'!$C$2:$C$173,$B48,'事件主表'!$L$2:$L$173,"&lt;&gt;",'事件主表'!$M$2:$M$173,"&lt;&gt;",'事件主表'!$G$2:$G$173,"&gt;="&amp;DATE($A48,1,1),'事件主表'!$G$2:$G$173,"&lt;"&amp;DATE($A48+1,1,1))</x:f>
        <x:v>0</x:v>
      </x:c>
      <x:c r="F48" s="69" t="n">
        <x:f>MAX(0,20-C48)</x:f>
        <x:v>20</x:v>
      </x:c>
      <x:c r="G48" s="67" t="str">
        <x:f>IF(C48=0,"无记录",IF(D48=0,"仅候选/汇编",IF(C48&lt;20,"已确认但不足原目标","达到原目标")))</x:f>
        <x:v>无记录</x:v>
      </x:c>
    </x:row>
    <x:row r="49">
      <x:c r="A49" s="68" t="n">
        <x:v>2006</x:v>
      </x:c>
      <x:c r="B49" s="68" t="str">
        <x:v>亚洲</x:v>
      </x:c>
      <x:c r="C49" s="69" t="n">
        <x:f>SUMIFS('事件主表'!$AI$2:$AI$173,'事件主表'!$C$2:$C$173,$B49,'事件主表'!$G$2:$G$173,"&gt;="&amp;DATE($A49,1,1),'事件主表'!$G$2:$G$173,"&lt;"&amp;DATE($A49+1,1,1))</x:f>
        <x:v>1</x:v>
      </x:c>
      <x:c r="D49" s="69" t="n">
        <x:f>SUMIFS('事件主表'!$AI$2:$AI$173,'事件主表'!$C$2:$C$173,$B49,'事件主表'!$Y$2:$Y$173,"严格确认",'事件主表'!$G$2:$G$173,"&gt;="&amp;DATE($A49,1,1),'事件主表'!$G$2:$G$173,"&lt;"&amp;DATE($A49+1,1,1))</x:f>
        <x:v>0</x:v>
      </x:c>
      <x:c r="E49" s="69" t="n">
        <x:f>SUMIFS('事件主表'!$AI$2:$AI$173,'事件主表'!$C$2:$C$173,$B49,'事件主表'!$L$2:$L$173,"&lt;&gt;",'事件主表'!$M$2:$M$173,"&lt;&gt;",'事件主表'!$G$2:$G$173,"&gt;="&amp;DATE($A49,1,1),'事件主表'!$G$2:$G$173,"&lt;"&amp;DATE($A49+1,1,1))</x:f>
        <x:v>1</x:v>
      </x:c>
      <x:c r="F49" s="69" t="n">
        <x:f>MAX(0,20-C49)</x:f>
        <x:v>19</x:v>
      </x:c>
      <x:c r="G49" s="67" t="str">
        <x:f>IF(C49=0,"无记录",IF(D49=0,"仅候选/汇编",IF(C49&lt;20,"已确认但不足原目标","达到原目标")))</x:f>
        <x:v>仅候选/汇编</x:v>
      </x:c>
    </x:row>
    <x:row r="50">
      <x:c r="A50" s="68" t="n">
        <x:v>2006</x:v>
      </x:c>
      <x:c r="B50" s="68" t="str">
        <x:v>欧洲</x:v>
      </x:c>
      <x:c r="C50" s="69" t="n">
        <x:f>SUMIFS('事件主表'!$AI$2:$AI$173,'事件主表'!$C$2:$C$173,$B50,'事件主表'!$G$2:$G$173,"&gt;="&amp;DATE($A50,1,1),'事件主表'!$G$2:$G$173,"&lt;"&amp;DATE($A50+1,1,1))</x:f>
        <x:v>0</x:v>
      </x:c>
      <x:c r="D50" s="69" t="n">
        <x:f>SUMIFS('事件主表'!$AI$2:$AI$173,'事件主表'!$C$2:$C$173,$B50,'事件主表'!$Y$2:$Y$173,"严格确认",'事件主表'!$G$2:$G$173,"&gt;="&amp;DATE($A50,1,1),'事件主表'!$G$2:$G$173,"&lt;"&amp;DATE($A50+1,1,1))</x:f>
        <x:v>0</x:v>
      </x:c>
      <x:c r="E50" s="69" t="n">
        <x:f>SUMIFS('事件主表'!$AI$2:$AI$173,'事件主表'!$C$2:$C$173,$B50,'事件主表'!$L$2:$L$173,"&lt;&gt;",'事件主表'!$M$2:$M$173,"&lt;&gt;",'事件主表'!$G$2:$G$173,"&gt;="&amp;DATE($A50,1,1),'事件主表'!$G$2:$G$173,"&lt;"&amp;DATE($A50+1,1,1))</x:f>
        <x:v>0</x:v>
      </x:c>
      <x:c r="F50" s="69" t="n">
        <x:f>MAX(0,20-C50)</x:f>
        <x:v>20</x:v>
      </x:c>
      <x:c r="G50" s="67" t="str">
        <x:f>IF(C50=0,"无记录",IF(D50=0,"仅候选/汇编",IF(C50&lt;20,"已确认但不足原目标","达到原目标")))</x:f>
        <x:v>无记录</x:v>
      </x:c>
    </x:row>
    <x:row r="51">
      <x:c r="A51" s="68" t="n">
        <x:v>2006</x:v>
      </x:c>
      <x:c r="B51" s="68" t="str">
        <x:v>非洲</x:v>
      </x:c>
      <x:c r="C51" s="69" t="n">
        <x:f>SUMIFS('事件主表'!$AI$2:$AI$173,'事件主表'!$C$2:$C$173,$B51,'事件主表'!$G$2:$G$173,"&gt;="&amp;DATE($A51,1,1),'事件主表'!$G$2:$G$173,"&lt;"&amp;DATE($A51+1,1,1))</x:f>
        <x:v>0</x:v>
      </x:c>
      <x:c r="D51" s="69" t="n">
        <x:f>SUMIFS('事件主表'!$AI$2:$AI$173,'事件主表'!$C$2:$C$173,$B51,'事件主表'!$Y$2:$Y$173,"严格确认",'事件主表'!$G$2:$G$173,"&gt;="&amp;DATE($A51,1,1),'事件主表'!$G$2:$G$173,"&lt;"&amp;DATE($A51+1,1,1))</x:f>
        <x:v>0</x:v>
      </x:c>
      <x:c r="E51" s="69" t="n">
        <x:f>SUMIFS('事件主表'!$AI$2:$AI$173,'事件主表'!$C$2:$C$173,$B51,'事件主表'!$L$2:$L$173,"&lt;&gt;",'事件主表'!$M$2:$M$173,"&lt;&gt;",'事件主表'!$G$2:$G$173,"&gt;="&amp;DATE($A51,1,1),'事件主表'!$G$2:$G$173,"&lt;"&amp;DATE($A51+1,1,1))</x:f>
        <x:v>0</x:v>
      </x:c>
      <x:c r="F51" s="69" t="n">
        <x:f>MAX(0,20-C51)</x:f>
        <x:v>20</x:v>
      </x:c>
      <x:c r="G51" s="67" t="str">
        <x:f>IF(C51=0,"无记录",IF(D51=0,"仅候选/汇编",IF(C51&lt;20,"已确认但不足原目标","达到原目标")))</x:f>
        <x:v>无记录</x:v>
      </x:c>
    </x:row>
    <x:row r="52">
      <x:c r="A52" s="68" t="n">
        <x:v>2006</x:v>
      </x:c>
      <x:c r="B52" s="68" t="str">
        <x:v>北美洲</x:v>
      </x:c>
      <x:c r="C52" s="69" t="n">
        <x:f>SUMIFS('事件主表'!$AI$2:$AI$173,'事件主表'!$C$2:$C$173,$B52,'事件主表'!$G$2:$G$173,"&gt;="&amp;DATE($A52,1,1),'事件主表'!$G$2:$G$173,"&lt;"&amp;DATE($A52+1,1,1))</x:f>
        <x:v>1</x:v>
      </x:c>
      <x:c r="D52" s="69" t="n">
        <x:f>SUMIFS('事件主表'!$AI$2:$AI$173,'事件主表'!$C$2:$C$173,$B52,'事件主表'!$Y$2:$Y$173,"严格确认",'事件主表'!$G$2:$G$173,"&gt;="&amp;DATE($A52,1,1),'事件主表'!$G$2:$G$173,"&lt;"&amp;DATE($A52+1,1,1))</x:f>
        <x:v>1</x:v>
      </x:c>
      <x:c r="E52" s="69" t="n">
        <x:f>SUMIFS('事件主表'!$AI$2:$AI$173,'事件主表'!$C$2:$C$173,$B52,'事件主表'!$L$2:$L$173,"&lt;&gt;",'事件主表'!$M$2:$M$173,"&lt;&gt;",'事件主表'!$G$2:$G$173,"&gt;="&amp;DATE($A52,1,1),'事件主表'!$G$2:$G$173,"&lt;"&amp;DATE($A52+1,1,1))</x:f>
        <x:v>1</x:v>
      </x:c>
      <x:c r="F52" s="69" t="n">
        <x:f>MAX(0,20-C52)</x:f>
        <x:v>19</x:v>
      </x:c>
      <x:c r="G52" s="67" t="str">
        <x:f>IF(C52=0,"无记录",IF(D52=0,"仅候选/汇编",IF(C52&lt;20,"已确认但不足原目标","达到原目标")))</x:f>
        <x:v>已确认但不足原目标</x:v>
      </x:c>
    </x:row>
    <x:row r="53">
      <x:c r="A53" s="68" t="n">
        <x:v>2006</x:v>
      </x:c>
      <x:c r="B53" s="68" t="str">
        <x:v>南美洲</x:v>
      </x:c>
      <x:c r="C53" s="69" t="n">
        <x:f>SUMIFS('事件主表'!$AI$2:$AI$173,'事件主表'!$C$2:$C$173,$B53,'事件主表'!$G$2:$G$173,"&gt;="&amp;DATE($A53,1,1),'事件主表'!$G$2:$G$173,"&lt;"&amp;DATE($A53+1,1,1))</x:f>
        <x:v>0</x:v>
      </x:c>
      <x:c r="D53" s="69" t="n">
        <x:f>SUMIFS('事件主表'!$AI$2:$AI$173,'事件主表'!$C$2:$C$173,$B53,'事件主表'!$Y$2:$Y$173,"严格确认",'事件主表'!$G$2:$G$173,"&gt;="&amp;DATE($A53,1,1),'事件主表'!$G$2:$G$173,"&lt;"&amp;DATE($A53+1,1,1))</x:f>
        <x:v>0</x:v>
      </x:c>
      <x:c r="E53" s="69" t="n">
        <x:f>SUMIFS('事件主表'!$AI$2:$AI$173,'事件主表'!$C$2:$C$173,$B53,'事件主表'!$L$2:$L$173,"&lt;&gt;",'事件主表'!$M$2:$M$173,"&lt;&gt;",'事件主表'!$G$2:$G$173,"&gt;="&amp;DATE($A53,1,1),'事件主表'!$G$2:$G$173,"&lt;"&amp;DATE($A53+1,1,1))</x:f>
        <x:v>0</x:v>
      </x:c>
      <x:c r="F53" s="69" t="n">
        <x:f>MAX(0,20-C53)</x:f>
        <x:v>20</x:v>
      </x:c>
      <x:c r="G53" s="67" t="str">
        <x:f>IF(C53=0,"无记录",IF(D53=0,"仅候选/汇编",IF(C53&lt;20,"已确认但不足原目标","达到原目标")))</x:f>
        <x:v>无记录</x:v>
      </x:c>
    </x:row>
    <x:row r="54">
      <x:c r="A54" s="68" t="n">
        <x:v>2006</x:v>
      </x:c>
      <x:c r="B54" s="68" t="str">
        <x:v>大洋洲</x:v>
      </x:c>
      <x:c r="C54" s="69" t="n">
        <x:f>SUMIFS('事件主表'!$AI$2:$AI$173,'事件主表'!$C$2:$C$173,$B54,'事件主表'!$G$2:$G$173,"&gt;="&amp;DATE($A54,1,1),'事件主表'!$G$2:$G$173,"&lt;"&amp;DATE($A54+1,1,1))</x:f>
        <x:v>0</x:v>
      </x:c>
      <x:c r="D54" s="69" t="n">
        <x:f>SUMIFS('事件主表'!$AI$2:$AI$173,'事件主表'!$C$2:$C$173,$B54,'事件主表'!$Y$2:$Y$173,"严格确认",'事件主表'!$G$2:$G$173,"&gt;="&amp;DATE($A54,1,1),'事件主表'!$G$2:$G$173,"&lt;"&amp;DATE($A54+1,1,1))</x:f>
        <x:v>0</x:v>
      </x:c>
      <x:c r="E54" s="69" t="n">
        <x:f>SUMIFS('事件主表'!$AI$2:$AI$173,'事件主表'!$C$2:$C$173,$B54,'事件主表'!$L$2:$L$173,"&lt;&gt;",'事件主表'!$M$2:$M$173,"&lt;&gt;",'事件主表'!$G$2:$G$173,"&gt;="&amp;DATE($A54,1,1),'事件主表'!$G$2:$G$173,"&lt;"&amp;DATE($A54+1,1,1))</x:f>
        <x:v>0</x:v>
      </x:c>
      <x:c r="F54" s="69" t="n">
        <x:f>MAX(0,20-C54)</x:f>
        <x:v>20</x:v>
      </x:c>
      <x:c r="G54" s="67" t="str">
        <x:f>IF(C54=0,"无记录",IF(D54=0,"仅候选/汇编",IF(C54&lt;20,"已确认但不足原目标","达到原目标")))</x:f>
        <x:v>无记录</x:v>
      </x:c>
    </x:row>
    <x:row r="55">
      <x:c r="A55" s="68" t="n">
        <x:v>2007</x:v>
      </x:c>
      <x:c r="B55" s="68" t="str">
        <x:v>亚洲</x:v>
      </x:c>
      <x:c r="C55" s="69" t="n">
        <x:f>SUMIFS('事件主表'!$AI$2:$AI$173,'事件主表'!$C$2:$C$173,$B55,'事件主表'!$G$2:$G$173,"&gt;="&amp;DATE($A55,1,1),'事件主表'!$G$2:$G$173,"&lt;"&amp;DATE($A55+1,1,1))</x:f>
        <x:v>2</x:v>
      </x:c>
      <x:c r="D55" s="69" t="n">
        <x:f>SUMIFS('事件主表'!$AI$2:$AI$173,'事件主表'!$C$2:$C$173,$B55,'事件主表'!$Y$2:$Y$173,"严格确认",'事件主表'!$G$2:$G$173,"&gt;="&amp;DATE($A55,1,1),'事件主表'!$G$2:$G$173,"&lt;"&amp;DATE($A55+1,1,1))</x:f>
        <x:v>0</x:v>
      </x:c>
      <x:c r="E55" s="69" t="n">
        <x:f>SUMIFS('事件主表'!$AI$2:$AI$173,'事件主表'!$C$2:$C$173,$B55,'事件主表'!$L$2:$L$173,"&lt;&gt;",'事件主表'!$M$2:$M$173,"&lt;&gt;",'事件主表'!$G$2:$G$173,"&gt;="&amp;DATE($A55,1,1),'事件主表'!$G$2:$G$173,"&lt;"&amp;DATE($A55+1,1,1))</x:f>
        <x:v>2</x:v>
      </x:c>
      <x:c r="F55" s="69" t="n">
        <x:f>MAX(0,20-C55)</x:f>
        <x:v>18</x:v>
      </x:c>
      <x:c r="G55" s="67" t="str">
        <x:f>IF(C55=0,"无记录",IF(D55=0,"仅候选/汇编",IF(C55&lt;20,"已确认但不足原目标","达到原目标")))</x:f>
        <x:v>仅候选/汇编</x:v>
      </x:c>
    </x:row>
    <x:row r="56">
      <x:c r="A56" s="68" t="n">
        <x:v>2007</x:v>
      </x:c>
      <x:c r="B56" s="68" t="str">
        <x:v>欧洲</x:v>
      </x:c>
      <x:c r="C56" s="69" t="n">
        <x:f>SUMIFS('事件主表'!$AI$2:$AI$173,'事件主表'!$C$2:$C$173,$B56,'事件主表'!$G$2:$G$173,"&gt;="&amp;DATE($A56,1,1),'事件主表'!$G$2:$G$173,"&lt;"&amp;DATE($A56+1,1,1))</x:f>
        <x:v>0</x:v>
      </x:c>
      <x:c r="D56" s="69" t="n">
        <x:f>SUMIFS('事件主表'!$AI$2:$AI$173,'事件主表'!$C$2:$C$173,$B56,'事件主表'!$Y$2:$Y$173,"严格确认",'事件主表'!$G$2:$G$173,"&gt;="&amp;DATE($A56,1,1),'事件主表'!$G$2:$G$173,"&lt;"&amp;DATE($A56+1,1,1))</x:f>
        <x:v>0</x:v>
      </x:c>
      <x:c r="E56" s="69" t="n">
        <x:f>SUMIFS('事件主表'!$AI$2:$AI$173,'事件主表'!$C$2:$C$173,$B56,'事件主表'!$L$2:$L$173,"&lt;&gt;",'事件主表'!$M$2:$M$173,"&lt;&gt;",'事件主表'!$G$2:$G$173,"&gt;="&amp;DATE($A56,1,1),'事件主表'!$G$2:$G$173,"&lt;"&amp;DATE($A56+1,1,1))</x:f>
        <x:v>0</x:v>
      </x:c>
      <x:c r="F56" s="69" t="n">
        <x:f>MAX(0,20-C56)</x:f>
        <x:v>20</x:v>
      </x:c>
      <x:c r="G56" s="67" t="str">
        <x:f>IF(C56=0,"无记录",IF(D56=0,"仅候选/汇编",IF(C56&lt;20,"已确认但不足原目标","达到原目标")))</x:f>
        <x:v>无记录</x:v>
      </x:c>
    </x:row>
    <x:row r="57">
      <x:c r="A57" s="68" t="n">
        <x:v>2007</x:v>
      </x:c>
      <x:c r="B57" s="68" t="str">
        <x:v>非洲</x:v>
      </x:c>
      <x:c r="C57" s="69" t="n">
        <x:f>SUMIFS('事件主表'!$AI$2:$AI$173,'事件主表'!$C$2:$C$173,$B57,'事件主表'!$G$2:$G$173,"&gt;="&amp;DATE($A57,1,1),'事件主表'!$G$2:$G$173,"&lt;"&amp;DATE($A57+1,1,1))</x:f>
        <x:v>0</x:v>
      </x:c>
      <x:c r="D57" s="69" t="n">
        <x:f>SUMIFS('事件主表'!$AI$2:$AI$173,'事件主表'!$C$2:$C$173,$B57,'事件主表'!$Y$2:$Y$173,"严格确认",'事件主表'!$G$2:$G$173,"&gt;="&amp;DATE($A57,1,1),'事件主表'!$G$2:$G$173,"&lt;"&amp;DATE($A57+1,1,1))</x:f>
        <x:v>0</x:v>
      </x:c>
      <x:c r="E57" s="69" t="n">
        <x:f>SUMIFS('事件主表'!$AI$2:$AI$173,'事件主表'!$C$2:$C$173,$B57,'事件主表'!$L$2:$L$173,"&lt;&gt;",'事件主表'!$M$2:$M$173,"&lt;&gt;",'事件主表'!$G$2:$G$173,"&gt;="&amp;DATE($A57,1,1),'事件主表'!$G$2:$G$173,"&lt;"&amp;DATE($A57+1,1,1))</x:f>
        <x:v>0</x:v>
      </x:c>
      <x:c r="F57" s="69" t="n">
        <x:f>MAX(0,20-C57)</x:f>
        <x:v>20</x:v>
      </x:c>
      <x:c r="G57" s="67" t="str">
        <x:f>IF(C57=0,"无记录",IF(D57=0,"仅候选/汇编",IF(C57&lt;20,"已确认但不足原目标","达到原目标")))</x:f>
        <x:v>无记录</x:v>
      </x:c>
    </x:row>
    <x:row r="58">
      <x:c r="A58" s="68" t="n">
        <x:v>2007</x:v>
      </x:c>
      <x:c r="B58" s="68" t="str">
        <x:v>北美洲</x:v>
      </x:c>
      <x:c r="C58" s="69" t="n">
        <x:f>SUMIFS('事件主表'!$AI$2:$AI$173,'事件主表'!$C$2:$C$173,$B58,'事件主表'!$G$2:$G$173,"&gt;="&amp;DATE($A58,1,1),'事件主表'!$G$2:$G$173,"&lt;"&amp;DATE($A58+1,1,1))</x:f>
        <x:v>2</x:v>
      </x:c>
      <x:c r="D58" s="69" t="n">
        <x:f>SUMIFS('事件主表'!$AI$2:$AI$173,'事件主表'!$C$2:$C$173,$B58,'事件主表'!$Y$2:$Y$173,"严格确认",'事件主表'!$G$2:$G$173,"&gt;="&amp;DATE($A58,1,1),'事件主表'!$G$2:$G$173,"&lt;"&amp;DATE($A58+1,1,1))</x:f>
        <x:v>2</x:v>
      </x:c>
      <x:c r="E58" s="69" t="n">
        <x:f>SUMIFS('事件主表'!$AI$2:$AI$173,'事件主表'!$C$2:$C$173,$B58,'事件主表'!$L$2:$L$173,"&lt;&gt;",'事件主表'!$M$2:$M$173,"&lt;&gt;",'事件主表'!$G$2:$G$173,"&gt;="&amp;DATE($A58,1,1),'事件主表'!$G$2:$G$173,"&lt;"&amp;DATE($A58+1,1,1))</x:f>
        <x:v>2</x:v>
      </x:c>
      <x:c r="F58" s="69" t="n">
        <x:f>MAX(0,20-C58)</x:f>
        <x:v>18</x:v>
      </x:c>
      <x:c r="G58" s="67" t="str">
        <x:f>IF(C58=0,"无记录",IF(D58=0,"仅候选/汇编",IF(C58&lt;20,"已确认但不足原目标","达到原目标")))</x:f>
        <x:v>已确认但不足原目标</x:v>
      </x:c>
    </x:row>
    <x:row r="59">
      <x:c r="A59" s="68" t="n">
        <x:v>2007</x:v>
      </x:c>
      <x:c r="B59" s="68" t="str">
        <x:v>南美洲</x:v>
      </x:c>
      <x:c r="C59" s="69" t="n">
        <x:f>SUMIFS('事件主表'!$AI$2:$AI$173,'事件主表'!$C$2:$C$173,$B59,'事件主表'!$G$2:$G$173,"&gt;="&amp;DATE($A59,1,1),'事件主表'!$G$2:$G$173,"&lt;"&amp;DATE($A59+1,1,1))</x:f>
        <x:v>0</x:v>
      </x:c>
      <x:c r="D59" s="69" t="n">
        <x:f>SUMIFS('事件主表'!$AI$2:$AI$173,'事件主表'!$C$2:$C$173,$B59,'事件主表'!$Y$2:$Y$173,"严格确认",'事件主表'!$G$2:$G$173,"&gt;="&amp;DATE($A59,1,1),'事件主表'!$G$2:$G$173,"&lt;"&amp;DATE($A59+1,1,1))</x:f>
        <x:v>0</x:v>
      </x:c>
      <x:c r="E59" s="69" t="n">
        <x:f>SUMIFS('事件主表'!$AI$2:$AI$173,'事件主表'!$C$2:$C$173,$B59,'事件主表'!$L$2:$L$173,"&lt;&gt;",'事件主表'!$M$2:$M$173,"&lt;&gt;",'事件主表'!$G$2:$G$173,"&gt;="&amp;DATE($A59,1,1),'事件主表'!$G$2:$G$173,"&lt;"&amp;DATE($A59+1,1,1))</x:f>
        <x:v>0</x:v>
      </x:c>
      <x:c r="F59" s="69" t="n">
        <x:f>MAX(0,20-C59)</x:f>
        <x:v>20</x:v>
      </x:c>
      <x:c r="G59" s="67" t="str">
        <x:f>IF(C59=0,"无记录",IF(D59=0,"仅候选/汇编",IF(C59&lt;20,"已确认但不足原目标","达到原目标")))</x:f>
        <x:v>无记录</x:v>
      </x:c>
    </x:row>
    <x:row r="60">
      <x:c r="A60" s="68" t="n">
        <x:v>2007</x:v>
      </x:c>
      <x:c r="B60" s="68" t="str">
        <x:v>大洋洲</x:v>
      </x:c>
      <x:c r="C60" s="69" t="n">
        <x:f>SUMIFS('事件主表'!$AI$2:$AI$173,'事件主表'!$C$2:$C$173,$B60,'事件主表'!$G$2:$G$173,"&gt;="&amp;DATE($A60,1,1),'事件主表'!$G$2:$G$173,"&lt;"&amp;DATE($A60+1,1,1))</x:f>
        <x:v>0</x:v>
      </x:c>
      <x:c r="D60" s="69" t="n">
        <x:f>SUMIFS('事件主表'!$AI$2:$AI$173,'事件主表'!$C$2:$C$173,$B60,'事件主表'!$Y$2:$Y$173,"严格确认",'事件主表'!$G$2:$G$173,"&gt;="&amp;DATE($A60,1,1),'事件主表'!$G$2:$G$173,"&lt;"&amp;DATE($A60+1,1,1))</x:f>
        <x:v>0</x:v>
      </x:c>
      <x:c r="E60" s="69" t="n">
        <x:f>SUMIFS('事件主表'!$AI$2:$AI$173,'事件主表'!$C$2:$C$173,$B60,'事件主表'!$L$2:$L$173,"&lt;&gt;",'事件主表'!$M$2:$M$173,"&lt;&gt;",'事件主表'!$G$2:$G$173,"&gt;="&amp;DATE($A60,1,1),'事件主表'!$G$2:$G$173,"&lt;"&amp;DATE($A60+1,1,1))</x:f>
        <x:v>0</x:v>
      </x:c>
      <x:c r="F60" s="69" t="n">
        <x:f>MAX(0,20-C60)</x:f>
        <x:v>20</x:v>
      </x:c>
      <x:c r="G60" s="67" t="str">
        <x:f>IF(C60=0,"无记录",IF(D60=0,"仅候选/汇编",IF(C60&lt;20,"已确认但不足原目标","达到原目标")))</x:f>
        <x:v>无记录</x:v>
      </x:c>
    </x:row>
    <x:row r="61">
      <x:c r="A61" s="68" t="n">
        <x:v>2008</x:v>
      </x:c>
      <x:c r="B61" s="68" t="str">
        <x:v>亚洲</x:v>
      </x:c>
      <x:c r="C61" s="69" t="n">
        <x:f>SUMIFS('事件主表'!$AI$2:$AI$173,'事件主表'!$C$2:$C$173,$B61,'事件主表'!$G$2:$G$173,"&gt;="&amp;DATE($A61,1,1),'事件主表'!$G$2:$G$173,"&lt;"&amp;DATE($A61+1,1,1))</x:f>
        <x:v>1</x:v>
      </x:c>
      <x:c r="D61" s="69" t="n">
        <x:f>SUMIFS('事件主表'!$AI$2:$AI$173,'事件主表'!$C$2:$C$173,$B61,'事件主表'!$Y$2:$Y$173,"严格确认",'事件主表'!$G$2:$G$173,"&gt;="&amp;DATE($A61,1,1),'事件主表'!$G$2:$G$173,"&lt;"&amp;DATE($A61+1,1,1))</x:f>
        <x:v>0</x:v>
      </x:c>
      <x:c r="E61" s="69" t="n">
        <x:f>SUMIFS('事件主表'!$AI$2:$AI$173,'事件主表'!$C$2:$C$173,$B61,'事件主表'!$L$2:$L$173,"&lt;&gt;",'事件主表'!$M$2:$M$173,"&lt;&gt;",'事件主表'!$G$2:$G$173,"&gt;="&amp;DATE($A61,1,1),'事件主表'!$G$2:$G$173,"&lt;"&amp;DATE($A61+1,1,1))</x:f>
        <x:v>1</x:v>
      </x:c>
      <x:c r="F61" s="69" t="n">
        <x:f>MAX(0,20-C61)</x:f>
        <x:v>19</x:v>
      </x:c>
      <x:c r="G61" s="67" t="str">
        <x:f>IF(C61=0,"无记录",IF(D61=0,"仅候选/汇编",IF(C61&lt;20,"已确认但不足原目标","达到原目标")))</x:f>
        <x:v>仅候选/汇编</x:v>
      </x:c>
    </x:row>
    <x:row r="62">
      <x:c r="A62" s="68" t="n">
        <x:v>2008</x:v>
      </x:c>
      <x:c r="B62" s="68" t="str">
        <x:v>欧洲</x:v>
      </x:c>
      <x:c r="C62" s="69" t="n">
        <x:f>SUMIFS('事件主表'!$AI$2:$AI$173,'事件主表'!$C$2:$C$173,$B62,'事件主表'!$G$2:$G$173,"&gt;="&amp;DATE($A62,1,1),'事件主表'!$G$2:$G$173,"&lt;"&amp;DATE($A62+1,1,1))</x:f>
        <x:v>2</x:v>
      </x:c>
      <x:c r="D62" s="69" t="n">
        <x:f>SUMIFS('事件主表'!$AI$2:$AI$173,'事件主表'!$C$2:$C$173,$B62,'事件主表'!$Y$2:$Y$173,"严格确认",'事件主表'!$G$2:$G$173,"&gt;="&amp;DATE($A62,1,1),'事件主表'!$G$2:$G$173,"&lt;"&amp;DATE($A62+1,1,1))</x:f>
        <x:v>0</x:v>
      </x:c>
      <x:c r="E62" s="69" t="n">
        <x:f>SUMIFS('事件主表'!$AI$2:$AI$173,'事件主表'!$C$2:$C$173,$B62,'事件主表'!$L$2:$L$173,"&lt;&gt;",'事件主表'!$M$2:$M$173,"&lt;&gt;",'事件主表'!$G$2:$G$173,"&gt;="&amp;DATE($A62,1,1),'事件主表'!$G$2:$G$173,"&lt;"&amp;DATE($A62+1,1,1))</x:f>
        <x:v>1</x:v>
      </x:c>
      <x:c r="F62" s="69" t="n">
        <x:f>MAX(0,20-C62)</x:f>
        <x:v>18</x:v>
      </x:c>
      <x:c r="G62" s="67" t="str">
        <x:f>IF(C62=0,"无记录",IF(D62=0,"仅候选/汇编",IF(C62&lt;20,"已确认但不足原目标","达到原目标")))</x:f>
        <x:v>仅候选/汇编</x:v>
      </x:c>
    </x:row>
    <x:row r="63">
      <x:c r="A63" s="68" t="n">
        <x:v>2008</x:v>
      </x:c>
      <x:c r="B63" s="68" t="str">
        <x:v>非洲</x:v>
      </x:c>
      <x:c r="C63" s="69" t="n">
        <x:f>SUMIFS('事件主表'!$AI$2:$AI$173,'事件主表'!$C$2:$C$173,$B63,'事件主表'!$G$2:$G$173,"&gt;="&amp;DATE($A63,1,1),'事件主表'!$G$2:$G$173,"&lt;"&amp;DATE($A63+1,1,1))</x:f>
        <x:v>0</x:v>
      </x:c>
      <x:c r="D63" s="69" t="n">
        <x:f>SUMIFS('事件主表'!$AI$2:$AI$173,'事件主表'!$C$2:$C$173,$B63,'事件主表'!$Y$2:$Y$173,"严格确认",'事件主表'!$G$2:$G$173,"&gt;="&amp;DATE($A63,1,1),'事件主表'!$G$2:$G$173,"&lt;"&amp;DATE($A63+1,1,1))</x:f>
        <x:v>0</x:v>
      </x:c>
      <x:c r="E63" s="69" t="n">
        <x:f>SUMIFS('事件主表'!$AI$2:$AI$173,'事件主表'!$C$2:$C$173,$B63,'事件主表'!$L$2:$L$173,"&lt;&gt;",'事件主表'!$M$2:$M$173,"&lt;&gt;",'事件主表'!$G$2:$G$173,"&gt;="&amp;DATE($A63,1,1),'事件主表'!$G$2:$G$173,"&lt;"&amp;DATE($A63+1,1,1))</x:f>
        <x:v>0</x:v>
      </x:c>
      <x:c r="F63" s="69" t="n">
        <x:f>MAX(0,20-C63)</x:f>
        <x:v>20</x:v>
      </x:c>
      <x:c r="G63" s="67" t="str">
        <x:f>IF(C63=0,"无记录",IF(D63=0,"仅候选/汇编",IF(C63&lt;20,"已确认但不足原目标","达到原目标")))</x:f>
        <x:v>无记录</x:v>
      </x:c>
    </x:row>
    <x:row r="64">
      <x:c r="A64" s="68" t="n">
        <x:v>2008</x:v>
      </x:c>
      <x:c r="B64" s="68" t="str">
        <x:v>北美洲</x:v>
      </x:c>
      <x:c r="C64" s="69" t="n">
        <x:f>SUMIFS('事件主表'!$AI$2:$AI$173,'事件主表'!$C$2:$C$173,$B64,'事件主表'!$G$2:$G$173,"&gt;="&amp;DATE($A64,1,1),'事件主表'!$G$2:$G$173,"&lt;"&amp;DATE($A64+1,1,1))</x:f>
        <x:v>1</x:v>
      </x:c>
      <x:c r="D64" s="69" t="n">
        <x:f>SUMIFS('事件主表'!$AI$2:$AI$173,'事件主表'!$C$2:$C$173,$B64,'事件主表'!$Y$2:$Y$173,"严格确认",'事件主表'!$G$2:$G$173,"&gt;="&amp;DATE($A64,1,1),'事件主表'!$G$2:$G$173,"&lt;"&amp;DATE($A64+1,1,1))</x:f>
        <x:v>1</x:v>
      </x:c>
      <x:c r="E64" s="69" t="n">
        <x:f>SUMIFS('事件主表'!$AI$2:$AI$173,'事件主表'!$C$2:$C$173,$B64,'事件主表'!$L$2:$L$173,"&lt;&gt;",'事件主表'!$M$2:$M$173,"&lt;&gt;",'事件主表'!$G$2:$G$173,"&gt;="&amp;DATE($A64,1,1),'事件主表'!$G$2:$G$173,"&lt;"&amp;DATE($A64+1,1,1))</x:f>
        <x:v>1</x:v>
      </x:c>
      <x:c r="F64" s="69" t="n">
        <x:f>MAX(0,20-C64)</x:f>
        <x:v>19</x:v>
      </x:c>
      <x:c r="G64" s="67" t="str">
        <x:f>IF(C64=0,"无记录",IF(D64=0,"仅候选/汇编",IF(C64&lt;20,"已确认但不足原目标","达到原目标")))</x:f>
        <x:v>已确认但不足原目标</x:v>
      </x:c>
    </x:row>
    <x:row r="65">
      <x:c r="A65" s="68" t="n">
        <x:v>2008</x:v>
      </x:c>
      <x:c r="B65" s="68" t="str">
        <x:v>南美洲</x:v>
      </x:c>
      <x:c r="C65" s="69" t="n">
        <x:f>SUMIFS('事件主表'!$AI$2:$AI$173,'事件主表'!$C$2:$C$173,$B65,'事件主表'!$G$2:$G$173,"&gt;="&amp;DATE($A65,1,1),'事件主表'!$G$2:$G$173,"&lt;"&amp;DATE($A65+1,1,1))</x:f>
        <x:v>0</x:v>
      </x:c>
      <x:c r="D65" s="69" t="n">
        <x:f>SUMIFS('事件主表'!$AI$2:$AI$173,'事件主表'!$C$2:$C$173,$B65,'事件主表'!$Y$2:$Y$173,"严格确认",'事件主表'!$G$2:$G$173,"&gt;="&amp;DATE($A65,1,1),'事件主表'!$G$2:$G$173,"&lt;"&amp;DATE($A65+1,1,1))</x:f>
        <x:v>0</x:v>
      </x:c>
      <x:c r="E65" s="69" t="n">
        <x:f>SUMIFS('事件主表'!$AI$2:$AI$173,'事件主表'!$C$2:$C$173,$B65,'事件主表'!$L$2:$L$173,"&lt;&gt;",'事件主表'!$M$2:$M$173,"&lt;&gt;",'事件主表'!$G$2:$G$173,"&gt;="&amp;DATE($A65,1,1),'事件主表'!$G$2:$G$173,"&lt;"&amp;DATE($A65+1,1,1))</x:f>
        <x:v>0</x:v>
      </x:c>
      <x:c r="F65" s="69" t="n">
        <x:f>MAX(0,20-C65)</x:f>
        <x:v>20</x:v>
      </x:c>
      <x:c r="G65" s="67" t="str">
        <x:f>IF(C65=0,"无记录",IF(D65=0,"仅候选/汇编",IF(C65&lt;20,"已确认但不足原目标","达到原目标")))</x:f>
        <x:v>无记录</x:v>
      </x:c>
    </x:row>
    <x:row r="66">
      <x:c r="A66" s="68" t="n">
        <x:v>2008</x:v>
      </x:c>
      <x:c r="B66" s="68" t="str">
        <x:v>大洋洲</x:v>
      </x:c>
      <x:c r="C66" s="69" t="n">
        <x:f>SUMIFS('事件主表'!$AI$2:$AI$173,'事件主表'!$C$2:$C$173,$B66,'事件主表'!$G$2:$G$173,"&gt;="&amp;DATE($A66,1,1),'事件主表'!$G$2:$G$173,"&lt;"&amp;DATE($A66+1,1,1))</x:f>
        <x:v>0</x:v>
      </x:c>
      <x:c r="D66" s="69" t="n">
        <x:f>SUMIFS('事件主表'!$AI$2:$AI$173,'事件主表'!$C$2:$C$173,$B66,'事件主表'!$Y$2:$Y$173,"严格确认",'事件主表'!$G$2:$G$173,"&gt;="&amp;DATE($A66,1,1),'事件主表'!$G$2:$G$173,"&lt;"&amp;DATE($A66+1,1,1))</x:f>
        <x:v>0</x:v>
      </x:c>
      <x:c r="E66" s="69" t="n">
        <x:f>SUMIFS('事件主表'!$AI$2:$AI$173,'事件主表'!$C$2:$C$173,$B66,'事件主表'!$L$2:$L$173,"&lt;&gt;",'事件主表'!$M$2:$M$173,"&lt;&gt;",'事件主表'!$G$2:$G$173,"&gt;="&amp;DATE($A66,1,1),'事件主表'!$G$2:$G$173,"&lt;"&amp;DATE($A66+1,1,1))</x:f>
        <x:v>0</x:v>
      </x:c>
      <x:c r="F66" s="69" t="n">
        <x:f>MAX(0,20-C66)</x:f>
        <x:v>20</x:v>
      </x:c>
      <x:c r="G66" s="67" t="str">
        <x:f>IF(C66=0,"无记录",IF(D66=0,"仅候选/汇编",IF(C66&lt;20,"已确认但不足原目标","达到原目标")))</x:f>
        <x:v>无记录</x:v>
      </x:c>
    </x:row>
    <x:row r="67">
      <x:c r="A67" s="68" t="n">
        <x:v>2009</x:v>
      </x:c>
      <x:c r="B67" s="68" t="str">
        <x:v>亚洲</x:v>
      </x:c>
      <x:c r="C67" s="69" t="n">
        <x:f>SUMIFS('事件主表'!$AI$2:$AI$173,'事件主表'!$C$2:$C$173,$B67,'事件主表'!$G$2:$G$173,"&gt;="&amp;DATE($A67,1,1),'事件主表'!$G$2:$G$173,"&lt;"&amp;DATE($A67+1,1,1))</x:f>
        <x:v>3</x:v>
      </x:c>
      <x:c r="D67" s="69" t="n">
        <x:f>SUMIFS('事件主表'!$AI$2:$AI$173,'事件主表'!$C$2:$C$173,$B67,'事件主表'!$Y$2:$Y$173,"严格确认",'事件主表'!$G$2:$G$173,"&gt;="&amp;DATE($A67,1,1),'事件主表'!$G$2:$G$173,"&lt;"&amp;DATE($A67+1,1,1))</x:f>
        <x:v>0</x:v>
      </x:c>
      <x:c r="E67" s="69" t="n">
        <x:f>SUMIFS('事件主表'!$AI$2:$AI$173,'事件主表'!$C$2:$C$173,$B67,'事件主表'!$L$2:$L$173,"&lt;&gt;",'事件主表'!$M$2:$M$173,"&lt;&gt;",'事件主表'!$G$2:$G$173,"&gt;="&amp;DATE($A67,1,1),'事件主表'!$G$2:$G$173,"&lt;"&amp;DATE($A67+1,1,1))</x:f>
        <x:v>3</x:v>
      </x:c>
      <x:c r="F67" s="69" t="n">
        <x:f>MAX(0,20-C67)</x:f>
        <x:v>17</x:v>
      </x:c>
      <x:c r="G67" s="67" t="str">
        <x:f>IF(C67=0,"无记录",IF(D67=0,"仅候选/汇编",IF(C67&lt;20,"已确认但不足原目标","达到原目标")))</x:f>
        <x:v>仅候选/汇编</x:v>
      </x:c>
    </x:row>
    <x:row r="68">
      <x:c r="A68" s="68" t="n">
        <x:v>2009</x:v>
      </x:c>
      <x:c r="B68" s="68" t="str">
        <x:v>欧洲</x:v>
      </x:c>
      <x:c r="C68" s="69" t="n">
        <x:f>SUMIFS('事件主表'!$AI$2:$AI$173,'事件主表'!$C$2:$C$173,$B68,'事件主表'!$G$2:$G$173,"&gt;="&amp;DATE($A68,1,1),'事件主表'!$G$2:$G$173,"&lt;"&amp;DATE($A68+1,1,1))</x:f>
        <x:v>2</x:v>
      </x:c>
      <x:c r="D68" s="69" t="n">
        <x:f>SUMIFS('事件主表'!$AI$2:$AI$173,'事件主表'!$C$2:$C$173,$B68,'事件主表'!$Y$2:$Y$173,"严格确认",'事件主表'!$G$2:$G$173,"&gt;="&amp;DATE($A68,1,1),'事件主表'!$G$2:$G$173,"&lt;"&amp;DATE($A68+1,1,1))</x:f>
        <x:v>2</x:v>
      </x:c>
      <x:c r="E68" s="69" t="n">
        <x:f>SUMIFS('事件主表'!$AI$2:$AI$173,'事件主表'!$C$2:$C$173,$B68,'事件主表'!$L$2:$L$173,"&lt;&gt;",'事件主表'!$M$2:$M$173,"&lt;&gt;",'事件主表'!$G$2:$G$173,"&gt;="&amp;DATE($A68,1,1),'事件主表'!$G$2:$G$173,"&lt;"&amp;DATE($A68+1,1,1))</x:f>
        <x:v>2</x:v>
      </x:c>
      <x:c r="F68" s="69" t="n">
        <x:f>MAX(0,20-C68)</x:f>
        <x:v>18</x:v>
      </x:c>
      <x:c r="G68" s="67" t="str">
        <x:f>IF(C68=0,"无记录",IF(D68=0,"仅候选/汇编",IF(C68&lt;20,"已确认但不足原目标","达到原目标")))</x:f>
        <x:v>已确认但不足原目标</x:v>
      </x:c>
    </x:row>
    <x:row r="69">
      <x:c r="A69" s="68" t="n">
        <x:v>2009</x:v>
      </x:c>
      <x:c r="B69" s="68" t="str">
        <x:v>非洲</x:v>
      </x:c>
      <x:c r="C69" s="69" t="n">
        <x:f>SUMIFS('事件主表'!$AI$2:$AI$173,'事件主表'!$C$2:$C$173,$B69,'事件主表'!$G$2:$G$173,"&gt;="&amp;DATE($A69,1,1),'事件主表'!$G$2:$G$173,"&lt;"&amp;DATE($A69+1,1,1))</x:f>
        <x:v>0</x:v>
      </x:c>
      <x:c r="D69" s="69" t="n">
        <x:f>SUMIFS('事件主表'!$AI$2:$AI$173,'事件主表'!$C$2:$C$173,$B69,'事件主表'!$Y$2:$Y$173,"严格确认",'事件主表'!$G$2:$G$173,"&gt;="&amp;DATE($A69,1,1),'事件主表'!$G$2:$G$173,"&lt;"&amp;DATE($A69+1,1,1))</x:f>
        <x:v>0</x:v>
      </x:c>
      <x:c r="E69" s="69" t="n">
        <x:f>SUMIFS('事件主表'!$AI$2:$AI$173,'事件主表'!$C$2:$C$173,$B69,'事件主表'!$L$2:$L$173,"&lt;&gt;",'事件主表'!$M$2:$M$173,"&lt;&gt;",'事件主表'!$G$2:$G$173,"&gt;="&amp;DATE($A69,1,1),'事件主表'!$G$2:$G$173,"&lt;"&amp;DATE($A69+1,1,1))</x:f>
        <x:v>0</x:v>
      </x:c>
      <x:c r="F69" s="69" t="n">
        <x:f>MAX(0,20-C69)</x:f>
        <x:v>20</x:v>
      </x:c>
      <x:c r="G69" s="67" t="str">
        <x:f>IF(C69=0,"无记录",IF(D69=0,"仅候选/汇编",IF(C69&lt;20,"已确认但不足原目标","达到原目标")))</x:f>
        <x:v>无记录</x:v>
      </x:c>
    </x:row>
    <x:row r="70">
      <x:c r="A70" s="68" t="n">
        <x:v>2009</x:v>
      </x:c>
      <x:c r="B70" s="68" t="str">
        <x:v>北美洲</x:v>
      </x:c>
      <x:c r="C70" s="69" t="n">
        <x:f>SUMIFS('事件主表'!$AI$2:$AI$173,'事件主表'!$C$2:$C$173,$B70,'事件主表'!$G$2:$G$173,"&gt;="&amp;DATE($A70,1,1),'事件主表'!$G$2:$G$173,"&lt;"&amp;DATE($A70+1,1,1))</x:f>
        <x:v>0</x:v>
      </x:c>
      <x:c r="D70" s="69" t="n">
        <x:f>SUMIFS('事件主表'!$AI$2:$AI$173,'事件主表'!$C$2:$C$173,$B70,'事件主表'!$Y$2:$Y$173,"严格确认",'事件主表'!$G$2:$G$173,"&gt;="&amp;DATE($A70,1,1),'事件主表'!$G$2:$G$173,"&lt;"&amp;DATE($A70+1,1,1))</x:f>
        <x:v>0</x:v>
      </x:c>
      <x:c r="E70" s="69" t="n">
        <x:f>SUMIFS('事件主表'!$AI$2:$AI$173,'事件主表'!$C$2:$C$173,$B70,'事件主表'!$L$2:$L$173,"&lt;&gt;",'事件主表'!$M$2:$M$173,"&lt;&gt;",'事件主表'!$G$2:$G$173,"&gt;="&amp;DATE($A70,1,1),'事件主表'!$G$2:$G$173,"&lt;"&amp;DATE($A70+1,1,1))</x:f>
        <x:v>0</x:v>
      </x:c>
      <x:c r="F70" s="69" t="n">
        <x:f>MAX(0,20-C70)</x:f>
        <x:v>20</x:v>
      </x:c>
      <x:c r="G70" s="67" t="str">
        <x:f>IF(C70=0,"无记录",IF(D70=0,"仅候选/汇编",IF(C70&lt;20,"已确认但不足原目标","达到原目标")))</x:f>
        <x:v>无记录</x:v>
      </x:c>
    </x:row>
    <x:row r="71">
      <x:c r="A71" s="68" t="n">
        <x:v>2009</x:v>
      </x:c>
      <x:c r="B71" s="68" t="str">
        <x:v>南美洲</x:v>
      </x:c>
      <x:c r="C71" s="69" t="n">
        <x:f>SUMIFS('事件主表'!$AI$2:$AI$173,'事件主表'!$C$2:$C$173,$B71,'事件主表'!$G$2:$G$173,"&gt;="&amp;DATE($A71,1,1),'事件主表'!$G$2:$G$173,"&lt;"&amp;DATE($A71+1,1,1))</x:f>
        <x:v>0</x:v>
      </x:c>
      <x:c r="D71" s="69" t="n">
        <x:f>SUMIFS('事件主表'!$AI$2:$AI$173,'事件主表'!$C$2:$C$173,$B71,'事件主表'!$Y$2:$Y$173,"严格确认",'事件主表'!$G$2:$G$173,"&gt;="&amp;DATE($A71,1,1),'事件主表'!$G$2:$G$173,"&lt;"&amp;DATE($A71+1,1,1))</x:f>
        <x:v>0</x:v>
      </x:c>
      <x:c r="E71" s="69" t="n">
        <x:f>SUMIFS('事件主表'!$AI$2:$AI$173,'事件主表'!$C$2:$C$173,$B71,'事件主表'!$L$2:$L$173,"&lt;&gt;",'事件主表'!$M$2:$M$173,"&lt;&gt;",'事件主表'!$G$2:$G$173,"&gt;="&amp;DATE($A71,1,1),'事件主表'!$G$2:$G$173,"&lt;"&amp;DATE($A71+1,1,1))</x:f>
        <x:v>0</x:v>
      </x:c>
      <x:c r="F71" s="69" t="n">
        <x:f>MAX(0,20-C71)</x:f>
        <x:v>20</x:v>
      </x:c>
      <x:c r="G71" s="67" t="str">
        <x:f>IF(C71=0,"无记录",IF(D71=0,"仅候选/汇编",IF(C71&lt;20,"已确认但不足原目标","达到原目标")))</x:f>
        <x:v>无记录</x:v>
      </x:c>
    </x:row>
    <x:row r="72">
      <x:c r="A72" s="68" t="n">
        <x:v>2009</x:v>
      </x:c>
      <x:c r="B72" s="68" t="str">
        <x:v>大洋洲</x:v>
      </x:c>
      <x:c r="C72" s="69" t="n">
        <x:f>SUMIFS('事件主表'!$AI$2:$AI$173,'事件主表'!$C$2:$C$173,$B72,'事件主表'!$G$2:$G$173,"&gt;="&amp;DATE($A72,1,1),'事件主表'!$G$2:$G$173,"&lt;"&amp;DATE($A72+1,1,1))</x:f>
        <x:v>0</x:v>
      </x:c>
      <x:c r="D72" s="69" t="n">
        <x:f>SUMIFS('事件主表'!$AI$2:$AI$173,'事件主表'!$C$2:$C$173,$B72,'事件主表'!$Y$2:$Y$173,"严格确认",'事件主表'!$G$2:$G$173,"&gt;="&amp;DATE($A72,1,1),'事件主表'!$G$2:$G$173,"&lt;"&amp;DATE($A72+1,1,1))</x:f>
        <x:v>0</x:v>
      </x:c>
      <x:c r="E72" s="69" t="n">
        <x:f>SUMIFS('事件主表'!$AI$2:$AI$173,'事件主表'!$C$2:$C$173,$B72,'事件主表'!$L$2:$L$173,"&lt;&gt;",'事件主表'!$M$2:$M$173,"&lt;&gt;",'事件主表'!$G$2:$G$173,"&gt;="&amp;DATE($A72,1,1),'事件主表'!$G$2:$G$173,"&lt;"&amp;DATE($A72+1,1,1))</x:f>
        <x:v>0</x:v>
      </x:c>
      <x:c r="F72" s="69" t="n">
        <x:f>MAX(0,20-C72)</x:f>
        <x:v>20</x:v>
      </x:c>
      <x:c r="G72" s="67" t="str">
        <x:f>IF(C72=0,"无记录",IF(D72=0,"仅候选/汇编",IF(C72&lt;20,"已确认但不足原目标","达到原目标")))</x:f>
        <x:v>无记录</x:v>
      </x:c>
    </x:row>
    <x:row r="73">
      <x:c r="A73" s="68" t="n">
        <x:v>2010</x:v>
      </x:c>
      <x:c r="B73" s="68" t="str">
        <x:v>亚洲</x:v>
      </x:c>
      <x:c r="C73" s="69" t="n">
        <x:f>SUMIFS('事件主表'!$AI$2:$AI$173,'事件主表'!$C$2:$C$173,$B73,'事件主表'!$G$2:$G$173,"&gt;="&amp;DATE($A73,1,1),'事件主表'!$G$2:$G$173,"&lt;"&amp;DATE($A73+1,1,1))</x:f>
        <x:v>3</x:v>
      </x:c>
      <x:c r="D73" s="69" t="n">
        <x:f>SUMIFS('事件主表'!$AI$2:$AI$173,'事件主表'!$C$2:$C$173,$B73,'事件主表'!$Y$2:$Y$173,"严格确认",'事件主表'!$G$2:$G$173,"&gt;="&amp;DATE($A73,1,1),'事件主表'!$G$2:$G$173,"&lt;"&amp;DATE($A73+1,1,1))</x:f>
        <x:v>0</x:v>
      </x:c>
      <x:c r="E73" s="69" t="n">
        <x:f>SUMIFS('事件主表'!$AI$2:$AI$173,'事件主表'!$C$2:$C$173,$B73,'事件主表'!$L$2:$L$173,"&lt;&gt;",'事件主表'!$M$2:$M$173,"&lt;&gt;",'事件主表'!$G$2:$G$173,"&gt;="&amp;DATE($A73,1,1),'事件主表'!$G$2:$G$173,"&lt;"&amp;DATE($A73+1,1,1))</x:f>
        <x:v>3</x:v>
      </x:c>
      <x:c r="F73" s="69" t="n">
        <x:f>MAX(0,20-C73)</x:f>
        <x:v>17</x:v>
      </x:c>
      <x:c r="G73" s="67" t="str">
        <x:f>IF(C73=0,"无记录",IF(D73=0,"仅候选/汇编",IF(C73&lt;20,"已确认但不足原目标","达到原目标")))</x:f>
        <x:v>仅候选/汇编</x:v>
      </x:c>
    </x:row>
    <x:row r="74">
      <x:c r="A74" s="68" t="n">
        <x:v>2010</x:v>
      </x:c>
      <x:c r="B74" s="68" t="str">
        <x:v>欧洲</x:v>
      </x:c>
      <x:c r="C74" s="69" t="n">
        <x:f>SUMIFS('事件主表'!$AI$2:$AI$173,'事件主表'!$C$2:$C$173,$B74,'事件主表'!$G$2:$G$173,"&gt;="&amp;DATE($A74,1,1),'事件主表'!$G$2:$G$173,"&lt;"&amp;DATE($A74+1,1,1))</x:f>
        <x:v>4</x:v>
      </x:c>
      <x:c r="D74" s="69" t="n">
        <x:f>SUMIFS('事件主表'!$AI$2:$AI$173,'事件主表'!$C$2:$C$173,$B74,'事件主表'!$Y$2:$Y$173,"严格确认",'事件主表'!$G$2:$G$173,"&gt;="&amp;DATE($A74,1,1),'事件主表'!$G$2:$G$173,"&lt;"&amp;DATE($A74+1,1,1))</x:f>
        <x:v>0</x:v>
      </x:c>
      <x:c r="E74" s="69" t="n">
        <x:f>SUMIFS('事件主表'!$AI$2:$AI$173,'事件主表'!$C$2:$C$173,$B74,'事件主表'!$L$2:$L$173,"&lt;&gt;",'事件主表'!$M$2:$M$173,"&lt;&gt;",'事件主表'!$G$2:$G$173,"&gt;="&amp;DATE($A74,1,1),'事件主表'!$G$2:$G$173,"&lt;"&amp;DATE($A74+1,1,1))</x:f>
        <x:v>3</x:v>
      </x:c>
      <x:c r="F74" s="69" t="n">
        <x:f>MAX(0,20-C74)</x:f>
        <x:v>16</x:v>
      </x:c>
      <x:c r="G74" s="67" t="str">
        <x:f>IF(C74=0,"无记录",IF(D74=0,"仅候选/汇编",IF(C74&lt;20,"已确认但不足原目标","达到原目标")))</x:f>
        <x:v>仅候选/汇编</x:v>
      </x:c>
    </x:row>
    <x:row r="75">
      <x:c r="A75" s="68" t="n">
        <x:v>2010</x:v>
      </x:c>
      <x:c r="B75" s="68" t="str">
        <x:v>非洲</x:v>
      </x:c>
      <x:c r="C75" s="69" t="n">
        <x:f>SUMIFS('事件主表'!$AI$2:$AI$173,'事件主表'!$C$2:$C$173,$B75,'事件主表'!$G$2:$G$173,"&gt;="&amp;DATE($A75,1,1),'事件主表'!$G$2:$G$173,"&lt;"&amp;DATE($A75+1,1,1))</x:f>
        <x:v>0</x:v>
      </x:c>
      <x:c r="D75" s="69" t="n">
        <x:f>SUMIFS('事件主表'!$AI$2:$AI$173,'事件主表'!$C$2:$C$173,$B75,'事件主表'!$Y$2:$Y$173,"严格确认",'事件主表'!$G$2:$G$173,"&gt;="&amp;DATE($A75,1,1),'事件主表'!$G$2:$G$173,"&lt;"&amp;DATE($A75+1,1,1))</x:f>
        <x:v>0</x:v>
      </x:c>
      <x:c r="E75" s="69" t="n">
        <x:f>SUMIFS('事件主表'!$AI$2:$AI$173,'事件主表'!$C$2:$C$173,$B75,'事件主表'!$L$2:$L$173,"&lt;&gt;",'事件主表'!$M$2:$M$173,"&lt;&gt;",'事件主表'!$G$2:$G$173,"&gt;="&amp;DATE($A75,1,1),'事件主表'!$G$2:$G$173,"&lt;"&amp;DATE($A75+1,1,1))</x:f>
        <x:v>0</x:v>
      </x:c>
      <x:c r="F75" s="69" t="n">
        <x:f>MAX(0,20-C75)</x:f>
        <x:v>20</x:v>
      </x:c>
      <x:c r="G75" s="67" t="str">
        <x:f>IF(C75=0,"无记录",IF(D75=0,"仅候选/汇编",IF(C75&lt;20,"已确认但不足原目标","达到原目标")))</x:f>
        <x:v>无记录</x:v>
      </x:c>
    </x:row>
    <x:row r="76">
      <x:c r="A76" s="68" t="n">
        <x:v>2010</x:v>
      </x:c>
      <x:c r="B76" s="68" t="str">
        <x:v>北美洲</x:v>
      </x:c>
      <x:c r="C76" s="69" t="n">
        <x:f>SUMIFS('事件主表'!$AI$2:$AI$173,'事件主表'!$C$2:$C$173,$B76,'事件主表'!$G$2:$G$173,"&gt;="&amp;DATE($A76,1,1),'事件主表'!$G$2:$G$173,"&lt;"&amp;DATE($A76+1,1,1))</x:f>
        <x:v>0</x:v>
      </x:c>
      <x:c r="D76" s="69" t="n">
        <x:f>SUMIFS('事件主表'!$AI$2:$AI$173,'事件主表'!$C$2:$C$173,$B76,'事件主表'!$Y$2:$Y$173,"严格确认",'事件主表'!$G$2:$G$173,"&gt;="&amp;DATE($A76,1,1),'事件主表'!$G$2:$G$173,"&lt;"&amp;DATE($A76+1,1,1))</x:f>
        <x:v>0</x:v>
      </x:c>
      <x:c r="E76" s="69" t="n">
        <x:f>SUMIFS('事件主表'!$AI$2:$AI$173,'事件主表'!$C$2:$C$173,$B76,'事件主表'!$L$2:$L$173,"&lt;&gt;",'事件主表'!$M$2:$M$173,"&lt;&gt;",'事件主表'!$G$2:$G$173,"&gt;="&amp;DATE($A76,1,1),'事件主表'!$G$2:$G$173,"&lt;"&amp;DATE($A76+1,1,1))</x:f>
        <x:v>0</x:v>
      </x:c>
      <x:c r="F76" s="69" t="n">
        <x:f>MAX(0,20-C76)</x:f>
        <x:v>20</x:v>
      </x:c>
      <x:c r="G76" s="67" t="str">
        <x:f>IF(C76=0,"无记录",IF(D76=0,"仅候选/汇编",IF(C76&lt;20,"已确认但不足原目标","达到原目标")))</x:f>
        <x:v>无记录</x:v>
      </x:c>
    </x:row>
    <x:row r="77">
      <x:c r="A77" s="68" t="n">
        <x:v>2010</x:v>
      </x:c>
      <x:c r="B77" s="68" t="str">
        <x:v>南美洲</x:v>
      </x:c>
      <x:c r="C77" s="69" t="n">
        <x:f>SUMIFS('事件主表'!$AI$2:$AI$173,'事件主表'!$C$2:$C$173,$B77,'事件主表'!$G$2:$G$173,"&gt;="&amp;DATE($A77,1,1),'事件主表'!$G$2:$G$173,"&lt;"&amp;DATE($A77+1,1,1))</x:f>
        <x:v>0</x:v>
      </x:c>
      <x:c r="D77" s="69" t="n">
        <x:f>SUMIFS('事件主表'!$AI$2:$AI$173,'事件主表'!$C$2:$C$173,$B77,'事件主表'!$Y$2:$Y$173,"严格确认",'事件主表'!$G$2:$G$173,"&gt;="&amp;DATE($A77,1,1),'事件主表'!$G$2:$G$173,"&lt;"&amp;DATE($A77+1,1,1))</x:f>
        <x:v>0</x:v>
      </x:c>
      <x:c r="E77" s="69" t="n">
        <x:f>SUMIFS('事件主表'!$AI$2:$AI$173,'事件主表'!$C$2:$C$173,$B77,'事件主表'!$L$2:$L$173,"&lt;&gt;",'事件主表'!$M$2:$M$173,"&lt;&gt;",'事件主表'!$G$2:$G$173,"&gt;="&amp;DATE($A77,1,1),'事件主表'!$G$2:$G$173,"&lt;"&amp;DATE($A77+1,1,1))</x:f>
        <x:v>0</x:v>
      </x:c>
      <x:c r="F77" s="69" t="n">
        <x:f>MAX(0,20-C77)</x:f>
        <x:v>20</x:v>
      </x:c>
      <x:c r="G77" s="67" t="str">
        <x:f>IF(C77=0,"无记录",IF(D77=0,"仅候选/汇编",IF(C77&lt;20,"已确认但不足原目标","达到原目标")))</x:f>
        <x:v>无记录</x:v>
      </x:c>
    </x:row>
    <x:row r="78">
      <x:c r="A78" s="68" t="n">
        <x:v>2010</x:v>
      </x:c>
      <x:c r="B78" s="68" t="str">
        <x:v>大洋洲</x:v>
      </x:c>
      <x:c r="C78" s="69" t="n">
        <x:f>SUMIFS('事件主表'!$AI$2:$AI$173,'事件主表'!$C$2:$C$173,$B78,'事件主表'!$G$2:$G$173,"&gt;="&amp;DATE($A78,1,1),'事件主表'!$G$2:$G$173,"&lt;"&amp;DATE($A78+1,1,1))</x:f>
        <x:v>0</x:v>
      </x:c>
      <x:c r="D78" s="69" t="n">
        <x:f>SUMIFS('事件主表'!$AI$2:$AI$173,'事件主表'!$C$2:$C$173,$B78,'事件主表'!$Y$2:$Y$173,"严格确认",'事件主表'!$G$2:$G$173,"&gt;="&amp;DATE($A78,1,1),'事件主表'!$G$2:$G$173,"&lt;"&amp;DATE($A78+1,1,1))</x:f>
        <x:v>0</x:v>
      </x:c>
      <x:c r="E78" s="69" t="n">
        <x:f>SUMIFS('事件主表'!$AI$2:$AI$173,'事件主表'!$C$2:$C$173,$B78,'事件主表'!$L$2:$L$173,"&lt;&gt;",'事件主表'!$M$2:$M$173,"&lt;&gt;",'事件主表'!$G$2:$G$173,"&gt;="&amp;DATE($A78,1,1),'事件主表'!$G$2:$G$173,"&lt;"&amp;DATE($A78+1,1,1))</x:f>
        <x:v>0</x:v>
      </x:c>
      <x:c r="F78" s="69" t="n">
        <x:f>MAX(0,20-C78)</x:f>
        <x:v>20</x:v>
      </x:c>
      <x:c r="G78" s="67" t="str">
        <x:f>IF(C78=0,"无记录",IF(D78=0,"仅候选/汇编",IF(C78&lt;20,"已确认但不足原目标","达到原目标")))</x:f>
        <x:v>无记录</x:v>
      </x:c>
    </x:row>
    <x:row r="79">
      <x:c r="A79" s="68" t="n">
        <x:v>2011</x:v>
      </x:c>
      <x:c r="B79" s="68" t="str">
        <x:v>亚洲</x:v>
      </x:c>
      <x:c r="C79" s="69" t="n">
        <x:f>SUMIFS('事件主表'!$AI$2:$AI$173,'事件主表'!$C$2:$C$173,$B79,'事件主表'!$G$2:$G$173,"&gt;="&amp;DATE($A79,1,1),'事件主表'!$G$2:$G$173,"&lt;"&amp;DATE($A79+1,1,1))</x:f>
        <x:v>2</x:v>
      </x:c>
      <x:c r="D79" s="69" t="n">
        <x:f>SUMIFS('事件主表'!$AI$2:$AI$173,'事件主表'!$C$2:$C$173,$B79,'事件主表'!$Y$2:$Y$173,"严格确认",'事件主表'!$G$2:$G$173,"&gt;="&amp;DATE($A79,1,1),'事件主表'!$G$2:$G$173,"&lt;"&amp;DATE($A79+1,1,1))</x:f>
        <x:v>0</x:v>
      </x:c>
      <x:c r="E79" s="69" t="n">
        <x:f>SUMIFS('事件主表'!$AI$2:$AI$173,'事件主表'!$C$2:$C$173,$B79,'事件主表'!$L$2:$L$173,"&lt;&gt;",'事件主表'!$M$2:$M$173,"&lt;&gt;",'事件主表'!$G$2:$G$173,"&gt;="&amp;DATE($A79,1,1),'事件主表'!$G$2:$G$173,"&lt;"&amp;DATE($A79+1,1,1))</x:f>
        <x:v>2</x:v>
      </x:c>
      <x:c r="F79" s="69" t="n">
        <x:f>MAX(0,20-C79)</x:f>
        <x:v>18</x:v>
      </x:c>
      <x:c r="G79" s="67" t="str">
        <x:f>IF(C79=0,"无记录",IF(D79=0,"仅候选/汇编",IF(C79&lt;20,"已确认但不足原目标","达到原目标")))</x:f>
        <x:v>仅候选/汇编</x:v>
      </x:c>
    </x:row>
    <x:row r="80">
      <x:c r="A80" s="68" t="n">
        <x:v>2011</x:v>
      </x:c>
      <x:c r="B80" s="68" t="str">
        <x:v>欧洲</x:v>
      </x:c>
      <x:c r="C80" s="69" t="n">
        <x:f>SUMIFS('事件主表'!$AI$2:$AI$173,'事件主表'!$C$2:$C$173,$B80,'事件主表'!$G$2:$G$173,"&gt;="&amp;DATE($A80,1,1),'事件主表'!$G$2:$G$173,"&lt;"&amp;DATE($A80+1,1,1))</x:f>
        <x:v>0</x:v>
      </x:c>
      <x:c r="D80" s="69" t="n">
        <x:f>SUMIFS('事件主表'!$AI$2:$AI$173,'事件主表'!$C$2:$C$173,$B80,'事件主表'!$Y$2:$Y$173,"严格确认",'事件主表'!$G$2:$G$173,"&gt;="&amp;DATE($A80,1,1),'事件主表'!$G$2:$G$173,"&lt;"&amp;DATE($A80+1,1,1))</x:f>
        <x:v>0</x:v>
      </x:c>
      <x:c r="E80" s="69" t="n">
        <x:f>SUMIFS('事件主表'!$AI$2:$AI$173,'事件主表'!$C$2:$C$173,$B80,'事件主表'!$L$2:$L$173,"&lt;&gt;",'事件主表'!$M$2:$M$173,"&lt;&gt;",'事件主表'!$G$2:$G$173,"&gt;="&amp;DATE($A80,1,1),'事件主表'!$G$2:$G$173,"&lt;"&amp;DATE($A80+1,1,1))</x:f>
        <x:v>0</x:v>
      </x:c>
      <x:c r="F80" s="69" t="n">
        <x:f>MAX(0,20-C80)</x:f>
        <x:v>20</x:v>
      </x:c>
      <x:c r="G80" s="67" t="str">
        <x:f>IF(C80=0,"无记录",IF(D80=0,"仅候选/汇编",IF(C80&lt;20,"已确认但不足原目标","达到原目标")))</x:f>
        <x:v>无记录</x:v>
      </x:c>
    </x:row>
    <x:row r="81">
      <x:c r="A81" s="68" t="n">
        <x:v>2011</x:v>
      </x:c>
      <x:c r="B81" s="68" t="str">
        <x:v>非洲</x:v>
      </x:c>
      <x:c r="C81" s="69" t="n">
        <x:f>SUMIFS('事件主表'!$AI$2:$AI$173,'事件主表'!$C$2:$C$173,$B81,'事件主表'!$G$2:$G$173,"&gt;="&amp;DATE($A81,1,1),'事件主表'!$G$2:$G$173,"&lt;"&amp;DATE($A81+1,1,1))</x:f>
        <x:v>0</x:v>
      </x:c>
      <x:c r="D81" s="69" t="n">
        <x:f>SUMIFS('事件主表'!$AI$2:$AI$173,'事件主表'!$C$2:$C$173,$B81,'事件主表'!$Y$2:$Y$173,"严格确认",'事件主表'!$G$2:$G$173,"&gt;="&amp;DATE($A81,1,1),'事件主表'!$G$2:$G$173,"&lt;"&amp;DATE($A81+1,1,1))</x:f>
        <x:v>0</x:v>
      </x:c>
      <x:c r="E81" s="69" t="n">
        <x:f>SUMIFS('事件主表'!$AI$2:$AI$173,'事件主表'!$C$2:$C$173,$B81,'事件主表'!$L$2:$L$173,"&lt;&gt;",'事件主表'!$M$2:$M$173,"&lt;&gt;",'事件主表'!$G$2:$G$173,"&gt;="&amp;DATE($A81,1,1),'事件主表'!$G$2:$G$173,"&lt;"&amp;DATE($A81+1,1,1))</x:f>
        <x:v>0</x:v>
      </x:c>
      <x:c r="F81" s="69" t="n">
        <x:f>MAX(0,20-C81)</x:f>
        <x:v>20</x:v>
      </x:c>
      <x:c r="G81" s="67" t="str">
        <x:f>IF(C81=0,"无记录",IF(D81=0,"仅候选/汇编",IF(C81&lt;20,"已确认但不足原目标","达到原目标")))</x:f>
        <x:v>无记录</x:v>
      </x:c>
    </x:row>
    <x:row r="82">
      <x:c r="A82" s="68" t="n">
        <x:v>2011</x:v>
      </x:c>
      <x:c r="B82" s="68" t="str">
        <x:v>北美洲</x:v>
      </x:c>
      <x:c r="C82" s="69" t="n">
        <x:f>SUMIFS('事件主表'!$AI$2:$AI$173,'事件主表'!$C$2:$C$173,$B82,'事件主表'!$G$2:$G$173,"&gt;="&amp;DATE($A82,1,1),'事件主表'!$G$2:$G$173,"&lt;"&amp;DATE($A82+1,1,1))</x:f>
        <x:v>0</x:v>
      </x:c>
      <x:c r="D82" s="69" t="n">
        <x:f>SUMIFS('事件主表'!$AI$2:$AI$173,'事件主表'!$C$2:$C$173,$B82,'事件主表'!$Y$2:$Y$173,"严格确认",'事件主表'!$G$2:$G$173,"&gt;="&amp;DATE($A82,1,1),'事件主表'!$G$2:$G$173,"&lt;"&amp;DATE($A82+1,1,1))</x:f>
        <x:v>0</x:v>
      </x:c>
      <x:c r="E82" s="69" t="n">
        <x:f>SUMIFS('事件主表'!$AI$2:$AI$173,'事件主表'!$C$2:$C$173,$B82,'事件主表'!$L$2:$L$173,"&lt;&gt;",'事件主表'!$M$2:$M$173,"&lt;&gt;",'事件主表'!$G$2:$G$173,"&gt;="&amp;DATE($A82,1,1),'事件主表'!$G$2:$G$173,"&lt;"&amp;DATE($A82+1,1,1))</x:f>
        <x:v>0</x:v>
      </x:c>
      <x:c r="F82" s="69" t="n">
        <x:f>MAX(0,20-C82)</x:f>
        <x:v>20</x:v>
      </x:c>
      <x:c r="G82" s="67" t="str">
        <x:f>IF(C82=0,"无记录",IF(D82=0,"仅候选/汇编",IF(C82&lt;20,"已确认但不足原目标","达到原目标")))</x:f>
        <x:v>无记录</x:v>
      </x:c>
    </x:row>
    <x:row r="83">
      <x:c r="A83" s="68" t="n">
        <x:v>2011</x:v>
      </x:c>
      <x:c r="B83" s="68" t="str">
        <x:v>南美洲</x:v>
      </x:c>
      <x:c r="C83" s="69" t="n">
        <x:f>SUMIFS('事件主表'!$AI$2:$AI$173,'事件主表'!$C$2:$C$173,$B83,'事件主表'!$G$2:$G$173,"&gt;="&amp;DATE($A83,1,1),'事件主表'!$G$2:$G$173,"&lt;"&amp;DATE($A83+1,1,1))</x:f>
        <x:v>0</x:v>
      </x:c>
      <x:c r="D83" s="69" t="n">
        <x:f>SUMIFS('事件主表'!$AI$2:$AI$173,'事件主表'!$C$2:$C$173,$B83,'事件主表'!$Y$2:$Y$173,"严格确认",'事件主表'!$G$2:$G$173,"&gt;="&amp;DATE($A83,1,1),'事件主表'!$G$2:$G$173,"&lt;"&amp;DATE($A83+1,1,1))</x:f>
        <x:v>0</x:v>
      </x:c>
      <x:c r="E83" s="69" t="n">
        <x:f>SUMIFS('事件主表'!$AI$2:$AI$173,'事件主表'!$C$2:$C$173,$B83,'事件主表'!$L$2:$L$173,"&lt;&gt;",'事件主表'!$M$2:$M$173,"&lt;&gt;",'事件主表'!$G$2:$G$173,"&gt;="&amp;DATE($A83,1,1),'事件主表'!$G$2:$G$173,"&lt;"&amp;DATE($A83+1,1,1))</x:f>
        <x:v>0</x:v>
      </x:c>
      <x:c r="F83" s="69" t="n">
        <x:f>MAX(0,20-C83)</x:f>
        <x:v>20</x:v>
      </x:c>
      <x:c r="G83" s="67" t="str">
        <x:f>IF(C83=0,"无记录",IF(D83=0,"仅候选/汇编",IF(C83&lt;20,"已确认但不足原目标","达到原目标")))</x:f>
        <x:v>无记录</x:v>
      </x:c>
    </x:row>
    <x:row r="84">
      <x:c r="A84" s="68" t="n">
        <x:v>2011</x:v>
      </x:c>
      <x:c r="B84" s="68" t="str">
        <x:v>大洋洲</x:v>
      </x:c>
      <x:c r="C84" s="69" t="n">
        <x:f>SUMIFS('事件主表'!$AI$2:$AI$173,'事件主表'!$C$2:$C$173,$B84,'事件主表'!$G$2:$G$173,"&gt;="&amp;DATE($A84,1,1),'事件主表'!$G$2:$G$173,"&lt;"&amp;DATE($A84+1,1,1))</x:f>
        <x:v>0</x:v>
      </x:c>
      <x:c r="D84" s="69" t="n">
        <x:f>SUMIFS('事件主表'!$AI$2:$AI$173,'事件主表'!$C$2:$C$173,$B84,'事件主表'!$Y$2:$Y$173,"严格确认",'事件主表'!$G$2:$G$173,"&gt;="&amp;DATE($A84,1,1),'事件主表'!$G$2:$G$173,"&lt;"&amp;DATE($A84+1,1,1))</x:f>
        <x:v>0</x:v>
      </x:c>
      <x:c r="E84" s="69" t="n">
        <x:f>SUMIFS('事件主表'!$AI$2:$AI$173,'事件主表'!$C$2:$C$173,$B84,'事件主表'!$L$2:$L$173,"&lt;&gt;",'事件主表'!$M$2:$M$173,"&lt;&gt;",'事件主表'!$G$2:$G$173,"&gt;="&amp;DATE($A84,1,1),'事件主表'!$G$2:$G$173,"&lt;"&amp;DATE($A84+1,1,1))</x:f>
        <x:v>0</x:v>
      </x:c>
      <x:c r="F84" s="69" t="n">
        <x:f>MAX(0,20-C84)</x:f>
        <x:v>20</x:v>
      </x:c>
      <x:c r="G84" s="67" t="str">
        <x:f>IF(C84=0,"无记录",IF(D84=0,"仅候选/汇编",IF(C84&lt;20,"已确认但不足原目标","达到原目标")))</x:f>
        <x:v>无记录</x:v>
      </x:c>
    </x:row>
    <x:row r="85">
      <x:c r="A85" s="68" t="n">
        <x:v>2012</x:v>
      </x:c>
      <x:c r="B85" s="68" t="str">
        <x:v>亚洲</x:v>
      </x:c>
      <x:c r="C85" s="69" t="n">
        <x:f>SUMIFS('事件主表'!$AI$2:$AI$173,'事件主表'!$C$2:$C$173,$B85,'事件主表'!$G$2:$G$173,"&gt;="&amp;DATE($A85,1,1),'事件主表'!$G$2:$G$173,"&lt;"&amp;DATE($A85+1,1,1))</x:f>
        <x:v>7</x:v>
      </x:c>
      <x:c r="D85" s="69" t="n">
        <x:f>SUMIFS('事件主表'!$AI$2:$AI$173,'事件主表'!$C$2:$C$173,$B85,'事件主表'!$Y$2:$Y$173,"严格确认",'事件主表'!$G$2:$G$173,"&gt;="&amp;DATE($A85,1,1),'事件主表'!$G$2:$G$173,"&lt;"&amp;DATE($A85+1,1,1))</x:f>
        <x:v>0</x:v>
      </x:c>
      <x:c r="E85" s="69" t="n">
        <x:f>SUMIFS('事件主表'!$AI$2:$AI$173,'事件主表'!$C$2:$C$173,$B85,'事件主表'!$L$2:$L$173,"&lt;&gt;",'事件主表'!$M$2:$M$173,"&lt;&gt;",'事件主表'!$G$2:$G$173,"&gt;="&amp;DATE($A85,1,1),'事件主表'!$G$2:$G$173,"&lt;"&amp;DATE($A85+1,1,1))</x:f>
        <x:v>7</x:v>
      </x:c>
      <x:c r="F85" s="69" t="n">
        <x:f>MAX(0,20-C85)</x:f>
        <x:v>13</x:v>
      </x:c>
      <x:c r="G85" s="67" t="str">
        <x:f>IF(C85=0,"无记录",IF(D85=0,"仅候选/汇编",IF(C85&lt;20,"已确认但不足原目标","达到原目标")))</x:f>
        <x:v>仅候选/汇编</x:v>
      </x:c>
    </x:row>
    <x:row r="86">
      <x:c r="A86" s="68" t="n">
        <x:v>2012</x:v>
      </x:c>
      <x:c r="B86" s="68" t="str">
        <x:v>欧洲</x:v>
      </x:c>
      <x:c r="C86" s="69" t="n">
        <x:f>SUMIFS('事件主表'!$AI$2:$AI$173,'事件主表'!$C$2:$C$173,$B86,'事件主表'!$G$2:$G$173,"&gt;="&amp;DATE($A86,1,1),'事件主表'!$G$2:$G$173,"&lt;"&amp;DATE($A86+1,1,1))</x:f>
        <x:v>2</x:v>
      </x:c>
      <x:c r="D86" s="69" t="n">
        <x:f>SUMIFS('事件主表'!$AI$2:$AI$173,'事件主表'!$C$2:$C$173,$B86,'事件主表'!$Y$2:$Y$173,"严格确认",'事件主表'!$G$2:$G$173,"&gt;="&amp;DATE($A86,1,1),'事件主表'!$G$2:$G$173,"&lt;"&amp;DATE($A86+1,1,1))</x:f>
        <x:v>1</x:v>
      </x:c>
      <x:c r="E86" s="69" t="n">
        <x:f>SUMIFS('事件主表'!$AI$2:$AI$173,'事件主表'!$C$2:$C$173,$B86,'事件主表'!$L$2:$L$173,"&lt;&gt;",'事件主表'!$M$2:$M$173,"&lt;&gt;",'事件主表'!$G$2:$G$173,"&gt;="&amp;DATE($A86,1,1),'事件主表'!$G$2:$G$173,"&lt;"&amp;DATE($A86+1,1,1))</x:f>
        <x:v>2</x:v>
      </x:c>
      <x:c r="F86" s="69" t="n">
        <x:f>MAX(0,20-C86)</x:f>
        <x:v>18</x:v>
      </x:c>
      <x:c r="G86" s="67" t="str">
        <x:f>IF(C86=0,"无记录",IF(D86=0,"仅候选/汇编",IF(C86&lt;20,"已确认但不足原目标","达到原目标")))</x:f>
        <x:v>已确认但不足原目标</x:v>
      </x:c>
    </x:row>
    <x:row r="87">
      <x:c r="A87" s="68" t="n">
        <x:v>2012</x:v>
      </x:c>
      <x:c r="B87" s="68" t="str">
        <x:v>非洲</x:v>
      </x:c>
      <x:c r="C87" s="69" t="n">
        <x:f>SUMIFS('事件主表'!$AI$2:$AI$173,'事件主表'!$C$2:$C$173,$B87,'事件主表'!$G$2:$G$173,"&gt;="&amp;DATE($A87,1,1),'事件主表'!$G$2:$G$173,"&lt;"&amp;DATE($A87+1,1,1))</x:f>
        <x:v>0</x:v>
      </x:c>
      <x:c r="D87" s="69" t="n">
        <x:f>SUMIFS('事件主表'!$AI$2:$AI$173,'事件主表'!$C$2:$C$173,$B87,'事件主表'!$Y$2:$Y$173,"严格确认",'事件主表'!$G$2:$G$173,"&gt;="&amp;DATE($A87,1,1),'事件主表'!$G$2:$G$173,"&lt;"&amp;DATE($A87+1,1,1))</x:f>
        <x:v>0</x:v>
      </x:c>
      <x:c r="E87" s="69" t="n">
        <x:f>SUMIFS('事件主表'!$AI$2:$AI$173,'事件主表'!$C$2:$C$173,$B87,'事件主表'!$L$2:$L$173,"&lt;&gt;",'事件主表'!$M$2:$M$173,"&lt;&gt;",'事件主表'!$G$2:$G$173,"&gt;="&amp;DATE($A87,1,1),'事件主表'!$G$2:$G$173,"&lt;"&amp;DATE($A87+1,1,1))</x:f>
        <x:v>0</x:v>
      </x:c>
      <x:c r="F87" s="69" t="n">
        <x:f>MAX(0,20-C87)</x:f>
        <x:v>20</x:v>
      </x:c>
      <x:c r="G87" s="67" t="str">
        <x:f>IF(C87=0,"无记录",IF(D87=0,"仅候选/汇编",IF(C87&lt;20,"已确认但不足原目标","达到原目标")))</x:f>
        <x:v>无记录</x:v>
      </x:c>
    </x:row>
    <x:row r="88">
      <x:c r="A88" s="68" t="n">
        <x:v>2012</x:v>
      </x:c>
      <x:c r="B88" s="68" t="str">
        <x:v>北美洲</x:v>
      </x:c>
      <x:c r="C88" s="69" t="n">
        <x:f>SUMIFS('事件主表'!$AI$2:$AI$173,'事件主表'!$C$2:$C$173,$B88,'事件主表'!$G$2:$G$173,"&gt;="&amp;DATE($A88,1,1),'事件主表'!$G$2:$G$173,"&lt;"&amp;DATE($A88+1,1,1))</x:f>
        <x:v>0</x:v>
      </x:c>
      <x:c r="D88" s="69" t="n">
        <x:f>SUMIFS('事件主表'!$AI$2:$AI$173,'事件主表'!$C$2:$C$173,$B88,'事件主表'!$Y$2:$Y$173,"严格确认",'事件主表'!$G$2:$G$173,"&gt;="&amp;DATE($A88,1,1),'事件主表'!$G$2:$G$173,"&lt;"&amp;DATE($A88+1,1,1))</x:f>
        <x:v>0</x:v>
      </x:c>
      <x:c r="E88" s="69" t="n">
        <x:f>SUMIFS('事件主表'!$AI$2:$AI$173,'事件主表'!$C$2:$C$173,$B88,'事件主表'!$L$2:$L$173,"&lt;&gt;",'事件主表'!$M$2:$M$173,"&lt;&gt;",'事件主表'!$G$2:$G$173,"&gt;="&amp;DATE($A88,1,1),'事件主表'!$G$2:$G$173,"&lt;"&amp;DATE($A88+1,1,1))</x:f>
        <x:v>0</x:v>
      </x:c>
      <x:c r="F88" s="69" t="n">
        <x:f>MAX(0,20-C88)</x:f>
        <x:v>20</x:v>
      </x:c>
      <x:c r="G88" s="67" t="str">
        <x:f>IF(C88=0,"无记录",IF(D88=0,"仅候选/汇编",IF(C88&lt;20,"已确认但不足原目标","达到原目标")))</x:f>
        <x:v>无记录</x:v>
      </x:c>
    </x:row>
    <x:row r="89">
      <x:c r="A89" s="68" t="n">
        <x:v>2012</x:v>
      </x:c>
      <x:c r="B89" s="68" t="str">
        <x:v>南美洲</x:v>
      </x:c>
      <x:c r="C89" s="69" t="n">
        <x:f>SUMIFS('事件主表'!$AI$2:$AI$173,'事件主表'!$C$2:$C$173,$B89,'事件主表'!$G$2:$G$173,"&gt;="&amp;DATE($A89,1,1),'事件主表'!$G$2:$G$173,"&lt;"&amp;DATE($A89+1,1,1))</x:f>
        <x:v>0</x:v>
      </x:c>
      <x:c r="D89" s="69" t="n">
        <x:f>SUMIFS('事件主表'!$AI$2:$AI$173,'事件主表'!$C$2:$C$173,$B89,'事件主表'!$Y$2:$Y$173,"严格确认",'事件主表'!$G$2:$G$173,"&gt;="&amp;DATE($A89,1,1),'事件主表'!$G$2:$G$173,"&lt;"&amp;DATE($A89+1,1,1))</x:f>
        <x:v>0</x:v>
      </x:c>
      <x:c r="E89" s="69" t="n">
        <x:f>SUMIFS('事件主表'!$AI$2:$AI$173,'事件主表'!$C$2:$C$173,$B89,'事件主表'!$L$2:$L$173,"&lt;&gt;",'事件主表'!$M$2:$M$173,"&lt;&gt;",'事件主表'!$G$2:$G$173,"&gt;="&amp;DATE($A89,1,1),'事件主表'!$G$2:$G$173,"&lt;"&amp;DATE($A89+1,1,1))</x:f>
        <x:v>0</x:v>
      </x:c>
      <x:c r="F89" s="69" t="n">
        <x:f>MAX(0,20-C89)</x:f>
        <x:v>20</x:v>
      </x:c>
      <x:c r="G89" s="67" t="str">
        <x:f>IF(C89=0,"无记录",IF(D89=0,"仅候选/汇编",IF(C89&lt;20,"已确认但不足原目标","达到原目标")))</x:f>
        <x:v>无记录</x:v>
      </x:c>
    </x:row>
    <x:row r="90">
      <x:c r="A90" s="68" t="n">
        <x:v>2012</x:v>
      </x:c>
      <x:c r="B90" s="68" t="str">
        <x:v>大洋洲</x:v>
      </x:c>
      <x:c r="C90" s="69" t="n">
        <x:f>SUMIFS('事件主表'!$AI$2:$AI$173,'事件主表'!$C$2:$C$173,$B90,'事件主表'!$G$2:$G$173,"&gt;="&amp;DATE($A90,1,1),'事件主表'!$G$2:$G$173,"&lt;"&amp;DATE($A90+1,1,1))</x:f>
        <x:v>0</x:v>
      </x:c>
      <x:c r="D90" s="69" t="n">
        <x:f>SUMIFS('事件主表'!$AI$2:$AI$173,'事件主表'!$C$2:$C$173,$B90,'事件主表'!$Y$2:$Y$173,"严格确认",'事件主表'!$G$2:$G$173,"&gt;="&amp;DATE($A90,1,1),'事件主表'!$G$2:$G$173,"&lt;"&amp;DATE($A90+1,1,1))</x:f>
        <x:v>0</x:v>
      </x:c>
      <x:c r="E90" s="69" t="n">
        <x:f>SUMIFS('事件主表'!$AI$2:$AI$173,'事件主表'!$C$2:$C$173,$B90,'事件主表'!$L$2:$L$173,"&lt;&gt;",'事件主表'!$M$2:$M$173,"&lt;&gt;",'事件主表'!$G$2:$G$173,"&gt;="&amp;DATE($A90,1,1),'事件主表'!$G$2:$G$173,"&lt;"&amp;DATE($A90+1,1,1))</x:f>
        <x:v>0</x:v>
      </x:c>
      <x:c r="F90" s="69" t="n">
        <x:f>MAX(0,20-C90)</x:f>
        <x:v>20</x:v>
      </x:c>
      <x:c r="G90" s="67" t="str">
        <x:f>IF(C90=0,"无记录",IF(D90=0,"仅候选/汇编",IF(C90&lt;20,"已确认但不足原目标","达到原目标")))</x:f>
        <x:v>无记录</x:v>
      </x:c>
    </x:row>
    <x:row r="91">
      <x:c r="A91" s="68" t="n">
        <x:v>2013</x:v>
      </x:c>
      <x:c r="B91" s="68" t="str">
        <x:v>亚洲</x:v>
      </x:c>
      <x:c r="C91" s="69" t="n">
        <x:f>SUMIFS('事件主表'!$AI$2:$AI$173,'事件主表'!$C$2:$C$173,$B91,'事件主表'!$G$2:$G$173,"&gt;="&amp;DATE($A91,1,1),'事件主表'!$G$2:$G$173,"&lt;"&amp;DATE($A91+1,1,1))</x:f>
        <x:v>2</x:v>
      </x:c>
      <x:c r="D91" s="69" t="n">
        <x:f>SUMIFS('事件主表'!$AI$2:$AI$173,'事件主表'!$C$2:$C$173,$B91,'事件主表'!$Y$2:$Y$173,"严格确认",'事件主表'!$G$2:$G$173,"&gt;="&amp;DATE($A91,1,1),'事件主表'!$G$2:$G$173,"&lt;"&amp;DATE($A91+1,1,1))</x:f>
        <x:v>0</x:v>
      </x:c>
      <x:c r="E91" s="69" t="n">
        <x:f>SUMIFS('事件主表'!$AI$2:$AI$173,'事件主表'!$C$2:$C$173,$B91,'事件主表'!$L$2:$L$173,"&lt;&gt;",'事件主表'!$M$2:$M$173,"&lt;&gt;",'事件主表'!$G$2:$G$173,"&gt;="&amp;DATE($A91,1,1),'事件主表'!$G$2:$G$173,"&lt;"&amp;DATE($A91+1,1,1))</x:f>
        <x:v>2</x:v>
      </x:c>
      <x:c r="F91" s="69" t="n">
        <x:f>MAX(0,20-C91)</x:f>
        <x:v>18</x:v>
      </x:c>
      <x:c r="G91" s="67" t="str">
        <x:f>IF(C91=0,"无记录",IF(D91=0,"仅候选/汇编",IF(C91&lt;20,"已确认但不足原目标","达到原目标")))</x:f>
        <x:v>仅候选/汇编</x:v>
      </x:c>
    </x:row>
    <x:row r="92">
      <x:c r="A92" s="68" t="n">
        <x:v>2013</x:v>
      </x:c>
      <x:c r="B92" s="68" t="str">
        <x:v>欧洲</x:v>
      </x:c>
      <x:c r="C92" s="69" t="n">
        <x:f>SUMIFS('事件主表'!$AI$2:$AI$173,'事件主表'!$C$2:$C$173,$B92,'事件主表'!$G$2:$G$173,"&gt;="&amp;DATE($A92,1,1),'事件主表'!$G$2:$G$173,"&lt;"&amp;DATE($A92+1,1,1))</x:f>
        <x:v>2</x:v>
      </x:c>
      <x:c r="D92" s="69" t="n">
        <x:f>SUMIFS('事件主表'!$AI$2:$AI$173,'事件主表'!$C$2:$C$173,$B92,'事件主表'!$Y$2:$Y$173,"严格确认",'事件主表'!$G$2:$G$173,"&gt;="&amp;DATE($A92,1,1),'事件主表'!$G$2:$G$173,"&lt;"&amp;DATE($A92+1,1,1))</x:f>
        <x:v>1</x:v>
      </x:c>
      <x:c r="E92" s="69" t="n">
        <x:f>SUMIFS('事件主表'!$AI$2:$AI$173,'事件主表'!$C$2:$C$173,$B92,'事件主表'!$L$2:$L$173,"&lt;&gt;",'事件主表'!$M$2:$M$173,"&lt;&gt;",'事件主表'!$G$2:$G$173,"&gt;="&amp;DATE($A92,1,1),'事件主表'!$G$2:$G$173,"&lt;"&amp;DATE($A92+1,1,1))</x:f>
        <x:v>2</x:v>
      </x:c>
      <x:c r="F92" s="69" t="n">
        <x:f>MAX(0,20-C92)</x:f>
        <x:v>18</x:v>
      </x:c>
      <x:c r="G92" s="67" t="str">
        <x:f>IF(C92=0,"无记录",IF(D92=0,"仅候选/汇编",IF(C92&lt;20,"已确认但不足原目标","达到原目标")))</x:f>
        <x:v>已确认但不足原目标</x:v>
      </x:c>
    </x:row>
    <x:row r="93">
      <x:c r="A93" s="68" t="n">
        <x:v>2013</x:v>
      </x:c>
      <x:c r="B93" s="68" t="str">
        <x:v>非洲</x:v>
      </x:c>
      <x:c r="C93" s="69" t="n">
        <x:f>SUMIFS('事件主表'!$AI$2:$AI$173,'事件主表'!$C$2:$C$173,$B93,'事件主表'!$G$2:$G$173,"&gt;="&amp;DATE($A93,1,1),'事件主表'!$G$2:$G$173,"&lt;"&amp;DATE($A93+1,1,1))</x:f>
        <x:v>1</x:v>
      </x:c>
      <x:c r="D93" s="69" t="n">
        <x:f>SUMIFS('事件主表'!$AI$2:$AI$173,'事件主表'!$C$2:$C$173,$B93,'事件主表'!$Y$2:$Y$173,"严格确认",'事件主表'!$G$2:$G$173,"&gt;="&amp;DATE($A93,1,1),'事件主表'!$G$2:$G$173,"&lt;"&amp;DATE($A93+1,1,1))</x:f>
        <x:v>1</x:v>
      </x:c>
      <x:c r="E93" s="69" t="n">
        <x:f>SUMIFS('事件主表'!$AI$2:$AI$173,'事件主表'!$C$2:$C$173,$B93,'事件主表'!$L$2:$L$173,"&lt;&gt;",'事件主表'!$M$2:$M$173,"&lt;&gt;",'事件主表'!$G$2:$G$173,"&gt;="&amp;DATE($A93,1,1),'事件主表'!$G$2:$G$173,"&lt;"&amp;DATE($A93+1,1,1))</x:f>
        <x:v>1</x:v>
      </x:c>
      <x:c r="F93" s="69" t="n">
        <x:f>MAX(0,20-C93)</x:f>
        <x:v>19</x:v>
      </x:c>
      <x:c r="G93" s="67" t="str">
        <x:f>IF(C93=0,"无记录",IF(D93=0,"仅候选/汇编",IF(C93&lt;20,"已确认但不足原目标","达到原目标")))</x:f>
        <x:v>已确认但不足原目标</x:v>
      </x:c>
    </x:row>
    <x:row r="94">
      <x:c r="A94" s="68" t="n">
        <x:v>2013</x:v>
      </x:c>
      <x:c r="B94" s="68" t="str">
        <x:v>北美洲</x:v>
      </x:c>
      <x:c r="C94" s="69" t="n">
        <x:f>SUMIFS('事件主表'!$AI$2:$AI$173,'事件主表'!$C$2:$C$173,$B94,'事件主表'!$G$2:$G$173,"&gt;="&amp;DATE($A94,1,1),'事件主表'!$G$2:$G$173,"&lt;"&amp;DATE($A94+1,1,1))</x:f>
        <x:v>1</x:v>
      </x:c>
      <x:c r="D94" s="69" t="n">
        <x:f>SUMIFS('事件主表'!$AI$2:$AI$173,'事件主表'!$C$2:$C$173,$B94,'事件主表'!$Y$2:$Y$173,"严格确认",'事件主表'!$G$2:$G$173,"&gt;="&amp;DATE($A94,1,1),'事件主表'!$G$2:$G$173,"&lt;"&amp;DATE($A94+1,1,1))</x:f>
        <x:v>1</x:v>
      </x:c>
      <x:c r="E94" s="69" t="n">
        <x:f>SUMIFS('事件主表'!$AI$2:$AI$173,'事件主表'!$C$2:$C$173,$B94,'事件主表'!$L$2:$L$173,"&lt;&gt;",'事件主表'!$M$2:$M$173,"&lt;&gt;",'事件主表'!$G$2:$G$173,"&gt;="&amp;DATE($A94,1,1),'事件主表'!$G$2:$G$173,"&lt;"&amp;DATE($A94+1,1,1))</x:f>
        <x:v>1</x:v>
      </x:c>
      <x:c r="F94" s="69" t="n">
        <x:f>MAX(0,20-C94)</x:f>
        <x:v>19</x:v>
      </x:c>
      <x:c r="G94" s="67" t="str">
        <x:f>IF(C94=0,"无记录",IF(D94=0,"仅候选/汇编",IF(C94&lt;20,"已确认但不足原目标","达到原目标")))</x:f>
        <x:v>已确认但不足原目标</x:v>
      </x:c>
    </x:row>
    <x:row r="95">
      <x:c r="A95" s="68" t="n">
        <x:v>2013</x:v>
      </x:c>
      <x:c r="B95" s="68" t="str">
        <x:v>南美洲</x:v>
      </x:c>
      <x:c r="C95" s="69" t="n">
        <x:f>SUMIFS('事件主表'!$AI$2:$AI$173,'事件主表'!$C$2:$C$173,$B95,'事件主表'!$G$2:$G$173,"&gt;="&amp;DATE($A95,1,1),'事件主表'!$G$2:$G$173,"&lt;"&amp;DATE($A95+1,1,1))</x:f>
        <x:v>1</x:v>
      </x:c>
      <x:c r="D95" s="69" t="n">
        <x:f>SUMIFS('事件主表'!$AI$2:$AI$173,'事件主表'!$C$2:$C$173,$B95,'事件主表'!$Y$2:$Y$173,"严格确认",'事件主表'!$G$2:$G$173,"&gt;="&amp;DATE($A95,1,1),'事件主表'!$G$2:$G$173,"&lt;"&amp;DATE($A95+1,1,1))</x:f>
        <x:v>1</x:v>
      </x:c>
      <x:c r="E95" s="69" t="n">
        <x:f>SUMIFS('事件主表'!$AI$2:$AI$173,'事件主表'!$C$2:$C$173,$B95,'事件主表'!$L$2:$L$173,"&lt;&gt;",'事件主表'!$M$2:$M$173,"&lt;&gt;",'事件主表'!$G$2:$G$173,"&gt;="&amp;DATE($A95,1,1),'事件主表'!$G$2:$G$173,"&lt;"&amp;DATE($A95+1,1,1))</x:f>
        <x:v>1</x:v>
      </x:c>
      <x:c r="F95" s="69" t="n">
        <x:f>MAX(0,20-C95)</x:f>
        <x:v>19</x:v>
      </x:c>
      <x:c r="G95" s="67" t="str">
        <x:f>IF(C95=0,"无记录",IF(D95=0,"仅候选/汇编",IF(C95&lt;20,"已确认但不足原目标","达到原目标")))</x:f>
        <x:v>已确认但不足原目标</x:v>
      </x:c>
    </x:row>
    <x:row r="96">
      <x:c r="A96" s="68" t="n">
        <x:v>2013</x:v>
      </x:c>
      <x:c r="B96" s="68" t="str">
        <x:v>大洋洲</x:v>
      </x:c>
      <x:c r="C96" s="69" t="n">
        <x:f>SUMIFS('事件主表'!$AI$2:$AI$173,'事件主表'!$C$2:$C$173,$B96,'事件主表'!$G$2:$G$173,"&gt;="&amp;DATE($A96,1,1),'事件主表'!$G$2:$G$173,"&lt;"&amp;DATE($A96+1,1,1))</x:f>
        <x:v>0</x:v>
      </x:c>
      <x:c r="D96" s="69" t="n">
        <x:f>SUMIFS('事件主表'!$AI$2:$AI$173,'事件主表'!$C$2:$C$173,$B96,'事件主表'!$Y$2:$Y$173,"严格确认",'事件主表'!$G$2:$G$173,"&gt;="&amp;DATE($A96,1,1),'事件主表'!$G$2:$G$173,"&lt;"&amp;DATE($A96+1,1,1))</x:f>
        <x:v>0</x:v>
      </x:c>
      <x:c r="E96" s="69" t="n">
        <x:f>SUMIFS('事件主表'!$AI$2:$AI$173,'事件主表'!$C$2:$C$173,$B96,'事件主表'!$L$2:$L$173,"&lt;&gt;",'事件主表'!$M$2:$M$173,"&lt;&gt;",'事件主表'!$G$2:$G$173,"&gt;="&amp;DATE($A96,1,1),'事件主表'!$G$2:$G$173,"&lt;"&amp;DATE($A96+1,1,1))</x:f>
        <x:v>0</x:v>
      </x:c>
      <x:c r="F96" s="69" t="n">
        <x:f>MAX(0,20-C96)</x:f>
        <x:v>20</x:v>
      </x:c>
      <x:c r="G96" s="67" t="str">
        <x:f>IF(C96=0,"无记录",IF(D96=0,"仅候选/汇编",IF(C96&lt;20,"已确认但不足原目标","达到原目标")))</x:f>
        <x:v>无记录</x:v>
      </x:c>
    </x:row>
    <x:row r="97">
      <x:c r="A97" s="68" t="n">
        <x:v>2014</x:v>
      </x:c>
      <x:c r="B97" s="68" t="str">
        <x:v>亚洲</x:v>
      </x:c>
      <x:c r="C97" s="69" t="n">
        <x:f>SUMIFS('事件主表'!$AI$2:$AI$173,'事件主表'!$C$2:$C$173,$B97,'事件主表'!$G$2:$G$173,"&gt;="&amp;DATE($A97,1,1),'事件主表'!$G$2:$G$173,"&lt;"&amp;DATE($A97+1,1,1))</x:f>
        <x:v>1</x:v>
      </x:c>
      <x:c r="D97" s="69" t="n">
        <x:f>SUMIFS('事件主表'!$AI$2:$AI$173,'事件主表'!$C$2:$C$173,$B97,'事件主表'!$Y$2:$Y$173,"严格确认",'事件主表'!$G$2:$G$173,"&gt;="&amp;DATE($A97,1,1),'事件主表'!$G$2:$G$173,"&lt;"&amp;DATE($A97+1,1,1))</x:f>
        <x:v>0</x:v>
      </x:c>
      <x:c r="E97" s="69" t="n">
        <x:f>SUMIFS('事件主表'!$AI$2:$AI$173,'事件主表'!$C$2:$C$173,$B97,'事件主表'!$L$2:$L$173,"&lt;&gt;",'事件主表'!$M$2:$M$173,"&lt;&gt;",'事件主表'!$G$2:$G$173,"&gt;="&amp;DATE($A97,1,1),'事件主表'!$G$2:$G$173,"&lt;"&amp;DATE($A97+1,1,1))</x:f>
        <x:v>1</x:v>
      </x:c>
      <x:c r="F97" s="69" t="n">
        <x:f>MAX(0,20-C97)</x:f>
        <x:v>19</x:v>
      </x:c>
      <x:c r="G97" s="67" t="str">
        <x:f>IF(C97=0,"无记录",IF(D97=0,"仅候选/汇编",IF(C97&lt;20,"已确认但不足原目标","达到原目标")))</x:f>
        <x:v>仅候选/汇编</x:v>
      </x:c>
    </x:row>
    <x:row r="98">
      <x:c r="A98" s="68" t="n">
        <x:v>2014</x:v>
      </x:c>
      <x:c r="B98" s="68" t="str">
        <x:v>欧洲</x:v>
      </x:c>
      <x:c r="C98" s="69" t="n">
        <x:f>SUMIFS('事件主表'!$AI$2:$AI$173,'事件主表'!$C$2:$C$173,$B98,'事件主表'!$G$2:$G$173,"&gt;="&amp;DATE($A98,1,1),'事件主表'!$G$2:$G$173,"&lt;"&amp;DATE($A98+1,1,1))</x:f>
        <x:v>1</x:v>
      </x:c>
      <x:c r="D98" s="69" t="n">
        <x:f>SUMIFS('事件主表'!$AI$2:$AI$173,'事件主表'!$C$2:$C$173,$B98,'事件主表'!$Y$2:$Y$173,"严格确认",'事件主表'!$G$2:$G$173,"&gt;="&amp;DATE($A98,1,1),'事件主表'!$G$2:$G$173,"&lt;"&amp;DATE($A98+1,1,1))</x:f>
        <x:v>0</x:v>
      </x:c>
      <x:c r="E98" s="69" t="n">
        <x:f>SUMIFS('事件主表'!$AI$2:$AI$173,'事件主表'!$C$2:$C$173,$B98,'事件主表'!$L$2:$L$173,"&lt;&gt;",'事件主表'!$M$2:$M$173,"&lt;&gt;",'事件主表'!$G$2:$G$173,"&gt;="&amp;DATE($A98,1,1),'事件主表'!$G$2:$G$173,"&lt;"&amp;DATE($A98+1,1,1))</x:f>
        <x:v>1</x:v>
      </x:c>
      <x:c r="F98" s="69" t="n">
        <x:f>MAX(0,20-C98)</x:f>
        <x:v>19</x:v>
      </x:c>
      <x:c r="G98" s="67" t="str">
        <x:f>IF(C98=0,"无记录",IF(D98=0,"仅候选/汇编",IF(C98&lt;20,"已确认但不足原目标","达到原目标")))</x:f>
        <x:v>仅候选/汇编</x:v>
      </x:c>
    </x:row>
    <x:row r="99">
      <x:c r="A99" s="68" t="n">
        <x:v>2014</x:v>
      </x:c>
      <x:c r="B99" s="68" t="str">
        <x:v>非洲</x:v>
      </x:c>
      <x:c r="C99" s="69" t="n">
        <x:f>SUMIFS('事件主表'!$AI$2:$AI$173,'事件主表'!$C$2:$C$173,$B99,'事件主表'!$G$2:$G$173,"&gt;="&amp;DATE($A99,1,1),'事件主表'!$G$2:$G$173,"&lt;"&amp;DATE($A99+1,1,1))</x:f>
        <x:v>0</x:v>
      </x:c>
      <x:c r="D99" s="69" t="n">
        <x:f>SUMIFS('事件主表'!$AI$2:$AI$173,'事件主表'!$C$2:$C$173,$B99,'事件主表'!$Y$2:$Y$173,"严格确认",'事件主表'!$G$2:$G$173,"&gt;="&amp;DATE($A99,1,1),'事件主表'!$G$2:$G$173,"&lt;"&amp;DATE($A99+1,1,1))</x:f>
        <x:v>0</x:v>
      </x:c>
      <x:c r="E99" s="69" t="n">
        <x:f>SUMIFS('事件主表'!$AI$2:$AI$173,'事件主表'!$C$2:$C$173,$B99,'事件主表'!$L$2:$L$173,"&lt;&gt;",'事件主表'!$M$2:$M$173,"&lt;&gt;",'事件主表'!$G$2:$G$173,"&gt;="&amp;DATE($A99,1,1),'事件主表'!$G$2:$G$173,"&lt;"&amp;DATE($A99+1,1,1))</x:f>
        <x:v>0</x:v>
      </x:c>
      <x:c r="F99" s="69" t="n">
        <x:f>MAX(0,20-C99)</x:f>
        <x:v>20</x:v>
      </x:c>
      <x:c r="G99" s="67" t="str">
        <x:f>IF(C99=0,"无记录",IF(D99=0,"仅候选/汇编",IF(C99&lt;20,"已确认但不足原目标","达到原目标")))</x:f>
        <x:v>无记录</x:v>
      </x:c>
    </x:row>
    <x:row r="100">
      <x:c r="A100" s="68" t="n">
        <x:v>2014</x:v>
      </x:c>
      <x:c r="B100" s="68" t="str">
        <x:v>北美洲</x:v>
      </x:c>
      <x:c r="C100" s="69" t="n">
        <x:f>SUMIFS('事件主表'!$AI$2:$AI$173,'事件主表'!$C$2:$C$173,$B100,'事件主表'!$G$2:$G$173,"&gt;="&amp;DATE($A100,1,1),'事件主表'!$G$2:$G$173,"&lt;"&amp;DATE($A100+1,1,1))</x:f>
        <x:v>4</x:v>
      </x:c>
      <x:c r="D100" s="69" t="n">
        <x:f>SUMIFS('事件主表'!$AI$2:$AI$173,'事件主表'!$C$2:$C$173,$B100,'事件主表'!$Y$2:$Y$173,"严格确认",'事件主表'!$G$2:$G$173,"&gt;="&amp;DATE($A100,1,1),'事件主表'!$G$2:$G$173,"&lt;"&amp;DATE($A100+1,1,1))</x:f>
        <x:v>3</x:v>
      </x:c>
      <x:c r="E100" s="69" t="n">
        <x:f>SUMIFS('事件主表'!$AI$2:$AI$173,'事件主表'!$C$2:$C$173,$B100,'事件主表'!$L$2:$L$173,"&lt;&gt;",'事件主表'!$M$2:$M$173,"&lt;&gt;",'事件主表'!$G$2:$G$173,"&gt;="&amp;DATE($A100,1,1),'事件主表'!$G$2:$G$173,"&lt;"&amp;DATE($A100+1,1,1))</x:f>
        <x:v>4</x:v>
      </x:c>
      <x:c r="F100" s="69" t="n">
        <x:f>MAX(0,20-C100)</x:f>
        <x:v>16</x:v>
      </x:c>
      <x:c r="G100" s="67" t="str">
        <x:f>IF(C100=0,"无记录",IF(D100=0,"仅候选/汇编",IF(C100&lt;20,"已确认但不足原目标","达到原目标")))</x:f>
        <x:v>已确认但不足原目标</x:v>
      </x:c>
    </x:row>
    <x:row r="101">
      <x:c r="A101" s="68" t="n">
        <x:v>2014</x:v>
      </x:c>
      <x:c r="B101" s="68" t="str">
        <x:v>南美洲</x:v>
      </x:c>
      <x:c r="C101" s="69" t="n">
        <x:f>SUMIFS('事件主表'!$AI$2:$AI$173,'事件主表'!$C$2:$C$173,$B101,'事件主表'!$G$2:$G$173,"&gt;="&amp;DATE($A101,1,1),'事件主表'!$G$2:$G$173,"&lt;"&amp;DATE($A101+1,1,1))</x:f>
        <x:v>0</x:v>
      </x:c>
      <x:c r="D101" s="69" t="n">
        <x:f>SUMIFS('事件主表'!$AI$2:$AI$173,'事件主表'!$C$2:$C$173,$B101,'事件主表'!$Y$2:$Y$173,"严格确认",'事件主表'!$G$2:$G$173,"&gt;="&amp;DATE($A101,1,1),'事件主表'!$G$2:$G$173,"&lt;"&amp;DATE($A101+1,1,1))</x:f>
        <x:v>0</x:v>
      </x:c>
      <x:c r="E101" s="69" t="n">
        <x:f>SUMIFS('事件主表'!$AI$2:$AI$173,'事件主表'!$C$2:$C$173,$B101,'事件主表'!$L$2:$L$173,"&lt;&gt;",'事件主表'!$M$2:$M$173,"&lt;&gt;",'事件主表'!$G$2:$G$173,"&gt;="&amp;DATE($A101,1,1),'事件主表'!$G$2:$G$173,"&lt;"&amp;DATE($A101+1,1,1))</x:f>
        <x:v>0</x:v>
      </x:c>
      <x:c r="F101" s="69" t="n">
        <x:f>MAX(0,20-C101)</x:f>
        <x:v>20</x:v>
      </x:c>
      <x:c r="G101" s="67" t="str">
        <x:f>IF(C101=0,"无记录",IF(D101=0,"仅候选/汇编",IF(C101&lt;20,"已确认但不足原目标","达到原目标")))</x:f>
        <x:v>无记录</x:v>
      </x:c>
    </x:row>
    <x:row r="102">
      <x:c r="A102" s="68" t="n">
        <x:v>2014</x:v>
      </x:c>
      <x:c r="B102" s="68" t="str">
        <x:v>大洋洲</x:v>
      </x:c>
      <x:c r="C102" s="69" t="n">
        <x:f>SUMIFS('事件主表'!$AI$2:$AI$173,'事件主表'!$C$2:$C$173,$B102,'事件主表'!$G$2:$G$173,"&gt;="&amp;DATE($A102,1,1),'事件主表'!$G$2:$G$173,"&lt;"&amp;DATE($A102+1,1,1))</x:f>
        <x:v>1</x:v>
      </x:c>
      <x:c r="D102" s="69" t="n">
        <x:f>SUMIFS('事件主表'!$AI$2:$AI$173,'事件主表'!$C$2:$C$173,$B102,'事件主表'!$Y$2:$Y$173,"严格确认",'事件主表'!$G$2:$G$173,"&gt;="&amp;DATE($A102,1,1),'事件主表'!$G$2:$G$173,"&lt;"&amp;DATE($A102+1,1,1))</x:f>
        <x:v>0</x:v>
      </x:c>
      <x:c r="E102" s="69" t="n">
        <x:f>SUMIFS('事件主表'!$AI$2:$AI$173,'事件主表'!$C$2:$C$173,$B102,'事件主表'!$L$2:$L$173,"&lt;&gt;",'事件主表'!$M$2:$M$173,"&lt;&gt;",'事件主表'!$G$2:$G$173,"&gt;="&amp;DATE($A102,1,1),'事件主表'!$G$2:$G$173,"&lt;"&amp;DATE($A102+1,1,1))</x:f>
        <x:v>1</x:v>
      </x:c>
      <x:c r="F102" s="69" t="n">
        <x:f>MAX(0,20-C102)</x:f>
        <x:v>19</x:v>
      </x:c>
      <x:c r="G102" s="67" t="str">
        <x:f>IF(C102=0,"无记录",IF(D102=0,"仅候选/汇编",IF(C102&lt;20,"已确认但不足原目标","达到原目标")))</x:f>
        <x:v>仅候选/汇编</x:v>
      </x:c>
    </x:row>
    <x:row r="103">
      <x:c r="A103" s="68" t="n">
        <x:v>2015</x:v>
      </x:c>
      <x:c r="B103" s="68" t="str">
        <x:v>亚洲</x:v>
      </x:c>
      <x:c r="C103" s="69" t="n">
        <x:f>SUMIFS('事件主表'!$AI$2:$AI$173,'事件主表'!$C$2:$C$173,$B103,'事件主表'!$G$2:$G$173,"&gt;="&amp;DATE($A103,1,1),'事件主表'!$G$2:$G$173,"&lt;"&amp;DATE($A103+1,1,1))</x:f>
        <x:v>5</x:v>
      </x:c>
      <x:c r="D103" s="69" t="n">
        <x:f>SUMIFS('事件主表'!$AI$2:$AI$173,'事件主表'!$C$2:$C$173,$B103,'事件主表'!$Y$2:$Y$173,"严格确认",'事件主表'!$G$2:$G$173,"&gt;="&amp;DATE($A103,1,1),'事件主表'!$G$2:$G$173,"&lt;"&amp;DATE($A103+1,1,1))</x:f>
        <x:v>0</x:v>
      </x:c>
      <x:c r="E103" s="69" t="n">
        <x:f>SUMIFS('事件主表'!$AI$2:$AI$173,'事件主表'!$C$2:$C$173,$B103,'事件主表'!$L$2:$L$173,"&lt;&gt;",'事件主表'!$M$2:$M$173,"&lt;&gt;",'事件主表'!$G$2:$G$173,"&gt;="&amp;DATE($A103,1,1),'事件主表'!$G$2:$G$173,"&lt;"&amp;DATE($A103+1,1,1))</x:f>
        <x:v>5</x:v>
      </x:c>
      <x:c r="F103" s="69" t="n">
        <x:f>MAX(0,20-C103)</x:f>
        <x:v>15</x:v>
      </x:c>
      <x:c r="G103" s="67" t="str">
        <x:f>IF(C103=0,"无记录",IF(D103=0,"仅候选/汇编",IF(C103&lt;20,"已确认但不足原目标","达到原目标")))</x:f>
        <x:v>仅候选/汇编</x:v>
      </x:c>
    </x:row>
    <x:row r="104">
      <x:c r="A104" s="68" t="n">
        <x:v>2015</x:v>
      </x:c>
      <x:c r="B104" s="68" t="str">
        <x:v>欧洲</x:v>
      </x:c>
      <x:c r="C104" s="69" t="n">
        <x:f>SUMIFS('事件主表'!$AI$2:$AI$173,'事件主表'!$C$2:$C$173,$B104,'事件主表'!$G$2:$G$173,"&gt;="&amp;DATE($A104,1,1),'事件主表'!$G$2:$G$173,"&lt;"&amp;DATE($A104+1,1,1))</x:f>
        <x:v>2</x:v>
      </x:c>
      <x:c r="D104" s="69" t="n">
        <x:f>SUMIFS('事件主表'!$AI$2:$AI$173,'事件主表'!$C$2:$C$173,$B104,'事件主表'!$Y$2:$Y$173,"严格确认",'事件主表'!$G$2:$G$173,"&gt;="&amp;DATE($A104,1,1),'事件主表'!$G$2:$G$173,"&lt;"&amp;DATE($A104+1,1,1))</x:f>
        <x:v>0</x:v>
      </x:c>
      <x:c r="E104" s="69" t="n">
        <x:f>SUMIFS('事件主表'!$AI$2:$AI$173,'事件主表'!$C$2:$C$173,$B104,'事件主表'!$L$2:$L$173,"&lt;&gt;",'事件主表'!$M$2:$M$173,"&lt;&gt;",'事件主表'!$G$2:$G$173,"&gt;="&amp;DATE($A104,1,1),'事件主表'!$G$2:$G$173,"&lt;"&amp;DATE($A104+1,1,1))</x:f>
        <x:v>2</x:v>
      </x:c>
      <x:c r="F104" s="69" t="n">
        <x:f>MAX(0,20-C104)</x:f>
        <x:v>18</x:v>
      </x:c>
      <x:c r="G104" s="67" t="str">
        <x:f>IF(C104=0,"无记录",IF(D104=0,"仅候选/汇编",IF(C104&lt;20,"已确认但不足原目标","达到原目标")))</x:f>
        <x:v>仅候选/汇编</x:v>
      </x:c>
    </x:row>
    <x:row r="105">
      <x:c r="A105" s="68" t="n">
        <x:v>2015</x:v>
      </x:c>
      <x:c r="B105" s="68" t="str">
        <x:v>非洲</x:v>
      </x:c>
      <x:c r="C105" s="69" t="n">
        <x:f>SUMIFS('事件主表'!$AI$2:$AI$173,'事件主表'!$C$2:$C$173,$B105,'事件主表'!$G$2:$G$173,"&gt;="&amp;DATE($A105,1,1),'事件主表'!$G$2:$G$173,"&lt;"&amp;DATE($A105+1,1,1))</x:f>
        <x:v>2</x:v>
      </x:c>
      <x:c r="D105" s="69" t="n">
        <x:f>SUMIFS('事件主表'!$AI$2:$AI$173,'事件主表'!$C$2:$C$173,$B105,'事件主表'!$Y$2:$Y$173,"严格确认",'事件主表'!$G$2:$G$173,"&gt;="&amp;DATE($A105,1,1),'事件主表'!$G$2:$G$173,"&lt;"&amp;DATE($A105+1,1,1))</x:f>
        <x:v>1</x:v>
      </x:c>
      <x:c r="E105" s="69" t="n">
        <x:f>SUMIFS('事件主表'!$AI$2:$AI$173,'事件主表'!$C$2:$C$173,$B105,'事件主表'!$L$2:$L$173,"&lt;&gt;",'事件主表'!$M$2:$M$173,"&lt;&gt;",'事件主表'!$G$2:$G$173,"&gt;="&amp;DATE($A105,1,1),'事件主表'!$G$2:$G$173,"&lt;"&amp;DATE($A105+1,1,1))</x:f>
        <x:v>2</x:v>
      </x:c>
      <x:c r="F105" s="69" t="n">
        <x:f>MAX(0,20-C105)</x:f>
        <x:v>18</x:v>
      </x:c>
      <x:c r="G105" s="67" t="str">
        <x:f>IF(C105=0,"无记录",IF(D105=0,"仅候选/汇编",IF(C105&lt;20,"已确认但不足原目标","达到原目标")))</x:f>
        <x:v>已确认但不足原目标</x:v>
      </x:c>
    </x:row>
    <x:row r="106">
      <x:c r="A106" s="68" t="n">
        <x:v>2015</x:v>
      </x:c>
      <x:c r="B106" s="68" t="str">
        <x:v>北美洲</x:v>
      </x:c>
      <x:c r="C106" s="69" t="n">
        <x:f>SUMIFS('事件主表'!$AI$2:$AI$173,'事件主表'!$C$2:$C$173,$B106,'事件主表'!$G$2:$G$173,"&gt;="&amp;DATE($A106,1,1),'事件主表'!$G$2:$G$173,"&lt;"&amp;DATE($A106+1,1,1))</x:f>
        <x:v>2</x:v>
      </x:c>
      <x:c r="D106" s="69" t="n">
        <x:f>SUMIFS('事件主表'!$AI$2:$AI$173,'事件主表'!$C$2:$C$173,$B106,'事件主表'!$Y$2:$Y$173,"严格确认",'事件主表'!$G$2:$G$173,"&gt;="&amp;DATE($A106,1,1),'事件主表'!$G$2:$G$173,"&lt;"&amp;DATE($A106+1,1,1))</x:f>
        <x:v>2</x:v>
      </x:c>
      <x:c r="E106" s="69" t="n">
        <x:f>SUMIFS('事件主表'!$AI$2:$AI$173,'事件主表'!$C$2:$C$173,$B106,'事件主表'!$L$2:$L$173,"&lt;&gt;",'事件主表'!$M$2:$M$173,"&lt;&gt;",'事件主表'!$G$2:$G$173,"&gt;="&amp;DATE($A106,1,1),'事件主表'!$G$2:$G$173,"&lt;"&amp;DATE($A106+1,1,1))</x:f>
        <x:v>2</x:v>
      </x:c>
      <x:c r="F106" s="69" t="n">
        <x:f>MAX(0,20-C106)</x:f>
        <x:v>18</x:v>
      </x:c>
      <x:c r="G106" s="67" t="str">
        <x:f>IF(C106=0,"无记录",IF(D106=0,"仅候选/汇编",IF(C106&lt;20,"已确认但不足原目标","达到原目标")))</x:f>
        <x:v>已确认但不足原目标</x:v>
      </x:c>
    </x:row>
    <x:row r="107">
      <x:c r="A107" s="68" t="n">
        <x:v>2015</x:v>
      </x:c>
      <x:c r="B107" s="68" t="str">
        <x:v>南美洲</x:v>
      </x:c>
      <x:c r="C107" s="69" t="n">
        <x:f>SUMIFS('事件主表'!$AI$2:$AI$173,'事件主表'!$C$2:$C$173,$B107,'事件主表'!$G$2:$G$173,"&gt;="&amp;DATE($A107,1,1),'事件主表'!$G$2:$G$173,"&lt;"&amp;DATE($A107+1,1,1))</x:f>
        <x:v>0</x:v>
      </x:c>
      <x:c r="D107" s="69" t="n">
        <x:f>SUMIFS('事件主表'!$AI$2:$AI$173,'事件主表'!$C$2:$C$173,$B107,'事件主表'!$Y$2:$Y$173,"严格确认",'事件主表'!$G$2:$G$173,"&gt;="&amp;DATE($A107,1,1),'事件主表'!$G$2:$G$173,"&lt;"&amp;DATE($A107+1,1,1))</x:f>
        <x:v>0</x:v>
      </x:c>
      <x:c r="E107" s="69" t="n">
        <x:f>SUMIFS('事件主表'!$AI$2:$AI$173,'事件主表'!$C$2:$C$173,$B107,'事件主表'!$L$2:$L$173,"&lt;&gt;",'事件主表'!$M$2:$M$173,"&lt;&gt;",'事件主表'!$G$2:$G$173,"&gt;="&amp;DATE($A107,1,1),'事件主表'!$G$2:$G$173,"&lt;"&amp;DATE($A107+1,1,1))</x:f>
        <x:v>0</x:v>
      </x:c>
      <x:c r="F107" s="69" t="n">
        <x:f>MAX(0,20-C107)</x:f>
        <x:v>20</x:v>
      </x:c>
      <x:c r="G107" s="67" t="str">
        <x:f>IF(C107=0,"无记录",IF(D107=0,"仅候选/汇编",IF(C107&lt;20,"已确认但不足原目标","达到原目标")))</x:f>
        <x:v>无记录</x:v>
      </x:c>
    </x:row>
    <x:row r="108">
      <x:c r="A108" s="68" t="n">
        <x:v>2015</x:v>
      </x:c>
      <x:c r="B108" s="68" t="str">
        <x:v>大洋洲</x:v>
      </x:c>
      <x:c r="C108" s="69" t="n">
        <x:f>SUMIFS('事件主表'!$AI$2:$AI$173,'事件主表'!$C$2:$C$173,$B108,'事件主表'!$G$2:$G$173,"&gt;="&amp;DATE($A108,1,1),'事件主表'!$G$2:$G$173,"&lt;"&amp;DATE($A108+1,1,1))</x:f>
        <x:v>0</x:v>
      </x:c>
      <x:c r="D108" s="69" t="n">
        <x:f>SUMIFS('事件主表'!$AI$2:$AI$173,'事件主表'!$C$2:$C$173,$B108,'事件主表'!$Y$2:$Y$173,"严格确认",'事件主表'!$G$2:$G$173,"&gt;="&amp;DATE($A108,1,1),'事件主表'!$G$2:$G$173,"&lt;"&amp;DATE($A108+1,1,1))</x:f>
        <x:v>0</x:v>
      </x:c>
      <x:c r="E108" s="69" t="n">
        <x:f>SUMIFS('事件主表'!$AI$2:$AI$173,'事件主表'!$C$2:$C$173,$B108,'事件主表'!$L$2:$L$173,"&lt;&gt;",'事件主表'!$M$2:$M$173,"&lt;&gt;",'事件主表'!$G$2:$G$173,"&gt;="&amp;DATE($A108,1,1),'事件主表'!$G$2:$G$173,"&lt;"&amp;DATE($A108+1,1,1))</x:f>
        <x:v>0</x:v>
      </x:c>
      <x:c r="F108" s="69" t="n">
        <x:f>MAX(0,20-C108)</x:f>
        <x:v>20</x:v>
      </x:c>
      <x:c r="G108" s="67" t="str">
        <x:f>IF(C108=0,"无记录",IF(D108=0,"仅候选/汇编",IF(C108&lt;20,"已确认但不足原目标","达到原目标")))</x:f>
        <x:v>无记录</x:v>
      </x:c>
    </x:row>
    <x:row r="109">
      <x:c r="A109" s="68" t="n">
        <x:v>2016</x:v>
      </x:c>
      <x:c r="B109" s="68" t="str">
        <x:v>亚洲</x:v>
      </x:c>
      <x:c r="C109" s="69" t="n">
        <x:f>SUMIFS('事件主表'!$AI$2:$AI$173,'事件主表'!$C$2:$C$173,$B109,'事件主表'!$G$2:$G$173,"&gt;="&amp;DATE($A109,1,1),'事件主表'!$G$2:$G$173,"&lt;"&amp;DATE($A109+1,1,1))</x:f>
        <x:v>6</x:v>
      </x:c>
      <x:c r="D109" s="69" t="n">
        <x:f>SUMIFS('事件主表'!$AI$2:$AI$173,'事件主表'!$C$2:$C$173,$B109,'事件主表'!$Y$2:$Y$173,"严格确认",'事件主表'!$G$2:$G$173,"&gt;="&amp;DATE($A109,1,1),'事件主表'!$G$2:$G$173,"&lt;"&amp;DATE($A109+1,1,1))</x:f>
        <x:v>0</x:v>
      </x:c>
      <x:c r="E109" s="69" t="n">
        <x:f>SUMIFS('事件主表'!$AI$2:$AI$173,'事件主表'!$C$2:$C$173,$B109,'事件主表'!$L$2:$L$173,"&lt;&gt;",'事件主表'!$M$2:$M$173,"&lt;&gt;",'事件主表'!$G$2:$G$173,"&gt;="&amp;DATE($A109,1,1),'事件主表'!$G$2:$G$173,"&lt;"&amp;DATE($A109+1,1,1))</x:f>
        <x:v>6</x:v>
      </x:c>
      <x:c r="F109" s="69" t="n">
        <x:f>MAX(0,20-C109)</x:f>
        <x:v>14</x:v>
      </x:c>
      <x:c r="G109" s="67" t="str">
        <x:f>IF(C109=0,"无记录",IF(D109=0,"仅候选/汇编",IF(C109&lt;20,"已确认但不足原目标","达到原目标")))</x:f>
        <x:v>仅候选/汇编</x:v>
      </x:c>
    </x:row>
    <x:row r="110">
      <x:c r="A110" s="68" t="n">
        <x:v>2016</x:v>
      </x:c>
      <x:c r="B110" s="68" t="str">
        <x:v>欧洲</x:v>
      </x:c>
      <x:c r="C110" s="69" t="n">
        <x:f>SUMIFS('事件主表'!$AI$2:$AI$173,'事件主表'!$C$2:$C$173,$B110,'事件主表'!$G$2:$G$173,"&gt;="&amp;DATE($A110,1,1),'事件主表'!$G$2:$G$173,"&lt;"&amp;DATE($A110+1,1,1))</x:f>
        <x:v>4</x:v>
      </x:c>
      <x:c r="D110" s="69" t="n">
        <x:f>SUMIFS('事件主表'!$AI$2:$AI$173,'事件主表'!$C$2:$C$173,$B110,'事件主表'!$Y$2:$Y$173,"严格确认",'事件主表'!$G$2:$G$173,"&gt;="&amp;DATE($A110,1,1),'事件主表'!$G$2:$G$173,"&lt;"&amp;DATE($A110+1,1,1))</x:f>
        <x:v>0</x:v>
      </x:c>
      <x:c r="E110" s="69" t="n">
        <x:f>SUMIFS('事件主表'!$AI$2:$AI$173,'事件主表'!$C$2:$C$173,$B110,'事件主表'!$L$2:$L$173,"&lt;&gt;",'事件主表'!$M$2:$M$173,"&lt;&gt;",'事件主表'!$G$2:$G$173,"&gt;="&amp;DATE($A110,1,1),'事件主表'!$G$2:$G$173,"&lt;"&amp;DATE($A110+1,1,1))</x:f>
        <x:v>4</x:v>
      </x:c>
      <x:c r="F110" s="69" t="n">
        <x:f>MAX(0,20-C110)</x:f>
        <x:v>16</x:v>
      </x:c>
      <x:c r="G110" s="67" t="str">
        <x:f>IF(C110=0,"无记录",IF(D110=0,"仅候选/汇编",IF(C110&lt;20,"已确认但不足原目标","达到原目标")))</x:f>
        <x:v>仅候选/汇编</x:v>
      </x:c>
    </x:row>
    <x:row r="111">
      <x:c r="A111" s="68" t="n">
        <x:v>2016</x:v>
      </x:c>
      <x:c r="B111" s="68" t="str">
        <x:v>非洲</x:v>
      </x:c>
      <x:c r="C111" s="69" t="n">
        <x:f>SUMIFS('事件主表'!$AI$2:$AI$173,'事件主表'!$C$2:$C$173,$B111,'事件主表'!$G$2:$G$173,"&gt;="&amp;DATE($A111,1,1),'事件主表'!$G$2:$G$173,"&lt;"&amp;DATE($A111+1,1,1))</x:f>
        <x:v>0</x:v>
      </x:c>
      <x:c r="D111" s="69" t="n">
        <x:f>SUMIFS('事件主表'!$AI$2:$AI$173,'事件主表'!$C$2:$C$173,$B111,'事件主表'!$Y$2:$Y$173,"严格确认",'事件主表'!$G$2:$G$173,"&gt;="&amp;DATE($A111,1,1),'事件主表'!$G$2:$G$173,"&lt;"&amp;DATE($A111+1,1,1))</x:f>
        <x:v>0</x:v>
      </x:c>
      <x:c r="E111" s="69" t="n">
        <x:f>SUMIFS('事件主表'!$AI$2:$AI$173,'事件主表'!$C$2:$C$173,$B111,'事件主表'!$L$2:$L$173,"&lt;&gt;",'事件主表'!$M$2:$M$173,"&lt;&gt;",'事件主表'!$G$2:$G$173,"&gt;="&amp;DATE($A111,1,1),'事件主表'!$G$2:$G$173,"&lt;"&amp;DATE($A111+1,1,1))</x:f>
        <x:v>0</x:v>
      </x:c>
      <x:c r="F111" s="69" t="n">
        <x:f>MAX(0,20-C111)</x:f>
        <x:v>20</x:v>
      </x:c>
      <x:c r="G111" s="67" t="str">
        <x:f>IF(C111=0,"无记录",IF(D111=0,"仅候选/汇编",IF(C111&lt;20,"已确认但不足原目标","达到原目标")))</x:f>
        <x:v>无记录</x:v>
      </x:c>
    </x:row>
    <x:row r="112">
      <x:c r="A112" s="68" t="n">
        <x:v>2016</x:v>
      </x:c>
      <x:c r="B112" s="68" t="str">
        <x:v>北美洲</x:v>
      </x:c>
      <x:c r="C112" s="69" t="n">
        <x:f>SUMIFS('事件主表'!$AI$2:$AI$173,'事件主表'!$C$2:$C$173,$B112,'事件主表'!$G$2:$G$173,"&gt;="&amp;DATE($A112,1,1),'事件主表'!$G$2:$G$173,"&lt;"&amp;DATE($A112+1,1,1))</x:f>
        <x:v>0</x:v>
      </x:c>
      <x:c r="D112" s="69" t="n">
        <x:f>SUMIFS('事件主表'!$AI$2:$AI$173,'事件主表'!$C$2:$C$173,$B112,'事件主表'!$Y$2:$Y$173,"严格确认",'事件主表'!$G$2:$G$173,"&gt;="&amp;DATE($A112,1,1),'事件主表'!$G$2:$G$173,"&lt;"&amp;DATE($A112+1,1,1))</x:f>
        <x:v>0</x:v>
      </x:c>
      <x:c r="E112" s="69" t="n">
        <x:f>SUMIFS('事件主表'!$AI$2:$AI$173,'事件主表'!$C$2:$C$173,$B112,'事件主表'!$L$2:$L$173,"&lt;&gt;",'事件主表'!$M$2:$M$173,"&lt;&gt;",'事件主表'!$G$2:$G$173,"&gt;="&amp;DATE($A112,1,1),'事件主表'!$G$2:$G$173,"&lt;"&amp;DATE($A112+1,1,1))</x:f>
        <x:v>0</x:v>
      </x:c>
      <x:c r="F112" s="69" t="n">
        <x:f>MAX(0,20-C112)</x:f>
        <x:v>20</x:v>
      </x:c>
      <x:c r="G112" s="67" t="str">
        <x:f>IF(C112=0,"无记录",IF(D112=0,"仅候选/汇编",IF(C112&lt;20,"已确认但不足原目标","达到原目标")))</x:f>
        <x:v>无记录</x:v>
      </x:c>
    </x:row>
    <x:row r="113">
      <x:c r="A113" s="68" t="n">
        <x:v>2016</x:v>
      </x:c>
      <x:c r="B113" s="68" t="str">
        <x:v>南美洲</x:v>
      </x:c>
      <x:c r="C113" s="69" t="n">
        <x:f>SUMIFS('事件主表'!$AI$2:$AI$173,'事件主表'!$C$2:$C$173,$B113,'事件主表'!$G$2:$G$173,"&gt;="&amp;DATE($A113,1,1),'事件主表'!$G$2:$G$173,"&lt;"&amp;DATE($A113+1,1,1))</x:f>
        <x:v>0</x:v>
      </x:c>
      <x:c r="D113" s="69" t="n">
        <x:f>SUMIFS('事件主表'!$AI$2:$AI$173,'事件主表'!$C$2:$C$173,$B113,'事件主表'!$Y$2:$Y$173,"严格确认",'事件主表'!$G$2:$G$173,"&gt;="&amp;DATE($A113,1,1),'事件主表'!$G$2:$G$173,"&lt;"&amp;DATE($A113+1,1,1))</x:f>
        <x:v>0</x:v>
      </x:c>
      <x:c r="E113" s="69" t="n">
        <x:f>SUMIFS('事件主表'!$AI$2:$AI$173,'事件主表'!$C$2:$C$173,$B113,'事件主表'!$L$2:$L$173,"&lt;&gt;",'事件主表'!$M$2:$M$173,"&lt;&gt;",'事件主表'!$G$2:$G$173,"&gt;="&amp;DATE($A113,1,1),'事件主表'!$G$2:$G$173,"&lt;"&amp;DATE($A113+1,1,1))</x:f>
        <x:v>0</x:v>
      </x:c>
      <x:c r="F113" s="69" t="n">
        <x:f>MAX(0,20-C113)</x:f>
        <x:v>20</x:v>
      </x:c>
      <x:c r="G113" s="67" t="str">
        <x:f>IF(C113=0,"无记录",IF(D113=0,"仅候选/汇编",IF(C113&lt;20,"已确认但不足原目标","达到原目标")))</x:f>
        <x:v>无记录</x:v>
      </x:c>
    </x:row>
    <x:row r="114">
      <x:c r="A114" s="68" t="n">
        <x:v>2016</x:v>
      </x:c>
      <x:c r="B114" s="68" t="str">
        <x:v>大洋洲</x:v>
      </x:c>
      <x:c r="C114" s="69" t="n">
        <x:f>SUMIFS('事件主表'!$AI$2:$AI$173,'事件主表'!$C$2:$C$173,$B114,'事件主表'!$G$2:$G$173,"&gt;="&amp;DATE($A114,1,1),'事件主表'!$G$2:$G$173,"&lt;"&amp;DATE($A114+1,1,1))</x:f>
        <x:v>0</x:v>
      </x:c>
      <x:c r="D114" s="69" t="n">
        <x:f>SUMIFS('事件主表'!$AI$2:$AI$173,'事件主表'!$C$2:$C$173,$B114,'事件主表'!$Y$2:$Y$173,"严格确认",'事件主表'!$G$2:$G$173,"&gt;="&amp;DATE($A114,1,1),'事件主表'!$G$2:$G$173,"&lt;"&amp;DATE($A114+1,1,1))</x:f>
        <x:v>0</x:v>
      </x:c>
      <x:c r="E114" s="69" t="n">
        <x:f>SUMIFS('事件主表'!$AI$2:$AI$173,'事件主表'!$C$2:$C$173,$B114,'事件主表'!$L$2:$L$173,"&lt;&gt;",'事件主表'!$M$2:$M$173,"&lt;&gt;",'事件主表'!$G$2:$G$173,"&gt;="&amp;DATE($A114,1,1),'事件主表'!$G$2:$G$173,"&lt;"&amp;DATE($A114+1,1,1))</x:f>
        <x:v>0</x:v>
      </x:c>
      <x:c r="F114" s="69" t="n">
        <x:f>MAX(0,20-C114)</x:f>
        <x:v>20</x:v>
      </x:c>
      <x:c r="G114" s="67" t="str">
        <x:f>IF(C114=0,"无记录",IF(D114=0,"仅候选/汇编",IF(C114&lt;20,"已确认但不足原目标","达到原目标")))</x:f>
        <x:v>无记录</x:v>
      </x:c>
    </x:row>
    <x:row r="115">
      <x:c r="A115" s="68" t="n">
        <x:v>2017</x:v>
      </x:c>
      <x:c r="B115" s="68" t="str">
        <x:v>亚洲</x:v>
      </x:c>
      <x:c r="C115" s="69" t="n">
        <x:f>SUMIFS('事件主表'!$AI$2:$AI$173,'事件主表'!$C$2:$C$173,$B115,'事件主表'!$G$2:$G$173,"&gt;="&amp;DATE($A115,1,1),'事件主表'!$G$2:$G$173,"&lt;"&amp;DATE($A115+1,1,1))</x:f>
        <x:v>5</x:v>
      </x:c>
      <x:c r="D115" s="69" t="n">
        <x:f>SUMIFS('事件主表'!$AI$2:$AI$173,'事件主表'!$C$2:$C$173,$B115,'事件主表'!$Y$2:$Y$173,"严格确认",'事件主表'!$G$2:$G$173,"&gt;="&amp;DATE($A115,1,1),'事件主表'!$G$2:$G$173,"&lt;"&amp;DATE($A115+1,1,1))</x:f>
        <x:v>0</x:v>
      </x:c>
      <x:c r="E115" s="69" t="n">
        <x:f>SUMIFS('事件主表'!$AI$2:$AI$173,'事件主表'!$C$2:$C$173,$B115,'事件主表'!$L$2:$L$173,"&lt;&gt;",'事件主表'!$M$2:$M$173,"&lt;&gt;",'事件主表'!$G$2:$G$173,"&gt;="&amp;DATE($A115,1,1),'事件主表'!$G$2:$G$173,"&lt;"&amp;DATE($A115+1,1,1))</x:f>
        <x:v>5</x:v>
      </x:c>
      <x:c r="F115" s="69" t="n">
        <x:f>MAX(0,20-C115)</x:f>
        <x:v>15</x:v>
      </x:c>
      <x:c r="G115" s="67" t="str">
        <x:f>IF(C115=0,"无记录",IF(D115=0,"仅候选/汇编",IF(C115&lt;20,"已确认但不足原目标","达到原目标")))</x:f>
        <x:v>仅候选/汇编</x:v>
      </x:c>
    </x:row>
    <x:row r="116">
      <x:c r="A116" s="68" t="n">
        <x:v>2017</x:v>
      </x:c>
      <x:c r="B116" s="68" t="str">
        <x:v>欧洲</x:v>
      </x:c>
      <x:c r="C116" s="69" t="n">
        <x:f>SUMIFS('事件主表'!$AI$2:$AI$173,'事件主表'!$C$2:$C$173,$B116,'事件主表'!$G$2:$G$173,"&gt;="&amp;DATE($A116,1,1),'事件主表'!$G$2:$G$173,"&lt;"&amp;DATE($A116+1,1,1))</x:f>
        <x:v>2</x:v>
      </x:c>
      <x:c r="D116" s="69" t="n">
        <x:f>SUMIFS('事件主表'!$AI$2:$AI$173,'事件主表'!$C$2:$C$173,$B116,'事件主表'!$Y$2:$Y$173,"严格确认",'事件主表'!$G$2:$G$173,"&gt;="&amp;DATE($A116,1,1),'事件主表'!$G$2:$G$173,"&lt;"&amp;DATE($A116+1,1,1))</x:f>
        <x:v>2</x:v>
      </x:c>
      <x:c r="E116" s="69" t="n">
        <x:f>SUMIFS('事件主表'!$AI$2:$AI$173,'事件主表'!$C$2:$C$173,$B116,'事件主表'!$L$2:$L$173,"&lt;&gt;",'事件主表'!$M$2:$M$173,"&lt;&gt;",'事件主表'!$G$2:$G$173,"&gt;="&amp;DATE($A116,1,1),'事件主表'!$G$2:$G$173,"&lt;"&amp;DATE($A116+1,1,1))</x:f>
        <x:v>2</x:v>
      </x:c>
      <x:c r="F116" s="69" t="n">
        <x:f>MAX(0,20-C116)</x:f>
        <x:v>18</x:v>
      </x:c>
      <x:c r="G116" s="67" t="str">
        <x:f>IF(C116=0,"无记录",IF(D116=0,"仅候选/汇编",IF(C116&lt;20,"已确认但不足原目标","达到原目标")))</x:f>
        <x:v>已确认但不足原目标</x:v>
      </x:c>
    </x:row>
    <x:row r="117">
      <x:c r="A117" s="68" t="n">
        <x:v>2017</x:v>
      </x:c>
      <x:c r="B117" s="68" t="str">
        <x:v>非洲</x:v>
      </x:c>
      <x:c r="C117" s="69" t="n">
        <x:f>SUMIFS('事件主表'!$AI$2:$AI$173,'事件主表'!$C$2:$C$173,$B117,'事件主表'!$G$2:$G$173,"&gt;="&amp;DATE($A117,1,1),'事件主表'!$G$2:$G$173,"&lt;"&amp;DATE($A117+1,1,1))</x:f>
        <x:v>0</x:v>
      </x:c>
      <x:c r="D117" s="69" t="n">
        <x:f>SUMIFS('事件主表'!$AI$2:$AI$173,'事件主表'!$C$2:$C$173,$B117,'事件主表'!$Y$2:$Y$173,"严格确认",'事件主表'!$G$2:$G$173,"&gt;="&amp;DATE($A117,1,1),'事件主表'!$G$2:$G$173,"&lt;"&amp;DATE($A117+1,1,1))</x:f>
        <x:v>0</x:v>
      </x:c>
      <x:c r="E117" s="69" t="n">
        <x:f>SUMIFS('事件主表'!$AI$2:$AI$173,'事件主表'!$C$2:$C$173,$B117,'事件主表'!$L$2:$L$173,"&lt;&gt;",'事件主表'!$M$2:$M$173,"&lt;&gt;",'事件主表'!$G$2:$G$173,"&gt;="&amp;DATE($A117,1,1),'事件主表'!$G$2:$G$173,"&lt;"&amp;DATE($A117+1,1,1))</x:f>
        <x:v>0</x:v>
      </x:c>
      <x:c r="F117" s="69" t="n">
        <x:f>MAX(0,20-C117)</x:f>
        <x:v>20</x:v>
      </x:c>
      <x:c r="G117" s="67" t="str">
        <x:f>IF(C117=0,"无记录",IF(D117=0,"仅候选/汇编",IF(C117&lt;20,"已确认但不足原目标","达到原目标")))</x:f>
        <x:v>无记录</x:v>
      </x:c>
    </x:row>
    <x:row r="118">
      <x:c r="A118" s="68" t="n">
        <x:v>2017</x:v>
      </x:c>
      <x:c r="B118" s="68" t="str">
        <x:v>北美洲</x:v>
      </x:c>
      <x:c r="C118" s="69" t="n">
        <x:f>SUMIFS('事件主表'!$AI$2:$AI$173,'事件主表'!$C$2:$C$173,$B118,'事件主表'!$G$2:$G$173,"&gt;="&amp;DATE($A118,1,1),'事件主表'!$G$2:$G$173,"&lt;"&amp;DATE($A118+1,1,1))</x:f>
        <x:v>1</x:v>
      </x:c>
      <x:c r="D118" s="69" t="n">
        <x:f>SUMIFS('事件主表'!$AI$2:$AI$173,'事件主表'!$C$2:$C$173,$B118,'事件主表'!$Y$2:$Y$173,"严格确认",'事件主表'!$G$2:$G$173,"&gt;="&amp;DATE($A118,1,1),'事件主表'!$G$2:$G$173,"&lt;"&amp;DATE($A118+1,1,1))</x:f>
        <x:v>1</x:v>
      </x:c>
      <x:c r="E118" s="69" t="n">
        <x:f>SUMIFS('事件主表'!$AI$2:$AI$173,'事件主表'!$C$2:$C$173,$B118,'事件主表'!$L$2:$L$173,"&lt;&gt;",'事件主表'!$M$2:$M$173,"&lt;&gt;",'事件主表'!$G$2:$G$173,"&gt;="&amp;DATE($A118,1,1),'事件主表'!$G$2:$G$173,"&lt;"&amp;DATE($A118+1,1,1))</x:f>
        <x:v>1</x:v>
      </x:c>
      <x:c r="F118" s="69" t="n">
        <x:f>MAX(0,20-C118)</x:f>
        <x:v>19</x:v>
      </x:c>
      <x:c r="G118" s="67" t="str">
        <x:f>IF(C118=0,"无记录",IF(D118=0,"仅候选/汇编",IF(C118&lt;20,"已确认但不足原目标","达到原目标")))</x:f>
        <x:v>已确认但不足原目标</x:v>
      </x:c>
    </x:row>
    <x:row r="119">
      <x:c r="A119" s="68" t="n">
        <x:v>2017</x:v>
      </x:c>
      <x:c r="B119" s="68" t="str">
        <x:v>南美洲</x:v>
      </x:c>
      <x:c r="C119" s="69" t="n">
        <x:f>SUMIFS('事件主表'!$AI$2:$AI$173,'事件主表'!$C$2:$C$173,$B119,'事件主表'!$G$2:$G$173,"&gt;="&amp;DATE($A119,1,1),'事件主表'!$G$2:$G$173,"&lt;"&amp;DATE($A119+1,1,1))</x:f>
        <x:v>0</x:v>
      </x:c>
      <x:c r="D119" s="69" t="n">
        <x:f>SUMIFS('事件主表'!$AI$2:$AI$173,'事件主表'!$C$2:$C$173,$B119,'事件主表'!$Y$2:$Y$173,"严格确认",'事件主表'!$G$2:$G$173,"&gt;="&amp;DATE($A119,1,1),'事件主表'!$G$2:$G$173,"&lt;"&amp;DATE($A119+1,1,1))</x:f>
        <x:v>0</x:v>
      </x:c>
      <x:c r="E119" s="69" t="n">
        <x:f>SUMIFS('事件主表'!$AI$2:$AI$173,'事件主表'!$C$2:$C$173,$B119,'事件主表'!$L$2:$L$173,"&lt;&gt;",'事件主表'!$M$2:$M$173,"&lt;&gt;",'事件主表'!$G$2:$G$173,"&gt;="&amp;DATE($A119,1,1),'事件主表'!$G$2:$G$173,"&lt;"&amp;DATE($A119+1,1,1))</x:f>
        <x:v>0</x:v>
      </x:c>
      <x:c r="F119" s="69" t="n">
        <x:f>MAX(0,20-C119)</x:f>
        <x:v>20</x:v>
      </x:c>
      <x:c r="G119" s="67" t="str">
        <x:f>IF(C119=0,"无记录",IF(D119=0,"仅候选/汇编",IF(C119&lt;20,"已确认但不足原目标","达到原目标")))</x:f>
        <x:v>无记录</x:v>
      </x:c>
    </x:row>
    <x:row r="120">
      <x:c r="A120" s="68" t="n">
        <x:v>2017</x:v>
      </x:c>
      <x:c r="B120" s="68" t="str">
        <x:v>大洋洲</x:v>
      </x:c>
      <x:c r="C120" s="69" t="n">
        <x:f>SUMIFS('事件主表'!$AI$2:$AI$173,'事件主表'!$C$2:$C$173,$B120,'事件主表'!$G$2:$G$173,"&gt;="&amp;DATE($A120,1,1),'事件主表'!$G$2:$G$173,"&lt;"&amp;DATE($A120+1,1,1))</x:f>
        <x:v>0</x:v>
      </x:c>
      <x:c r="D120" s="69" t="n">
        <x:f>SUMIFS('事件主表'!$AI$2:$AI$173,'事件主表'!$C$2:$C$173,$B120,'事件主表'!$Y$2:$Y$173,"严格确认",'事件主表'!$G$2:$G$173,"&gt;="&amp;DATE($A120,1,1),'事件主表'!$G$2:$G$173,"&lt;"&amp;DATE($A120+1,1,1))</x:f>
        <x:v>0</x:v>
      </x:c>
      <x:c r="E120" s="69" t="n">
        <x:f>SUMIFS('事件主表'!$AI$2:$AI$173,'事件主表'!$C$2:$C$173,$B120,'事件主表'!$L$2:$L$173,"&lt;&gt;",'事件主表'!$M$2:$M$173,"&lt;&gt;",'事件主表'!$G$2:$G$173,"&gt;="&amp;DATE($A120,1,1),'事件主表'!$G$2:$G$173,"&lt;"&amp;DATE($A120+1,1,1))</x:f>
        <x:v>0</x:v>
      </x:c>
      <x:c r="F120" s="69" t="n">
        <x:f>MAX(0,20-C120)</x:f>
        <x:v>20</x:v>
      </x:c>
      <x:c r="G120" s="67" t="str">
        <x:f>IF(C120=0,"无记录",IF(D120=0,"仅候选/汇编",IF(C120&lt;20,"已确认但不足原目标","达到原目标")))</x:f>
        <x:v>无记录</x:v>
      </x:c>
    </x:row>
    <x:row r="121">
      <x:c r="A121" s="68" t="n">
        <x:v>2018</x:v>
      </x:c>
      <x:c r="B121" s="68" t="str">
        <x:v>亚洲</x:v>
      </x:c>
      <x:c r="C121" s="69" t="n">
        <x:f>SUMIFS('事件主表'!$AI$2:$AI$173,'事件主表'!$C$2:$C$173,$B121,'事件主表'!$G$2:$G$173,"&gt;="&amp;DATE($A121,1,1),'事件主表'!$G$2:$G$173,"&lt;"&amp;DATE($A121+1,1,1))</x:f>
        <x:v>6</x:v>
      </x:c>
      <x:c r="D121" s="69" t="n">
        <x:f>SUMIFS('事件主表'!$AI$2:$AI$173,'事件主表'!$C$2:$C$173,$B121,'事件主表'!$Y$2:$Y$173,"严格确认",'事件主表'!$G$2:$G$173,"&gt;="&amp;DATE($A121,1,1),'事件主表'!$G$2:$G$173,"&lt;"&amp;DATE($A121+1,1,1))</x:f>
        <x:v>0</x:v>
      </x:c>
      <x:c r="E121" s="69" t="n">
        <x:f>SUMIFS('事件主表'!$AI$2:$AI$173,'事件主表'!$C$2:$C$173,$B121,'事件主表'!$L$2:$L$173,"&lt;&gt;",'事件主表'!$M$2:$M$173,"&lt;&gt;",'事件主表'!$G$2:$G$173,"&gt;="&amp;DATE($A121,1,1),'事件主表'!$G$2:$G$173,"&lt;"&amp;DATE($A121+1,1,1))</x:f>
        <x:v>6</x:v>
      </x:c>
      <x:c r="F121" s="69" t="n">
        <x:f>MAX(0,20-C121)</x:f>
        <x:v>14</x:v>
      </x:c>
      <x:c r="G121" s="67" t="str">
        <x:f>IF(C121=0,"无记录",IF(D121=0,"仅候选/汇编",IF(C121&lt;20,"已确认但不足原目标","达到原目标")))</x:f>
        <x:v>仅候选/汇编</x:v>
      </x:c>
    </x:row>
    <x:row r="122">
      <x:c r="A122" s="68" t="n">
        <x:v>2018</x:v>
      </x:c>
      <x:c r="B122" s="68" t="str">
        <x:v>欧洲</x:v>
      </x:c>
      <x:c r="C122" s="69" t="n">
        <x:f>SUMIFS('事件主表'!$AI$2:$AI$173,'事件主表'!$C$2:$C$173,$B122,'事件主表'!$G$2:$G$173,"&gt;="&amp;DATE($A122,1,1),'事件主表'!$G$2:$G$173,"&lt;"&amp;DATE($A122+1,1,1))</x:f>
        <x:v>0</x:v>
      </x:c>
      <x:c r="D122" s="69" t="n">
        <x:f>SUMIFS('事件主表'!$AI$2:$AI$173,'事件主表'!$C$2:$C$173,$B122,'事件主表'!$Y$2:$Y$173,"严格确认",'事件主表'!$G$2:$G$173,"&gt;="&amp;DATE($A122,1,1),'事件主表'!$G$2:$G$173,"&lt;"&amp;DATE($A122+1,1,1))</x:f>
        <x:v>0</x:v>
      </x:c>
      <x:c r="E122" s="69" t="n">
        <x:f>SUMIFS('事件主表'!$AI$2:$AI$173,'事件主表'!$C$2:$C$173,$B122,'事件主表'!$L$2:$L$173,"&lt;&gt;",'事件主表'!$M$2:$M$173,"&lt;&gt;",'事件主表'!$G$2:$G$173,"&gt;="&amp;DATE($A122,1,1),'事件主表'!$G$2:$G$173,"&lt;"&amp;DATE($A122+1,1,1))</x:f>
        <x:v>0</x:v>
      </x:c>
      <x:c r="F122" s="69" t="n">
        <x:f>MAX(0,20-C122)</x:f>
        <x:v>20</x:v>
      </x:c>
      <x:c r="G122" s="67" t="str">
        <x:f>IF(C122=0,"无记录",IF(D122=0,"仅候选/汇编",IF(C122&lt;20,"已确认但不足原目标","达到原目标")))</x:f>
        <x:v>无记录</x:v>
      </x:c>
    </x:row>
    <x:row r="123">
      <x:c r="A123" s="68" t="n">
        <x:v>2018</x:v>
      </x:c>
      <x:c r="B123" s="68" t="str">
        <x:v>非洲</x:v>
      </x:c>
      <x:c r="C123" s="69" t="n">
        <x:f>SUMIFS('事件主表'!$AI$2:$AI$173,'事件主表'!$C$2:$C$173,$B123,'事件主表'!$G$2:$G$173,"&gt;="&amp;DATE($A123,1,1),'事件主表'!$G$2:$G$173,"&lt;"&amp;DATE($A123+1,1,1))</x:f>
        <x:v>2</x:v>
      </x:c>
      <x:c r="D123" s="69" t="n">
        <x:f>SUMIFS('事件主表'!$AI$2:$AI$173,'事件主表'!$C$2:$C$173,$B123,'事件主表'!$Y$2:$Y$173,"严格确认",'事件主表'!$G$2:$G$173,"&gt;="&amp;DATE($A123,1,1),'事件主表'!$G$2:$G$173,"&lt;"&amp;DATE($A123+1,1,1))</x:f>
        <x:v>1</x:v>
      </x:c>
      <x:c r="E123" s="69" t="n">
        <x:f>SUMIFS('事件主表'!$AI$2:$AI$173,'事件主表'!$C$2:$C$173,$B123,'事件主表'!$L$2:$L$173,"&lt;&gt;",'事件主表'!$M$2:$M$173,"&lt;&gt;",'事件主表'!$G$2:$G$173,"&gt;="&amp;DATE($A123,1,1),'事件主表'!$G$2:$G$173,"&lt;"&amp;DATE($A123+1,1,1))</x:f>
        <x:v>2</x:v>
      </x:c>
      <x:c r="F123" s="69" t="n">
        <x:f>MAX(0,20-C123)</x:f>
        <x:v>18</x:v>
      </x:c>
      <x:c r="G123" s="67" t="str">
        <x:f>IF(C123=0,"无记录",IF(D123=0,"仅候选/汇编",IF(C123&lt;20,"已确认但不足原目标","达到原目标")))</x:f>
        <x:v>已确认但不足原目标</x:v>
      </x:c>
    </x:row>
    <x:row r="124">
      <x:c r="A124" s="68" t="n">
        <x:v>2018</x:v>
      </x:c>
      <x:c r="B124" s="68" t="str">
        <x:v>北美洲</x:v>
      </x:c>
      <x:c r="C124" s="69" t="n">
        <x:f>SUMIFS('事件主表'!$AI$2:$AI$173,'事件主表'!$C$2:$C$173,$B124,'事件主表'!$G$2:$G$173,"&gt;="&amp;DATE($A124,1,1),'事件主表'!$G$2:$G$173,"&lt;"&amp;DATE($A124+1,1,1))</x:f>
        <x:v>2</x:v>
      </x:c>
      <x:c r="D124" s="69" t="n">
        <x:f>SUMIFS('事件主表'!$AI$2:$AI$173,'事件主表'!$C$2:$C$173,$B124,'事件主表'!$Y$2:$Y$173,"严格确认",'事件主表'!$G$2:$G$173,"&gt;="&amp;DATE($A124,1,1),'事件主表'!$G$2:$G$173,"&lt;"&amp;DATE($A124+1,1,1))</x:f>
        <x:v>2</x:v>
      </x:c>
      <x:c r="E124" s="69" t="n">
        <x:f>SUMIFS('事件主表'!$AI$2:$AI$173,'事件主表'!$C$2:$C$173,$B124,'事件主表'!$L$2:$L$173,"&lt;&gt;",'事件主表'!$M$2:$M$173,"&lt;&gt;",'事件主表'!$G$2:$G$173,"&gt;="&amp;DATE($A124,1,1),'事件主表'!$G$2:$G$173,"&lt;"&amp;DATE($A124+1,1,1))</x:f>
        <x:v>2</x:v>
      </x:c>
      <x:c r="F124" s="69" t="n">
        <x:f>MAX(0,20-C124)</x:f>
        <x:v>18</x:v>
      </x:c>
      <x:c r="G124" s="67" t="str">
        <x:f>IF(C124=0,"无记录",IF(D124=0,"仅候选/汇编",IF(C124&lt;20,"已确认但不足原目标","达到原目标")))</x:f>
        <x:v>已确认但不足原目标</x:v>
      </x:c>
    </x:row>
    <x:row r="125">
      <x:c r="A125" s="68" t="n">
        <x:v>2018</x:v>
      </x:c>
      <x:c r="B125" s="68" t="str">
        <x:v>南美洲</x:v>
      </x:c>
      <x:c r="C125" s="69" t="n">
        <x:f>SUMIFS('事件主表'!$AI$2:$AI$173,'事件主表'!$C$2:$C$173,$B125,'事件主表'!$G$2:$G$173,"&gt;="&amp;DATE($A125,1,1),'事件主表'!$G$2:$G$173,"&lt;"&amp;DATE($A125+1,1,1))</x:f>
        <x:v>1</x:v>
      </x:c>
      <x:c r="D125" s="69" t="n">
        <x:f>SUMIFS('事件主表'!$AI$2:$AI$173,'事件主表'!$C$2:$C$173,$B125,'事件主表'!$Y$2:$Y$173,"严格确认",'事件主表'!$G$2:$G$173,"&gt;="&amp;DATE($A125,1,1),'事件主表'!$G$2:$G$173,"&lt;"&amp;DATE($A125+1,1,1))</x:f>
        <x:v>1</x:v>
      </x:c>
      <x:c r="E125" s="69" t="n">
        <x:f>SUMIFS('事件主表'!$AI$2:$AI$173,'事件主表'!$C$2:$C$173,$B125,'事件主表'!$L$2:$L$173,"&lt;&gt;",'事件主表'!$M$2:$M$173,"&lt;&gt;",'事件主表'!$G$2:$G$173,"&gt;="&amp;DATE($A125,1,1),'事件主表'!$G$2:$G$173,"&lt;"&amp;DATE($A125+1,1,1))</x:f>
        <x:v>1</x:v>
      </x:c>
      <x:c r="F125" s="69" t="n">
        <x:f>MAX(0,20-C125)</x:f>
        <x:v>19</x:v>
      </x:c>
      <x:c r="G125" s="67" t="str">
        <x:f>IF(C125=0,"无记录",IF(D125=0,"仅候选/汇编",IF(C125&lt;20,"已确认但不足原目标","达到原目标")))</x:f>
        <x:v>已确认但不足原目标</x:v>
      </x:c>
    </x:row>
    <x:row r="126">
      <x:c r="A126" s="68" t="n">
        <x:v>2018</x:v>
      </x:c>
      <x:c r="B126" s="68" t="str">
        <x:v>大洋洲</x:v>
      </x:c>
      <x:c r="C126" s="69" t="n">
        <x:f>SUMIFS('事件主表'!$AI$2:$AI$173,'事件主表'!$C$2:$C$173,$B126,'事件主表'!$G$2:$G$173,"&gt;="&amp;DATE($A126,1,1),'事件主表'!$G$2:$G$173,"&lt;"&amp;DATE($A126+1,1,1))</x:f>
        <x:v>0</x:v>
      </x:c>
      <x:c r="D126" s="69" t="n">
        <x:f>SUMIFS('事件主表'!$AI$2:$AI$173,'事件主表'!$C$2:$C$173,$B126,'事件主表'!$Y$2:$Y$173,"严格确认",'事件主表'!$G$2:$G$173,"&gt;="&amp;DATE($A126,1,1),'事件主表'!$G$2:$G$173,"&lt;"&amp;DATE($A126+1,1,1))</x:f>
        <x:v>0</x:v>
      </x:c>
      <x:c r="E126" s="69" t="n">
        <x:f>SUMIFS('事件主表'!$AI$2:$AI$173,'事件主表'!$C$2:$C$173,$B126,'事件主表'!$L$2:$L$173,"&lt;&gt;",'事件主表'!$M$2:$M$173,"&lt;&gt;",'事件主表'!$G$2:$G$173,"&gt;="&amp;DATE($A126,1,1),'事件主表'!$G$2:$G$173,"&lt;"&amp;DATE($A126+1,1,1))</x:f>
        <x:v>0</x:v>
      </x:c>
      <x:c r="F126" s="69" t="n">
        <x:f>MAX(0,20-C126)</x:f>
        <x:v>20</x:v>
      </x:c>
      <x:c r="G126" s="67" t="str">
        <x:f>IF(C126=0,"无记录",IF(D126=0,"仅候选/汇编",IF(C126&lt;20,"已确认但不足原目标","达到原目标")))</x:f>
        <x:v>无记录</x:v>
      </x:c>
    </x:row>
    <x:row r="127">
      <x:c r="A127" s="68" t="n">
        <x:v>2019</x:v>
      </x:c>
      <x:c r="B127" s="68" t="str">
        <x:v>亚洲</x:v>
      </x:c>
      <x:c r="C127" s="69" t="n">
        <x:f>SUMIFS('事件主表'!$AI$2:$AI$173,'事件主表'!$C$2:$C$173,$B127,'事件主表'!$G$2:$G$173,"&gt;="&amp;DATE($A127,1,1),'事件主表'!$G$2:$G$173,"&lt;"&amp;DATE($A127+1,1,1))</x:f>
        <x:v>4</x:v>
      </x:c>
      <x:c r="D127" s="69" t="n">
        <x:f>SUMIFS('事件主表'!$AI$2:$AI$173,'事件主表'!$C$2:$C$173,$B127,'事件主表'!$Y$2:$Y$173,"严格确认",'事件主表'!$G$2:$G$173,"&gt;="&amp;DATE($A127,1,1),'事件主表'!$G$2:$G$173,"&lt;"&amp;DATE($A127+1,1,1))</x:f>
        <x:v>0</x:v>
      </x:c>
      <x:c r="E127" s="69" t="n">
        <x:f>SUMIFS('事件主表'!$AI$2:$AI$173,'事件主表'!$C$2:$C$173,$B127,'事件主表'!$L$2:$L$173,"&lt;&gt;",'事件主表'!$M$2:$M$173,"&lt;&gt;",'事件主表'!$G$2:$G$173,"&gt;="&amp;DATE($A127,1,1),'事件主表'!$G$2:$G$173,"&lt;"&amp;DATE($A127+1,1,1))</x:f>
        <x:v>4</x:v>
      </x:c>
      <x:c r="F127" s="69" t="n">
        <x:f>MAX(0,20-C127)</x:f>
        <x:v>16</x:v>
      </x:c>
      <x:c r="G127" s="67" t="str">
        <x:f>IF(C127=0,"无记录",IF(D127=0,"仅候选/汇编",IF(C127&lt;20,"已确认但不足原目标","达到原目标")))</x:f>
        <x:v>仅候选/汇编</x:v>
      </x:c>
    </x:row>
    <x:row r="128">
      <x:c r="A128" s="68" t="n">
        <x:v>2019</x:v>
      </x:c>
      <x:c r="B128" s="68" t="str">
        <x:v>欧洲</x:v>
      </x:c>
      <x:c r="C128" s="69" t="n">
        <x:f>SUMIFS('事件主表'!$AI$2:$AI$173,'事件主表'!$C$2:$C$173,$B128,'事件主表'!$G$2:$G$173,"&gt;="&amp;DATE($A128,1,1),'事件主表'!$G$2:$G$173,"&lt;"&amp;DATE($A128+1,1,1))</x:f>
        <x:v>8</x:v>
      </x:c>
      <x:c r="D128" s="69" t="n">
        <x:f>SUMIFS('事件主表'!$AI$2:$AI$173,'事件主表'!$C$2:$C$173,$B128,'事件主表'!$Y$2:$Y$173,"严格确认",'事件主表'!$G$2:$G$173,"&gt;="&amp;DATE($A128,1,1),'事件主表'!$G$2:$G$173,"&lt;"&amp;DATE($A128+1,1,1))</x:f>
        <x:v>1</x:v>
      </x:c>
      <x:c r="E128" s="69" t="n">
        <x:f>SUMIFS('事件主表'!$AI$2:$AI$173,'事件主表'!$C$2:$C$173,$B128,'事件主表'!$L$2:$L$173,"&lt;&gt;",'事件主表'!$M$2:$M$173,"&lt;&gt;",'事件主表'!$G$2:$G$173,"&gt;="&amp;DATE($A128,1,1),'事件主表'!$G$2:$G$173,"&lt;"&amp;DATE($A128+1,1,1))</x:f>
        <x:v>7</x:v>
      </x:c>
      <x:c r="F128" s="69" t="n">
        <x:f>MAX(0,20-C128)</x:f>
        <x:v>12</x:v>
      </x:c>
      <x:c r="G128" s="67" t="str">
        <x:f>IF(C128=0,"无记录",IF(D128=0,"仅候选/汇编",IF(C128&lt;20,"已确认但不足原目标","达到原目标")))</x:f>
        <x:v>已确认但不足原目标</x:v>
      </x:c>
    </x:row>
    <x:row r="129">
      <x:c r="A129" s="68" t="n">
        <x:v>2019</x:v>
      </x:c>
      <x:c r="B129" s="68" t="str">
        <x:v>非洲</x:v>
      </x:c>
      <x:c r="C129" s="69" t="n">
        <x:f>SUMIFS('事件主表'!$AI$2:$AI$173,'事件主表'!$C$2:$C$173,$B129,'事件主表'!$G$2:$G$173,"&gt;="&amp;DATE($A129,1,1),'事件主表'!$G$2:$G$173,"&lt;"&amp;DATE($A129+1,1,1))</x:f>
        <x:v>0</x:v>
      </x:c>
      <x:c r="D129" s="69" t="n">
        <x:f>SUMIFS('事件主表'!$AI$2:$AI$173,'事件主表'!$C$2:$C$173,$B129,'事件主表'!$Y$2:$Y$173,"严格确认",'事件主表'!$G$2:$G$173,"&gt;="&amp;DATE($A129,1,1),'事件主表'!$G$2:$G$173,"&lt;"&amp;DATE($A129+1,1,1))</x:f>
        <x:v>0</x:v>
      </x:c>
      <x:c r="E129" s="69" t="n">
        <x:f>SUMIFS('事件主表'!$AI$2:$AI$173,'事件主表'!$C$2:$C$173,$B129,'事件主表'!$L$2:$L$173,"&lt;&gt;",'事件主表'!$M$2:$M$173,"&lt;&gt;",'事件主表'!$G$2:$G$173,"&gt;="&amp;DATE($A129,1,1),'事件主表'!$G$2:$G$173,"&lt;"&amp;DATE($A129+1,1,1))</x:f>
        <x:v>0</x:v>
      </x:c>
      <x:c r="F129" s="69" t="n">
        <x:f>MAX(0,20-C129)</x:f>
        <x:v>20</x:v>
      </x:c>
      <x:c r="G129" s="67" t="str">
        <x:f>IF(C129=0,"无记录",IF(D129=0,"仅候选/汇编",IF(C129&lt;20,"已确认但不足原目标","达到原目标")))</x:f>
        <x:v>无记录</x:v>
      </x:c>
    </x:row>
    <x:row r="130">
      <x:c r="A130" s="68" t="n">
        <x:v>2019</x:v>
      </x:c>
      <x:c r="B130" s="68" t="str">
        <x:v>北美洲</x:v>
      </x:c>
      <x:c r="C130" s="69" t="n">
        <x:f>SUMIFS('事件主表'!$AI$2:$AI$173,'事件主表'!$C$2:$C$173,$B130,'事件主表'!$G$2:$G$173,"&gt;="&amp;DATE($A130,1,1),'事件主表'!$G$2:$G$173,"&lt;"&amp;DATE($A130+1,1,1))</x:f>
        <x:v>1</x:v>
      </x:c>
      <x:c r="D130" s="69" t="n">
        <x:f>SUMIFS('事件主表'!$AI$2:$AI$173,'事件主表'!$C$2:$C$173,$B130,'事件主表'!$Y$2:$Y$173,"严格确认",'事件主表'!$G$2:$G$173,"&gt;="&amp;DATE($A130,1,1),'事件主表'!$G$2:$G$173,"&lt;"&amp;DATE($A130+1,1,1))</x:f>
        <x:v>1</x:v>
      </x:c>
      <x:c r="E130" s="69" t="n">
        <x:f>SUMIFS('事件主表'!$AI$2:$AI$173,'事件主表'!$C$2:$C$173,$B130,'事件主表'!$L$2:$L$173,"&lt;&gt;",'事件主表'!$M$2:$M$173,"&lt;&gt;",'事件主表'!$G$2:$G$173,"&gt;="&amp;DATE($A130,1,1),'事件主表'!$G$2:$G$173,"&lt;"&amp;DATE($A130+1,1,1))</x:f>
        <x:v>1</x:v>
      </x:c>
      <x:c r="F130" s="69" t="n">
        <x:f>MAX(0,20-C130)</x:f>
        <x:v>19</x:v>
      </x:c>
      <x:c r="G130" s="67" t="str">
        <x:f>IF(C130=0,"无记录",IF(D130=0,"仅候选/汇编",IF(C130&lt;20,"已确认但不足原目标","达到原目标")))</x:f>
        <x:v>已确认但不足原目标</x:v>
      </x:c>
    </x:row>
    <x:row r="131">
      <x:c r="A131" s="68" t="n">
        <x:v>2019</x:v>
      </x:c>
      <x:c r="B131" s="68" t="str">
        <x:v>南美洲</x:v>
      </x:c>
      <x:c r="C131" s="69" t="n">
        <x:f>SUMIFS('事件主表'!$AI$2:$AI$173,'事件主表'!$C$2:$C$173,$B131,'事件主表'!$G$2:$G$173,"&gt;="&amp;DATE($A131,1,1),'事件主表'!$G$2:$G$173,"&lt;"&amp;DATE($A131+1,1,1))</x:f>
        <x:v>0</x:v>
      </x:c>
      <x:c r="D131" s="69" t="n">
        <x:f>SUMIFS('事件主表'!$AI$2:$AI$173,'事件主表'!$C$2:$C$173,$B131,'事件主表'!$Y$2:$Y$173,"严格确认",'事件主表'!$G$2:$G$173,"&gt;="&amp;DATE($A131,1,1),'事件主表'!$G$2:$G$173,"&lt;"&amp;DATE($A131+1,1,1))</x:f>
        <x:v>0</x:v>
      </x:c>
      <x:c r="E131" s="69" t="n">
        <x:f>SUMIFS('事件主表'!$AI$2:$AI$173,'事件主表'!$C$2:$C$173,$B131,'事件主表'!$L$2:$L$173,"&lt;&gt;",'事件主表'!$M$2:$M$173,"&lt;&gt;",'事件主表'!$G$2:$G$173,"&gt;="&amp;DATE($A131,1,1),'事件主表'!$G$2:$G$173,"&lt;"&amp;DATE($A131+1,1,1))</x:f>
        <x:v>0</x:v>
      </x:c>
      <x:c r="F131" s="69" t="n">
        <x:f>MAX(0,20-C131)</x:f>
        <x:v>20</x:v>
      </x:c>
      <x:c r="G131" s="67" t="str">
        <x:f>IF(C131=0,"无记录",IF(D131=0,"仅候选/汇编",IF(C131&lt;20,"已确认但不足原目标","达到原目标")))</x:f>
        <x:v>无记录</x:v>
      </x:c>
    </x:row>
    <x:row r="132">
      <x:c r="A132" s="68" t="n">
        <x:v>2019</x:v>
      </x:c>
      <x:c r="B132" s="68" t="str">
        <x:v>大洋洲</x:v>
      </x:c>
      <x:c r="C132" s="69" t="n">
        <x:f>SUMIFS('事件主表'!$AI$2:$AI$173,'事件主表'!$C$2:$C$173,$B132,'事件主表'!$G$2:$G$173,"&gt;="&amp;DATE($A132,1,1),'事件主表'!$G$2:$G$173,"&lt;"&amp;DATE($A132+1,1,1))</x:f>
        <x:v>1</x:v>
      </x:c>
      <x:c r="D132" s="69" t="n">
        <x:f>SUMIFS('事件主表'!$AI$2:$AI$173,'事件主表'!$C$2:$C$173,$B132,'事件主表'!$Y$2:$Y$173,"严格确认",'事件主表'!$G$2:$G$173,"&gt;="&amp;DATE($A132,1,1),'事件主表'!$G$2:$G$173,"&lt;"&amp;DATE($A132+1,1,1))</x:f>
        <x:v>0</x:v>
      </x:c>
      <x:c r="E132" s="69" t="n">
        <x:f>SUMIFS('事件主表'!$AI$2:$AI$173,'事件主表'!$C$2:$C$173,$B132,'事件主表'!$L$2:$L$173,"&lt;&gt;",'事件主表'!$M$2:$M$173,"&lt;&gt;",'事件主表'!$G$2:$G$173,"&gt;="&amp;DATE($A132,1,1),'事件主表'!$G$2:$G$173,"&lt;"&amp;DATE($A132+1,1,1))</x:f>
        <x:v>1</x:v>
      </x:c>
      <x:c r="F132" s="69" t="n">
        <x:f>MAX(0,20-C132)</x:f>
        <x:v>19</x:v>
      </x:c>
      <x:c r="G132" s="67" t="str">
        <x:f>IF(C132=0,"无记录",IF(D132=0,"仅候选/汇编",IF(C132&lt;20,"已确认但不足原目标","达到原目标")))</x:f>
        <x:v>仅候选/汇编</x:v>
      </x:c>
    </x:row>
    <x:row r="133">
      <x:c r="A133" s="68" t="n">
        <x:v>2020</x:v>
      </x:c>
      <x:c r="B133" s="68" t="str">
        <x:v>亚洲</x:v>
      </x:c>
      <x:c r="C133" s="69" t="n">
        <x:f>SUMIFS('事件主表'!$AI$2:$AI$173,'事件主表'!$C$2:$C$173,$B133,'事件主表'!$G$2:$G$173,"&gt;="&amp;DATE($A133,1,1),'事件主表'!$G$2:$G$173,"&lt;"&amp;DATE($A133+1,1,1))</x:f>
        <x:v>4</x:v>
      </x:c>
      <x:c r="D133" s="69" t="n">
        <x:f>SUMIFS('事件主表'!$AI$2:$AI$173,'事件主表'!$C$2:$C$173,$B133,'事件主表'!$Y$2:$Y$173,"严格确认",'事件主表'!$G$2:$G$173,"&gt;="&amp;DATE($A133,1,1),'事件主表'!$G$2:$G$173,"&lt;"&amp;DATE($A133+1,1,1))</x:f>
        <x:v>0</x:v>
      </x:c>
      <x:c r="E133" s="69" t="n">
        <x:f>SUMIFS('事件主表'!$AI$2:$AI$173,'事件主表'!$C$2:$C$173,$B133,'事件主表'!$L$2:$L$173,"&lt;&gt;",'事件主表'!$M$2:$M$173,"&lt;&gt;",'事件主表'!$G$2:$G$173,"&gt;="&amp;DATE($A133,1,1),'事件主表'!$G$2:$G$173,"&lt;"&amp;DATE($A133+1,1,1))</x:f>
        <x:v>4</x:v>
      </x:c>
      <x:c r="F133" s="69" t="n">
        <x:f>MAX(0,20-C133)</x:f>
        <x:v>16</x:v>
      </x:c>
      <x:c r="G133" s="67" t="str">
        <x:f>IF(C133=0,"无记录",IF(D133=0,"仅候选/汇编",IF(C133&lt;20,"已确认但不足原目标","达到原目标")))</x:f>
        <x:v>仅候选/汇编</x:v>
      </x:c>
    </x:row>
    <x:row r="134">
      <x:c r="A134" s="68" t="n">
        <x:v>2020</x:v>
      </x:c>
      <x:c r="B134" s="68" t="str">
        <x:v>欧洲</x:v>
      </x:c>
      <x:c r="C134" s="69" t="n">
        <x:f>SUMIFS('事件主表'!$AI$2:$AI$173,'事件主表'!$C$2:$C$173,$B134,'事件主表'!$G$2:$G$173,"&gt;="&amp;DATE($A134,1,1),'事件主表'!$G$2:$G$173,"&lt;"&amp;DATE($A134+1,1,1))</x:f>
        <x:v>2</x:v>
      </x:c>
      <x:c r="D134" s="69" t="n">
        <x:f>SUMIFS('事件主表'!$AI$2:$AI$173,'事件主表'!$C$2:$C$173,$B134,'事件主表'!$Y$2:$Y$173,"严格确认",'事件主表'!$G$2:$G$173,"&gt;="&amp;DATE($A134,1,1),'事件主表'!$G$2:$G$173,"&lt;"&amp;DATE($A134+1,1,1))</x:f>
        <x:v>0</x:v>
      </x:c>
      <x:c r="E134" s="69" t="n">
        <x:f>SUMIFS('事件主表'!$AI$2:$AI$173,'事件主表'!$C$2:$C$173,$B134,'事件主表'!$L$2:$L$173,"&lt;&gt;",'事件主表'!$M$2:$M$173,"&lt;&gt;",'事件主表'!$G$2:$G$173,"&gt;="&amp;DATE($A134,1,1),'事件主表'!$G$2:$G$173,"&lt;"&amp;DATE($A134+1,1,1))</x:f>
        <x:v>1</x:v>
      </x:c>
      <x:c r="F134" s="69" t="n">
        <x:f>MAX(0,20-C134)</x:f>
        <x:v>18</x:v>
      </x:c>
      <x:c r="G134" s="67" t="str">
        <x:f>IF(C134=0,"无记录",IF(D134=0,"仅候选/汇编",IF(C134&lt;20,"已确认但不足原目标","达到原目标")))</x:f>
        <x:v>仅候选/汇编</x:v>
      </x:c>
    </x:row>
    <x:row r="135">
      <x:c r="A135" s="68" t="n">
        <x:v>2020</x:v>
      </x:c>
      <x:c r="B135" s="68" t="str">
        <x:v>非洲</x:v>
      </x:c>
      <x:c r="C135" s="69" t="n">
        <x:f>SUMIFS('事件主表'!$AI$2:$AI$173,'事件主表'!$C$2:$C$173,$B135,'事件主表'!$G$2:$G$173,"&gt;="&amp;DATE($A135,1,1),'事件主表'!$G$2:$G$173,"&lt;"&amp;DATE($A135+1,1,1))</x:f>
        <x:v>1</x:v>
      </x:c>
      <x:c r="D135" s="69" t="n">
        <x:f>SUMIFS('事件主表'!$AI$2:$AI$173,'事件主表'!$C$2:$C$173,$B135,'事件主表'!$Y$2:$Y$173,"严格确认",'事件主表'!$G$2:$G$173,"&gt;="&amp;DATE($A135,1,1),'事件主表'!$G$2:$G$173,"&lt;"&amp;DATE($A135+1,1,1))</x:f>
        <x:v>1</x:v>
      </x:c>
      <x:c r="E135" s="69" t="n">
        <x:f>SUMIFS('事件主表'!$AI$2:$AI$173,'事件主表'!$C$2:$C$173,$B135,'事件主表'!$L$2:$L$173,"&lt;&gt;",'事件主表'!$M$2:$M$173,"&lt;&gt;",'事件主表'!$G$2:$G$173,"&gt;="&amp;DATE($A135,1,1),'事件主表'!$G$2:$G$173,"&lt;"&amp;DATE($A135+1,1,1))</x:f>
        <x:v>1</x:v>
      </x:c>
      <x:c r="F135" s="69" t="n">
        <x:f>MAX(0,20-C135)</x:f>
        <x:v>19</x:v>
      </x:c>
      <x:c r="G135" s="67" t="str">
        <x:f>IF(C135=0,"无记录",IF(D135=0,"仅候选/汇编",IF(C135&lt;20,"已确认但不足原目标","达到原目标")))</x:f>
        <x:v>已确认但不足原目标</x:v>
      </x:c>
    </x:row>
    <x:row r="136">
      <x:c r="A136" s="68" t="n">
        <x:v>2020</x:v>
      </x:c>
      <x:c r="B136" s="68" t="str">
        <x:v>北美洲</x:v>
      </x:c>
      <x:c r="C136" s="69" t="n">
        <x:f>SUMIFS('事件主表'!$AI$2:$AI$173,'事件主表'!$C$2:$C$173,$B136,'事件主表'!$G$2:$G$173,"&gt;="&amp;DATE($A136,1,1),'事件主表'!$G$2:$G$173,"&lt;"&amp;DATE($A136+1,1,1))</x:f>
        <x:v>0</x:v>
      </x:c>
      <x:c r="D136" s="69" t="n">
        <x:f>SUMIFS('事件主表'!$AI$2:$AI$173,'事件主表'!$C$2:$C$173,$B136,'事件主表'!$Y$2:$Y$173,"严格确认",'事件主表'!$G$2:$G$173,"&gt;="&amp;DATE($A136,1,1),'事件主表'!$G$2:$G$173,"&lt;"&amp;DATE($A136+1,1,1))</x:f>
        <x:v>0</x:v>
      </x:c>
      <x:c r="E136" s="69" t="n">
        <x:f>SUMIFS('事件主表'!$AI$2:$AI$173,'事件主表'!$C$2:$C$173,$B136,'事件主表'!$L$2:$L$173,"&lt;&gt;",'事件主表'!$M$2:$M$173,"&lt;&gt;",'事件主表'!$G$2:$G$173,"&gt;="&amp;DATE($A136,1,1),'事件主表'!$G$2:$G$173,"&lt;"&amp;DATE($A136+1,1,1))</x:f>
        <x:v>0</x:v>
      </x:c>
      <x:c r="F136" s="69" t="n">
        <x:f>MAX(0,20-C136)</x:f>
        <x:v>20</x:v>
      </x:c>
      <x:c r="G136" s="67" t="str">
        <x:f>IF(C136=0,"无记录",IF(D136=0,"仅候选/汇编",IF(C136&lt;20,"已确认但不足原目标","达到原目标")))</x:f>
        <x:v>无记录</x:v>
      </x:c>
    </x:row>
    <x:row r="137">
      <x:c r="A137" s="68" t="n">
        <x:v>2020</x:v>
      </x:c>
      <x:c r="B137" s="68" t="str">
        <x:v>南美洲</x:v>
      </x:c>
      <x:c r="C137" s="69" t="n">
        <x:f>SUMIFS('事件主表'!$AI$2:$AI$173,'事件主表'!$C$2:$C$173,$B137,'事件主表'!$G$2:$G$173,"&gt;="&amp;DATE($A137,1,1),'事件主表'!$G$2:$G$173,"&lt;"&amp;DATE($A137+1,1,1))</x:f>
        <x:v>0</x:v>
      </x:c>
      <x:c r="D137" s="69" t="n">
        <x:f>SUMIFS('事件主表'!$AI$2:$AI$173,'事件主表'!$C$2:$C$173,$B137,'事件主表'!$Y$2:$Y$173,"严格确认",'事件主表'!$G$2:$G$173,"&gt;="&amp;DATE($A137,1,1),'事件主表'!$G$2:$G$173,"&lt;"&amp;DATE($A137+1,1,1))</x:f>
        <x:v>0</x:v>
      </x:c>
      <x:c r="E137" s="69" t="n">
        <x:f>SUMIFS('事件主表'!$AI$2:$AI$173,'事件主表'!$C$2:$C$173,$B137,'事件主表'!$L$2:$L$173,"&lt;&gt;",'事件主表'!$M$2:$M$173,"&lt;&gt;",'事件主表'!$G$2:$G$173,"&gt;="&amp;DATE($A137,1,1),'事件主表'!$G$2:$G$173,"&lt;"&amp;DATE($A137+1,1,1))</x:f>
        <x:v>0</x:v>
      </x:c>
      <x:c r="F137" s="69" t="n">
        <x:f>MAX(0,20-C137)</x:f>
        <x:v>20</x:v>
      </x:c>
      <x:c r="G137" s="67" t="str">
        <x:f>IF(C137=0,"无记录",IF(D137=0,"仅候选/汇编",IF(C137&lt;20,"已确认但不足原目标","达到原目标")))</x:f>
        <x:v>无记录</x:v>
      </x:c>
    </x:row>
    <x:row r="138">
      <x:c r="A138" s="68" t="n">
        <x:v>2020</x:v>
      </x:c>
      <x:c r="B138" s="68" t="str">
        <x:v>大洋洲</x:v>
      </x:c>
      <x:c r="C138" s="69" t="n">
        <x:f>SUMIFS('事件主表'!$AI$2:$AI$173,'事件主表'!$C$2:$C$173,$B138,'事件主表'!$G$2:$G$173,"&gt;="&amp;DATE($A138,1,1),'事件主表'!$G$2:$G$173,"&lt;"&amp;DATE($A138+1,1,1))</x:f>
        <x:v>0</x:v>
      </x:c>
      <x:c r="D138" s="69" t="n">
        <x:f>SUMIFS('事件主表'!$AI$2:$AI$173,'事件主表'!$C$2:$C$173,$B138,'事件主表'!$Y$2:$Y$173,"严格确认",'事件主表'!$G$2:$G$173,"&gt;="&amp;DATE($A138,1,1),'事件主表'!$G$2:$G$173,"&lt;"&amp;DATE($A138+1,1,1))</x:f>
        <x:v>0</x:v>
      </x:c>
      <x:c r="E138" s="69" t="n">
        <x:f>SUMIFS('事件主表'!$AI$2:$AI$173,'事件主表'!$C$2:$C$173,$B138,'事件主表'!$L$2:$L$173,"&lt;&gt;",'事件主表'!$M$2:$M$173,"&lt;&gt;",'事件主表'!$G$2:$G$173,"&gt;="&amp;DATE($A138,1,1),'事件主表'!$G$2:$G$173,"&lt;"&amp;DATE($A138+1,1,1))</x:f>
        <x:v>0</x:v>
      </x:c>
      <x:c r="F138" s="69" t="n">
        <x:f>MAX(0,20-C138)</x:f>
        <x:v>20</x:v>
      </x:c>
      <x:c r="G138" s="67" t="str">
        <x:f>IF(C138=0,"无记录",IF(D138=0,"仅候选/汇编",IF(C138&lt;20,"已确认但不足原目标","达到原目标")))</x:f>
        <x:v>无记录</x:v>
      </x:c>
    </x:row>
    <x:row r="139">
      <x:c r="A139" s="68" t="n">
        <x:v>2021</x:v>
      </x:c>
      <x:c r="B139" s="68" t="str">
        <x:v>亚洲</x:v>
      </x:c>
      <x:c r="C139" s="69" t="n">
        <x:f>SUMIFS('事件主表'!$AI$2:$AI$173,'事件主表'!$C$2:$C$173,$B139,'事件主表'!$G$2:$G$173,"&gt;="&amp;DATE($A139,1,1),'事件主表'!$G$2:$G$173,"&lt;"&amp;DATE($A139+1,1,1))</x:f>
        <x:v>3</x:v>
      </x:c>
      <x:c r="D139" s="69" t="n">
        <x:f>SUMIFS('事件主表'!$AI$2:$AI$173,'事件主表'!$C$2:$C$173,$B139,'事件主表'!$Y$2:$Y$173,"严格确认",'事件主表'!$G$2:$G$173,"&gt;="&amp;DATE($A139,1,1),'事件主表'!$G$2:$G$173,"&lt;"&amp;DATE($A139+1,1,1))</x:f>
        <x:v>0</x:v>
      </x:c>
      <x:c r="E139" s="69" t="n">
        <x:f>SUMIFS('事件主表'!$AI$2:$AI$173,'事件主表'!$C$2:$C$173,$B139,'事件主表'!$L$2:$L$173,"&lt;&gt;",'事件主表'!$M$2:$M$173,"&lt;&gt;",'事件主表'!$G$2:$G$173,"&gt;="&amp;DATE($A139,1,1),'事件主表'!$G$2:$G$173,"&lt;"&amp;DATE($A139+1,1,1))</x:f>
        <x:v>3</x:v>
      </x:c>
      <x:c r="F139" s="69" t="n">
        <x:f>MAX(0,20-C139)</x:f>
        <x:v>17</x:v>
      </x:c>
      <x:c r="G139" s="67" t="str">
        <x:f>IF(C139=0,"无记录",IF(D139=0,"仅候选/汇编",IF(C139&lt;20,"已确认但不足原目标","达到原目标")))</x:f>
        <x:v>仅候选/汇编</x:v>
      </x:c>
    </x:row>
    <x:row r="140">
      <x:c r="A140" s="68" t="n">
        <x:v>2021</x:v>
      </x:c>
      <x:c r="B140" s="68" t="str">
        <x:v>欧洲</x:v>
      </x:c>
      <x:c r="C140" s="69" t="n">
        <x:f>SUMIFS('事件主表'!$AI$2:$AI$173,'事件主表'!$C$2:$C$173,$B140,'事件主表'!$G$2:$G$173,"&gt;="&amp;DATE($A140,1,1),'事件主表'!$G$2:$G$173,"&lt;"&amp;DATE($A140+1,1,1))</x:f>
        <x:v>2</x:v>
      </x:c>
      <x:c r="D140" s="69" t="n">
        <x:f>SUMIFS('事件主表'!$AI$2:$AI$173,'事件主表'!$C$2:$C$173,$B140,'事件主表'!$Y$2:$Y$173,"严格确认",'事件主表'!$G$2:$G$173,"&gt;="&amp;DATE($A140,1,1),'事件主表'!$G$2:$G$173,"&lt;"&amp;DATE($A140+1,1,1))</x:f>
        <x:v>1</x:v>
      </x:c>
      <x:c r="E140" s="69" t="n">
        <x:f>SUMIFS('事件主表'!$AI$2:$AI$173,'事件主表'!$C$2:$C$173,$B140,'事件主表'!$L$2:$L$173,"&lt;&gt;",'事件主表'!$M$2:$M$173,"&lt;&gt;",'事件主表'!$G$2:$G$173,"&gt;="&amp;DATE($A140,1,1),'事件主表'!$G$2:$G$173,"&lt;"&amp;DATE($A140+1,1,1))</x:f>
        <x:v>2</x:v>
      </x:c>
      <x:c r="F140" s="69" t="n">
        <x:f>MAX(0,20-C140)</x:f>
        <x:v>18</x:v>
      </x:c>
      <x:c r="G140" s="67" t="str">
        <x:f>IF(C140=0,"无记录",IF(D140=0,"仅候选/汇编",IF(C140&lt;20,"已确认但不足原目标","达到原目标")))</x:f>
        <x:v>已确认但不足原目标</x:v>
      </x:c>
    </x:row>
    <x:row r="141">
      <x:c r="A141" s="68" t="n">
        <x:v>2021</x:v>
      </x:c>
      <x:c r="B141" s="68" t="str">
        <x:v>非洲</x:v>
      </x:c>
      <x:c r="C141" s="69" t="n">
        <x:f>SUMIFS('事件主表'!$AI$2:$AI$173,'事件主表'!$C$2:$C$173,$B141,'事件主表'!$G$2:$G$173,"&gt;="&amp;DATE($A141,1,1),'事件主表'!$G$2:$G$173,"&lt;"&amp;DATE($A141+1,1,1))</x:f>
        <x:v>0</x:v>
      </x:c>
      <x:c r="D141" s="69" t="n">
        <x:f>SUMIFS('事件主表'!$AI$2:$AI$173,'事件主表'!$C$2:$C$173,$B141,'事件主表'!$Y$2:$Y$173,"严格确认",'事件主表'!$G$2:$G$173,"&gt;="&amp;DATE($A141,1,1),'事件主表'!$G$2:$G$173,"&lt;"&amp;DATE($A141+1,1,1))</x:f>
        <x:v>0</x:v>
      </x:c>
      <x:c r="E141" s="69" t="n">
        <x:f>SUMIFS('事件主表'!$AI$2:$AI$173,'事件主表'!$C$2:$C$173,$B141,'事件主表'!$L$2:$L$173,"&lt;&gt;",'事件主表'!$M$2:$M$173,"&lt;&gt;",'事件主表'!$G$2:$G$173,"&gt;="&amp;DATE($A141,1,1),'事件主表'!$G$2:$G$173,"&lt;"&amp;DATE($A141+1,1,1))</x:f>
        <x:v>0</x:v>
      </x:c>
      <x:c r="F141" s="69" t="n">
        <x:f>MAX(0,20-C141)</x:f>
        <x:v>20</x:v>
      </x:c>
      <x:c r="G141" s="67" t="str">
        <x:f>IF(C141=0,"无记录",IF(D141=0,"仅候选/汇编",IF(C141&lt;20,"已确认但不足原目标","达到原目标")))</x:f>
        <x:v>无记录</x:v>
      </x:c>
    </x:row>
    <x:row r="142">
      <x:c r="A142" s="68" t="n">
        <x:v>2021</x:v>
      </x:c>
      <x:c r="B142" s="68" t="str">
        <x:v>北美洲</x:v>
      </x:c>
      <x:c r="C142" s="69" t="n">
        <x:f>SUMIFS('事件主表'!$AI$2:$AI$173,'事件主表'!$C$2:$C$173,$B142,'事件主表'!$G$2:$G$173,"&gt;="&amp;DATE($A142,1,1),'事件主表'!$G$2:$G$173,"&lt;"&amp;DATE($A142+1,1,1))</x:f>
        <x:v>0</x:v>
      </x:c>
      <x:c r="D142" s="69" t="n">
        <x:f>SUMIFS('事件主表'!$AI$2:$AI$173,'事件主表'!$C$2:$C$173,$B142,'事件主表'!$Y$2:$Y$173,"严格确认",'事件主表'!$G$2:$G$173,"&gt;="&amp;DATE($A142,1,1),'事件主表'!$G$2:$G$173,"&lt;"&amp;DATE($A142+1,1,1))</x:f>
        <x:v>0</x:v>
      </x:c>
      <x:c r="E142" s="69" t="n">
        <x:f>SUMIFS('事件主表'!$AI$2:$AI$173,'事件主表'!$C$2:$C$173,$B142,'事件主表'!$L$2:$L$173,"&lt;&gt;",'事件主表'!$M$2:$M$173,"&lt;&gt;",'事件主表'!$G$2:$G$173,"&gt;="&amp;DATE($A142,1,1),'事件主表'!$G$2:$G$173,"&lt;"&amp;DATE($A142+1,1,1))</x:f>
        <x:v>0</x:v>
      </x:c>
      <x:c r="F142" s="69" t="n">
        <x:f>MAX(0,20-C142)</x:f>
        <x:v>20</x:v>
      </x:c>
      <x:c r="G142" s="67" t="str">
        <x:f>IF(C142=0,"无记录",IF(D142=0,"仅候选/汇编",IF(C142&lt;20,"已确认但不足原目标","达到原目标")))</x:f>
        <x:v>无记录</x:v>
      </x:c>
    </x:row>
    <x:row r="143">
      <x:c r="A143" s="68" t="n">
        <x:v>2021</x:v>
      </x:c>
      <x:c r="B143" s="68" t="str">
        <x:v>南美洲</x:v>
      </x:c>
      <x:c r="C143" s="69" t="n">
        <x:f>SUMIFS('事件主表'!$AI$2:$AI$173,'事件主表'!$C$2:$C$173,$B143,'事件主表'!$G$2:$G$173,"&gt;="&amp;DATE($A143,1,1),'事件主表'!$G$2:$G$173,"&lt;"&amp;DATE($A143+1,1,1))</x:f>
        <x:v>0</x:v>
      </x:c>
      <x:c r="D143" s="69" t="n">
        <x:f>SUMIFS('事件主表'!$AI$2:$AI$173,'事件主表'!$C$2:$C$173,$B143,'事件主表'!$Y$2:$Y$173,"严格确认",'事件主表'!$G$2:$G$173,"&gt;="&amp;DATE($A143,1,1),'事件主表'!$G$2:$G$173,"&lt;"&amp;DATE($A143+1,1,1))</x:f>
        <x:v>0</x:v>
      </x:c>
      <x:c r="E143" s="69" t="n">
        <x:f>SUMIFS('事件主表'!$AI$2:$AI$173,'事件主表'!$C$2:$C$173,$B143,'事件主表'!$L$2:$L$173,"&lt;&gt;",'事件主表'!$M$2:$M$173,"&lt;&gt;",'事件主表'!$G$2:$G$173,"&gt;="&amp;DATE($A143,1,1),'事件主表'!$G$2:$G$173,"&lt;"&amp;DATE($A143+1,1,1))</x:f>
        <x:v>0</x:v>
      </x:c>
      <x:c r="F143" s="69" t="n">
        <x:f>MAX(0,20-C143)</x:f>
        <x:v>20</x:v>
      </x:c>
      <x:c r="G143" s="67" t="str">
        <x:f>IF(C143=0,"无记录",IF(D143=0,"仅候选/汇编",IF(C143&lt;20,"已确认但不足原目标","达到原目标")))</x:f>
        <x:v>无记录</x:v>
      </x:c>
    </x:row>
    <x:row r="144">
      <x:c r="A144" s="68" t="n">
        <x:v>2021</x:v>
      </x:c>
      <x:c r="B144" s="68" t="str">
        <x:v>大洋洲</x:v>
      </x:c>
      <x:c r="C144" s="69" t="n">
        <x:f>SUMIFS('事件主表'!$AI$2:$AI$173,'事件主表'!$C$2:$C$173,$B144,'事件主表'!$G$2:$G$173,"&gt;="&amp;DATE($A144,1,1),'事件主表'!$G$2:$G$173,"&lt;"&amp;DATE($A144+1,1,1))</x:f>
        <x:v>0</x:v>
      </x:c>
      <x:c r="D144" s="69" t="n">
        <x:f>SUMIFS('事件主表'!$AI$2:$AI$173,'事件主表'!$C$2:$C$173,$B144,'事件主表'!$Y$2:$Y$173,"严格确认",'事件主表'!$G$2:$G$173,"&gt;="&amp;DATE($A144,1,1),'事件主表'!$G$2:$G$173,"&lt;"&amp;DATE($A144+1,1,1))</x:f>
        <x:v>0</x:v>
      </x:c>
      <x:c r="E144" s="69" t="n">
        <x:f>SUMIFS('事件主表'!$AI$2:$AI$173,'事件主表'!$C$2:$C$173,$B144,'事件主表'!$L$2:$L$173,"&lt;&gt;",'事件主表'!$M$2:$M$173,"&lt;&gt;",'事件主表'!$G$2:$G$173,"&gt;="&amp;DATE($A144,1,1),'事件主表'!$G$2:$G$173,"&lt;"&amp;DATE($A144+1,1,1))</x:f>
        <x:v>0</x:v>
      </x:c>
      <x:c r="F144" s="69" t="n">
        <x:f>MAX(0,20-C144)</x:f>
        <x:v>20</x:v>
      </x:c>
      <x:c r="G144" s="67" t="str">
        <x:f>IF(C144=0,"无记录",IF(D144=0,"仅候选/汇编",IF(C144&lt;20,"已确认但不足原目标","达到原目标")))</x:f>
        <x:v>无记录</x:v>
      </x:c>
    </x:row>
    <x:row r="145">
      <x:c r="A145" s="68" t="n">
        <x:v>2022</x:v>
      </x:c>
      <x:c r="B145" s="68" t="str">
        <x:v>亚洲</x:v>
      </x:c>
      <x:c r="C145" s="69" t="n">
        <x:f>SUMIFS('事件主表'!$AI$2:$AI$173,'事件主表'!$C$2:$C$173,$B145,'事件主表'!$G$2:$G$173,"&gt;="&amp;DATE($A145,1,1),'事件主表'!$G$2:$G$173,"&lt;"&amp;DATE($A145+1,1,1))</x:f>
        <x:v>5</x:v>
      </x:c>
      <x:c r="D145" s="69" t="n">
        <x:f>SUMIFS('事件主表'!$AI$2:$AI$173,'事件主表'!$C$2:$C$173,$B145,'事件主表'!$Y$2:$Y$173,"严格确认",'事件主表'!$G$2:$G$173,"&gt;="&amp;DATE($A145,1,1),'事件主表'!$G$2:$G$173,"&lt;"&amp;DATE($A145+1,1,1))</x:f>
        <x:v>0</x:v>
      </x:c>
      <x:c r="E145" s="69" t="n">
        <x:f>SUMIFS('事件主表'!$AI$2:$AI$173,'事件主表'!$C$2:$C$173,$B145,'事件主表'!$L$2:$L$173,"&lt;&gt;",'事件主表'!$M$2:$M$173,"&lt;&gt;",'事件主表'!$G$2:$G$173,"&gt;="&amp;DATE($A145,1,1),'事件主表'!$G$2:$G$173,"&lt;"&amp;DATE($A145+1,1,1))</x:f>
        <x:v>5</x:v>
      </x:c>
      <x:c r="F145" s="69" t="n">
        <x:f>MAX(0,20-C145)</x:f>
        <x:v>15</x:v>
      </x:c>
      <x:c r="G145" s="67" t="str">
        <x:f>IF(C145=0,"无记录",IF(D145=0,"仅候选/汇编",IF(C145&lt;20,"已确认但不足原目标","达到原目标")))</x:f>
        <x:v>仅候选/汇编</x:v>
      </x:c>
    </x:row>
    <x:row r="146">
      <x:c r="A146" s="68" t="n">
        <x:v>2022</x:v>
      </x:c>
      <x:c r="B146" s="68" t="str">
        <x:v>欧洲</x:v>
      </x:c>
      <x:c r="C146" s="69" t="n">
        <x:f>SUMIFS('事件主表'!$AI$2:$AI$173,'事件主表'!$C$2:$C$173,$B146,'事件主表'!$G$2:$G$173,"&gt;="&amp;DATE($A146,1,1),'事件主表'!$G$2:$G$173,"&lt;"&amp;DATE($A146+1,1,1))</x:f>
        <x:v>0</x:v>
      </x:c>
      <x:c r="D146" s="69" t="n">
        <x:f>SUMIFS('事件主表'!$AI$2:$AI$173,'事件主表'!$C$2:$C$173,$B146,'事件主表'!$Y$2:$Y$173,"严格确认",'事件主表'!$G$2:$G$173,"&gt;="&amp;DATE($A146,1,1),'事件主表'!$G$2:$G$173,"&lt;"&amp;DATE($A146+1,1,1))</x:f>
        <x:v>0</x:v>
      </x:c>
      <x:c r="E146" s="69" t="n">
        <x:f>SUMIFS('事件主表'!$AI$2:$AI$173,'事件主表'!$C$2:$C$173,$B146,'事件主表'!$L$2:$L$173,"&lt;&gt;",'事件主表'!$M$2:$M$173,"&lt;&gt;",'事件主表'!$G$2:$G$173,"&gt;="&amp;DATE($A146,1,1),'事件主表'!$G$2:$G$173,"&lt;"&amp;DATE($A146+1,1,1))</x:f>
        <x:v>0</x:v>
      </x:c>
      <x:c r="F146" s="69" t="n">
        <x:f>MAX(0,20-C146)</x:f>
        <x:v>20</x:v>
      </x:c>
      <x:c r="G146" s="67" t="str">
        <x:f>IF(C146=0,"无记录",IF(D146=0,"仅候选/汇编",IF(C146&lt;20,"已确认但不足原目标","达到原目标")))</x:f>
        <x:v>无记录</x:v>
      </x:c>
    </x:row>
    <x:row r="147">
      <x:c r="A147" s="68" t="n">
        <x:v>2022</x:v>
      </x:c>
      <x:c r="B147" s="68" t="str">
        <x:v>非洲</x:v>
      </x:c>
      <x:c r="C147" s="69" t="n">
        <x:f>SUMIFS('事件主表'!$AI$2:$AI$173,'事件主表'!$C$2:$C$173,$B147,'事件主表'!$G$2:$G$173,"&gt;="&amp;DATE($A147,1,1),'事件主表'!$G$2:$G$173,"&lt;"&amp;DATE($A147+1,1,1))</x:f>
        <x:v>0</x:v>
      </x:c>
      <x:c r="D147" s="69" t="n">
        <x:f>SUMIFS('事件主表'!$AI$2:$AI$173,'事件主表'!$C$2:$C$173,$B147,'事件主表'!$Y$2:$Y$173,"严格确认",'事件主表'!$G$2:$G$173,"&gt;="&amp;DATE($A147,1,1),'事件主表'!$G$2:$G$173,"&lt;"&amp;DATE($A147+1,1,1))</x:f>
        <x:v>0</x:v>
      </x:c>
      <x:c r="E147" s="69" t="n">
        <x:f>SUMIFS('事件主表'!$AI$2:$AI$173,'事件主表'!$C$2:$C$173,$B147,'事件主表'!$L$2:$L$173,"&lt;&gt;",'事件主表'!$M$2:$M$173,"&lt;&gt;",'事件主表'!$G$2:$G$173,"&gt;="&amp;DATE($A147,1,1),'事件主表'!$G$2:$G$173,"&lt;"&amp;DATE($A147+1,1,1))</x:f>
        <x:v>0</x:v>
      </x:c>
      <x:c r="F147" s="69" t="n">
        <x:f>MAX(0,20-C147)</x:f>
        <x:v>20</x:v>
      </x:c>
      <x:c r="G147" s="67" t="str">
        <x:f>IF(C147=0,"无记录",IF(D147=0,"仅候选/汇编",IF(C147&lt;20,"已确认但不足原目标","达到原目标")))</x:f>
        <x:v>无记录</x:v>
      </x:c>
    </x:row>
    <x:row r="148">
      <x:c r="A148" s="68" t="n">
        <x:v>2022</x:v>
      </x:c>
      <x:c r="B148" s="68" t="str">
        <x:v>北美洲</x:v>
      </x:c>
      <x:c r="C148" s="69" t="n">
        <x:f>SUMIFS('事件主表'!$AI$2:$AI$173,'事件主表'!$C$2:$C$173,$B148,'事件主表'!$G$2:$G$173,"&gt;="&amp;DATE($A148,1,1),'事件主表'!$G$2:$G$173,"&lt;"&amp;DATE($A148+1,1,1))</x:f>
        <x:v>2</x:v>
      </x:c>
      <x:c r="D148" s="69" t="n">
        <x:f>SUMIFS('事件主表'!$AI$2:$AI$173,'事件主表'!$C$2:$C$173,$B148,'事件主表'!$Y$2:$Y$173,"严格确认",'事件主表'!$G$2:$G$173,"&gt;="&amp;DATE($A148,1,1),'事件主表'!$G$2:$G$173,"&lt;"&amp;DATE($A148+1,1,1))</x:f>
        <x:v>2</x:v>
      </x:c>
      <x:c r="E148" s="69" t="n">
        <x:f>SUMIFS('事件主表'!$AI$2:$AI$173,'事件主表'!$C$2:$C$173,$B148,'事件主表'!$L$2:$L$173,"&lt;&gt;",'事件主表'!$M$2:$M$173,"&lt;&gt;",'事件主表'!$G$2:$G$173,"&gt;="&amp;DATE($A148,1,1),'事件主表'!$G$2:$G$173,"&lt;"&amp;DATE($A148+1,1,1))</x:f>
        <x:v>2</x:v>
      </x:c>
      <x:c r="F148" s="69" t="n">
        <x:f>MAX(0,20-C148)</x:f>
        <x:v>18</x:v>
      </x:c>
      <x:c r="G148" s="67" t="str">
        <x:f>IF(C148=0,"无记录",IF(D148=0,"仅候选/汇编",IF(C148&lt;20,"已确认但不足原目标","达到原目标")))</x:f>
        <x:v>已确认但不足原目标</x:v>
      </x:c>
    </x:row>
    <x:row r="149">
      <x:c r="A149" s="68" t="n">
        <x:v>2022</x:v>
      </x:c>
      <x:c r="B149" s="68" t="str">
        <x:v>南美洲</x:v>
      </x:c>
      <x:c r="C149" s="69" t="n">
        <x:f>SUMIFS('事件主表'!$AI$2:$AI$173,'事件主表'!$C$2:$C$173,$B149,'事件主表'!$G$2:$G$173,"&gt;="&amp;DATE($A149,1,1),'事件主表'!$G$2:$G$173,"&lt;"&amp;DATE($A149+1,1,1))</x:f>
        <x:v>0</x:v>
      </x:c>
      <x:c r="D149" s="69" t="n">
        <x:f>SUMIFS('事件主表'!$AI$2:$AI$173,'事件主表'!$C$2:$C$173,$B149,'事件主表'!$Y$2:$Y$173,"严格确认",'事件主表'!$G$2:$G$173,"&gt;="&amp;DATE($A149,1,1),'事件主表'!$G$2:$G$173,"&lt;"&amp;DATE($A149+1,1,1))</x:f>
        <x:v>0</x:v>
      </x:c>
      <x:c r="E149" s="69" t="n">
        <x:f>SUMIFS('事件主表'!$AI$2:$AI$173,'事件主表'!$C$2:$C$173,$B149,'事件主表'!$L$2:$L$173,"&lt;&gt;",'事件主表'!$M$2:$M$173,"&lt;&gt;",'事件主表'!$G$2:$G$173,"&gt;="&amp;DATE($A149,1,1),'事件主表'!$G$2:$G$173,"&lt;"&amp;DATE($A149+1,1,1))</x:f>
        <x:v>0</x:v>
      </x:c>
      <x:c r="F149" s="69" t="n">
        <x:f>MAX(0,20-C149)</x:f>
        <x:v>20</x:v>
      </x:c>
      <x:c r="G149" s="67" t="str">
        <x:f>IF(C149=0,"无记录",IF(D149=0,"仅候选/汇编",IF(C149&lt;20,"已确认但不足原目标","达到原目标")))</x:f>
        <x:v>无记录</x:v>
      </x:c>
    </x:row>
    <x:row r="150">
      <x:c r="A150" s="68" t="n">
        <x:v>2022</x:v>
      </x:c>
      <x:c r="B150" s="68" t="str">
        <x:v>大洋洲</x:v>
      </x:c>
      <x:c r="C150" s="69" t="n">
        <x:f>SUMIFS('事件主表'!$AI$2:$AI$173,'事件主表'!$C$2:$C$173,$B150,'事件主表'!$G$2:$G$173,"&gt;="&amp;DATE($A150,1,1),'事件主表'!$G$2:$G$173,"&lt;"&amp;DATE($A150+1,1,1))</x:f>
        <x:v>0</x:v>
      </x:c>
      <x:c r="D150" s="69" t="n">
        <x:f>SUMIFS('事件主表'!$AI$2:$AI$173,'事件主表'!$C$2:$C$173,$B150,'事件主表'!$Y$2:$Y$173,"严格确认",'事件主表'!$G$2:$G$173,"&gt;="&amp;DATE($A150,1,1),'事件主表'!$G$2:$G$173,"&lt;"&amp;DATE($A150+1,1,1))</x:f>
        <x:v>0</x:v>
      </x:c>
      <x:c r="E150" s="69" t="n">
        <x:f>SUMIFS('事件主表'!$AI$2:$AI$173,'事件主表'!$C$2:$C$173,$B150,'事件主表'!$L$2:$L$173,"&lt;&gt;",'事件主表'!$M$2:$M$173,"&lt;&gt;",'事件主表'!$G$2:$G$173,"&gt;="&amp;DATE($A150,1,1),'事件主表'!$G$2:$G$173,"&lt;"&amp;DATE($A150+1,1,1))</x:f>
        <x:v>0</x:v>
      </x:c>
      <x:c r="F150" s="69" t="n">
        <x:f>MAX(0,20-C150)</x:f>
        <x:v>20</x:v>
      </x:c>
      <x:c r="G150" s="67" t="str">
        <x:f>IF(C150=0,"无记录",IF(D150=0,"仅候选/汇编",IF(C150&lt;20,"已确认但不足原目标","达到原目标")))</x:f>
        <x:v>无记录</x:v>
      </x:c>
    </x:row>
    <x:row r="151">
      <x:c r="A151" s="68" t="n">
        <x:v>2023</x:v>
      </x:c>
      <x:c r="B151" s="68" t="str">
        <x:v>亚洲</x:v>
      </x:c>
      <x:c r="C151" s="69" t="n">
        <x:f>SUMIFS('事件主表'!$AI$2:$AI$173,'事件主表'!$C$2:$C$173,$B151,'事件主表'!$G$2:$G$173,"&gt;="&amp;DATE($A151,1,1),'事件主表'!$G$2:$G$173,"&lt;"&amp;DATE($A151+1,1,1))</x:f>
        <x:v>3</x:v>
      </x:c>
      <x:c r="D151" s="69" t="n">
        <x:f>SUMIFS('事件主表'!$AI$2:$AI$173,'事件主表'!$C$2:$C$173,$B151,'事件主表'!$Y$2:$Y$173,"严格确认",'事件主表'!$G$2:$G$173,"&gt;="&amp;DATE($A151,1,1),'事件主表'!$G$2:$G$173,"&lt;"&amp;DATE($A151+1,1,1))</x:f>
        <x:v>0</x:v>
      </x:c>
      <x:c r="E151" s="69" t="n">
        <x:f>SUMIFS('事件主表'!$AI$2:$AI$173,'事件主表'!$C$2:$C$173,$B151,'事件主表'!$L$2:$L$173,"&lt;&gt;",'事件主表'!$M$2:$M$173,"&lt;&gt;",'事件主表'!$G$2:$G$173,"&gt;="&amp;DATE($A151,1,1),'事件主表'!$G$2:$G$173,"&lt;"&amp;DATE($A151+1,1,1))</x:f>
        <x:v>2</x:v>
      </x:c>
      <x:c r="F151" s="69" t="n">
        <x:f>MAX(0,20-C151)</x:f>
        <x:v>17</x:v>
      </x:c>
      <x:c r="G151" s="67" t="str">
        <x:f>IF(C151=0,"无记录",IF(D151=0,"仅候选/汇编",IF(C151&lt;20,"已确认但不足原目标","达到原目标")))</x:f>
        <x:v>仅候选/汇编</x:v>
      </x:c>
    </x:row>
    <x:row r="152">
      <x:c r="A152" s="68" t="n">
        <x:v>2023</x:v>
      </x:c>
      <x:c r="B152" s="68" t="str">
        <x:v>欧洲</x:v>
      </x:c>
      <x:c r="C152" s="69" t="n">
        <x:f>SUMIFS('事件主表'!$AI$2:$AI$173,'事件主表'!$C$2:$C$173,$B152,'事件主表'!$G$2:$G$173,"&gt;="&amp;DATE($A152,1,1),'事件主表'!$G$2:$G$173,"&lt;"&amp;DATE($A152+1,1,1))</x:f>
        <x:v>0</x:v>
      </x:c>
      <x:c r="D152" s="69" t="n">
        <x:f>SUMIFS('事件主表'!$AI$2:$AI$173,'事件主表'!$C$2:$C$173,$B152,'事件主表'!$Y$2:$Y$173,"严格确认",'事件主表'!$G$2:$G$173,"&gt;="&amp;DATE($A152,1,1),'事件主表'!$G$2:$G$173,"&lt;"&amp;DATE($A152+1,1,1))</x:f>
        <x:v>0</x:v>
      </x:c>
      <x:c r="E152" s="69" t="n">
        <x:f>SUMIFS('事件主表'!$AI$2:$AI$173,'事件主表'!$C$2:$C$173,$B152,'事件主表'!$L$2:$L$173,"&lt;&gt;",'事件主表'!$M$2:$M$173,"&lt;&gt;",'事件主表'!$G$2:$G$173,"&gt;="&amp;DATE($A152,1,1),'事件主表'!$G$2:$G$173,"&lt;"&amp;DATE($A152+1,1,1))</x:f>
        <x:v>0</x:v>
      </x:c>
      <x:c r="F152" s="69" t="n">
        <x:f>MAX(0,20-C152)</x:f>
        <x:v>20</x:v>
      </x:c>
      <x:c r="G152" s="67" t="str">
        <x:f>IF(C152=0,"无记录",IF(D152=0,"仅候选/汇编",IF(C152&lt;20,"已确认但不足原目标","达到原目标")))</x:f>
        <x:v>无记录</x:v>
      </x:c>
    </x:row>
    <x:row r="153">
      <x:c r="A153" s="68" t="n">
        <x:v>2023</x:v>
      </x:c>
      <x:c r="B153" s="68" t="str">
        <x:v>非洲</x:v>
      </x:c>
      <x:c r="C153" s="69" t="n">
        <x:f>SUMIFS('事件主表'!$AI$2:$AI$173,'事件主表'!$C$2:$C$173,$B153,'事件主表'!$G$2:$G$173,"&gt;="&amp;DATE($A153,1,1),'事件主表'!$G$2:$G$173,"&lt;"&amp;DATE($A153+1,1,1))</x:f>
        <x:v>1</x:v>
      </x:c>
      <x:c r="D153" s="69" t="n">
        <x:f>SUMIFS('事件主表'!$AI$2:$AI$173,'事件主表'!$C$2:$C$173,$B153,'事件主表'!$Y$2:$Y$173,"严格确认",'事件主表'!$G$2:$G$173,"&gt;="&amp;DATE($A153,1,1),'事件主表'!$G$2:$G$173,"&lt;"&amp;DATE($A153+1,1,1))</x:f>
        <x:v>0</x:v>
      </x:c>
      <x:c r="E153" s="69" t="n">
        <x:f>SUMIFS('事件主表'!$AI$2:$AI$173,'事件主表'!$C$2:$C$173,$B153,'事件主表'!$L$2:$L$173,"&lt;&gt;",'事件主表'!$M$2:$M$173,"&lt;&gt;",'事件主表'!$G$2:$G$173,"&gt;="&amp;DATE($A153,1,1),'事件主表'!$G$2:$G$173,"&lt;"&amp;DATE($A153+1,1,1))</x:f>
        <x:v>1</x:v>
      </x:c>
      <x:c r="F153" s="69" t="n">
        <x:f>MAX(0,20-C153)</x:f>
        <x:v>19</x:v>
      </x:c>
      <x:c r="G153" s="67" t="str">
        <x:f>IF(C153=0,"无记录",IF(D153=0,"仅候选/汇编",IF(C153&lt;20,"已确认但不足原目标","达到原目标")))</x:f>
        <x:v>仅候选/汇编</x:v>
      </x:c>
    </x:row>
    <x:row r="154">
      <x:c r="A154" s="68" t="n">
        <x:v>2023</x:v>
      </x:c>
      <x:c r="B154" s="68" t="str">
        <x:v>北美洲</x:v>
      </x:c>
      <x:c r="C154" s="69" t="n">
        <x:f>SUMIFS('事件主表'!$AI$2:$AI$173,'事件主表'!$C$2:$C$173,$B154,'事件主表'!$G$2:$G$173,"&gt;="&amp;DATE($A154,1,1),'事件主表'!$G$2:$G$173,"&lt;"&amp;DATE($A154+1,1,1))</x:f>
        <x:v>0</x:v>
      </x:c>
      <x:c r="D154" s="69" t="n">
        <x:f>SUMIFS('事件主表'!$AI$2:$AI$173,'事件主表'!$C$2:$C$173,$B154,'事件主表'!$Y$2:$Y$173,"严格确认",'事件主表'!$G$2:$G$173,"&gt;="&amp;DATE($A154,1,1),'事件主表'!$G$2:$G$173,"&lt;"&amp;DATE($A154+1,1,1))</x:f>
        <x:v>0</x:v>
      </x:c>
      <x:c r="E154" s="69" t="n">
        <x:f>SUMIFS('事件主表'!$AI$2:$AI$173,'事件主表'!$C$2:$C$173,$B154,'事件主表'!$L$2:$L$173,"&lt;&gt;",'事件主表'!$M$2:$M$173,"&lt;&gt;",'事件主表'!$G$2:$G$173,"&gt;="&amp;DATE($A154,1,1),'事件主表'!$G$2:$G$173,"&lt;"&amp;DATE($A154+1,1,1))</x:f>
        <x:v>0</x:v>
      </x:c>
      <x:c r="F154" s="69" t="n">
        <x:f>MAX(0,20-C154)</x:f>
        <x:v>20</x:v>
      </x:c>
      <x:c r="G154" s="67" t="str">
        <x:f>IF(C154=0,"无记录",IF(D154=0,"仅候选/汇编",IF(C154&lt;20,"已确认但不足原目标","达到原目标")))</x:f>
        <x:v>无记录</x:v>
      </x:c>
    </x:row>
    <x:row r="155">
      <x:c r="A155" s="68" t="n">
        <x:v>2023</x:v>
      </x:c>
      <x:c r="B155" s="68" t="str">
        <x:v>南美洲</x:v>
      </x:c>
      <x:c r="C155" s="69" t="n">
        <x:f>SUMIFS('事件主表'!$AI$2:$AI$173,'事件主表'!$C$2:$C$173,$B155,'事件主表'!$G$2:$G$173,"&gt;="&amp;DATE($A155,1,1),'事件主表'!$G$2:$G$173,"&lt;"&amp;DATE($A155+1,1,1))</x:f>
        <x:v>0</x:v>
      </x:c>
      <x:c r="D155" s="69" t="n">
        <x:f>SUMIFS('事件主表'!$AI$2:$AI$173,'事件主表'!$C$2:$C$173,$B155,'事件主表'!$Y$2:$Y$173,"严格确认",'事件主表'!$G$2:$G$173,"&gt;="&amp;DATE($A155,1,1),'事件主表'!$G$2:$G$173,"&lt;"&amp;DATE($A155+1,1,1))</x:f>
        <x:v>0</x:v>
      </x:c>
      <x:c r="E155" s="69" t="n">
        <x:f>SUMIFS('事件主表'!$AI$2:$AI$173,'事件主表'!$C$2:$C$173,$B155,'事件主表'!$L$2:$L$173,"&lt;&gt;",'事件主表'!$M$2:$M$173,"&lt;&gt;",'事件主表'!$G$2:$G$173,"&gt;="&amp;DATE($A155,1,1),'事件主表'!$G$2:$G$173,"&lt;"&amp;DATE($A155+1,1,1))</x:f>
        <x:v>0</x:v>
      </x:c>
      <x:c r="F155" s="69" t="n">
        <x:f>MAX(0,20-C155)</x:f>
        <x:v>20</x:v>
      </x:c>
      <x:c r="G155" s="67" t="str">
        <x:f>IF(C155=0,"无记录",IF(D155=0,"仅候选/汇编",IF(C155&lt;20,"已确认但不足原目标","达到原目标")))</x:f>
        <x:v>无记录</x:v>
      </x:c>
    </x:row>
    <x:row r="156">
      <x:c r="A156" s="68" t="n">
        <x:v>2023</x:v>
      </x:c>
      <x:c r="B156" s="68" t="str">
        <x:v>大洋洲</x:v>
      </x:c>
      <x:c r="C156" s="69" t="n">
        <x:f>SUMIFS('事件主表'!$AI$2:$AI$173,'事件主表'!$C$2:$C$173,$B156,'事件主表'!$G$2:$G$173,"&gt;="&amp;DATE($A156,1,1),'事件主表'!$G$2:$G$173,"&lt;"&amp;DATE($A156+1,1,1))</x:f>
        <x:v>0</x:v>
      </x:c>
      <x:c r="D156" s="69" t="n">
        <x:f>SUMIFS('事件主表'!$AI$2:$AI$173,'事件主表'!$C$2:$C$173,$B156,'事件主表'!$Y$2:$Y$173,"严格确认",'事件主表'!$G$2:$G$173,"&gt;="&amp;DATE($A156,1,1),'事件主表'!$G$2:$G$173,"&lt;"&amp;DATE($A156+1,1,1))</x:f>
        <x:v>0</x:v>
      </x:c>
      <x:c r="E156" s="69" t="n">
        <x:f>SUMIFS('事件主表'!$AI$2:$AI$173,'事件主表'!$C$2:$C$173,$B156,'事件主表'!$L$2:$L$173,"&lt;&gt;",'事件主表'!$M$2:$M$173,"&lt;&gt;",'事件主表'!$G$2:$G$173,"&gt;="&amp;DATE($A156,1,1),'事件主表'!$G$2:$G$173,"&lt;"&amp;DATE($A156+1,1,1))</x:f>
        <x:v>0</x:v>
      </x:c>
      <x:c r="F156" s="69" t="n">
        <x:f>MAX(0,20-C156)</x:f>
        <x:v>20</x:v>
      </x:c>
      <x:c r="G156" s="67" t="str">
        <x:f>IF(C156=0,"无记录",IF(D156=0,"仅候选/汇编",IF(C156&lt;20,"已确认但不足原目标","达到原目标")))</x:f>
        <x:v>无记录</x:v>
      </x:c>
    </x:row>
    <x:row r="157">
      <x:c r="A157" s="68" t="n">
        <x:v>2024</x:v>
      </x:c>
      <x:c r="B157" s="68" t="str">
        <x:v>亚洲</x:v>
      </x:c>
      <x:c r="C157" s="69" t="n">
        <x:f>SUMIFS('事件主表'!$AI$2:$AI$173,'事件主表'!$C$2:$C$173,$B157,'事件主表'!$G$2:$G$173,"&gt;="&amp;DATE($A157,1,1),'事件主表'!$G$2:$G$173,"&lt;"&amp;DATE($A157+1,1,1))</x:f>
        <x:v>3</x:v>
      </x:c>
      <x:c r="D157" s="69" t="n">
        <x:f>SUMIFS('事件主表'!$AI$2:$AI$173,'事件主表'!$C$2:$C$173,$B157,'事件主表'!$Y$2:$Y$173,"严格确认",'事件主表'!$G$2:$G$173,"&gt;="&amp;DATE($A157,1,1),'事件主表'!$G$2:$G$173,"&lt;"&amp;DATE($A157+1,1,1))</x:f>
        <x:v>0</x:v>
      </x:c>
      <x:c r="E157" s="69" t="n">
        <x:f>SUMIFS('事件主表'!$AI$2:$AI$173,'事件主表'!$C$2:$C$173,$B157,'事件主表'!$L$2:$L$173,"&lt;&gt;",'事件主表'!$M$2:$M$173,"&lt;&gt;",'事件主表'!$G$2:$G$173,"&gt;="&amp;DATE($A157,1,1),'事件主表'!$G$2:$G$173,"&lt;"&amp;DATE($A157+1,1,1))</x:f>
        <x:v>2</x:v>
      </x:c>
      <x:c r="F157" s="69" t="n">
        <x:f>MAX(0,20-C157)</x:f>
        <x:v>17</x:v>
      </x:c>
      <x:c r="G157" s="67" t="str">
        <x:f>IF(C157=0,"无记录",IF(D157=0,"仅候选/汇编",IF(C157&lt;20,"已确认但不足原目标","达到原目标")))</x:f>
        <x:v>仅候选/汇编</x:v>
      </x:c>
    </x:row>
    <x:row r="158">
      <x:c r="A158" s="68" t="n">
        <x:v>2024</x:v>
      </x:c>
      <x:c r="B158" s="68" t="str">
        <x:v>欧洲</x:v>
      </x:c>
      <x:c r="C158" s="69" t="n">
        <x:f>SUMIFS('事件主表'!$AI$2:$AI$173,'事件主表'!$C$2:$C$173,$B158,'事件主表'!$G$2:$G$173,"&gt;="&amp;DATE($A158,1,1),'事件主表'!$G$2:$G$173,"&lt;"&amp;DATE($A158+1,1,1))</x:f>
        <x:v>7</x:v>
      </x:c>
      <x:c r="D158" s="69" t="n">
        <x:f>SUMIFS('事件主表'!$AI$2:$AI$173,'事件主表'!$C$2:$C$173,$B158,'事件主表'!$Y$2:$Y$173,"严格确认",'事件主表'!$G$2:$G$173,"&gt;="&amp;DATE($A158,1,1),'事件主表'!$G$2:$G$173,"&lt;"&amp;DATE($A158+1,1,1))</x:f>
        <x:v>1</x:v>
      </x:c>
      <x:c r="E158" s="69" t="n">
        <x:f>SUMIFS('事件主表'!$AI$2:$AI$173,'事件主表'!$C$2:$C$173,$B158,'事件主表'!$L$2:$L$173,"&lt;&gt;",'事件主表'!$M$2:$M$173,"&lt;&gt;",'事件主表'!$G$2:$G$173,"&gt;="&amp;DATE($A158,1,1),'事件主表'!$G$2:$G$173,"&lt;"&amp;DATE($A158+1,1,1))</x:f>
        <x:v>7</x:v>
      </x:c>
      <x:c r="F158" s="69" t="n">
        <x:f>MAX(0,20-C158)</x:f>
        <x:v>13</x:v>
      </x:c>
      <x:c r="G158" s="67" t="str">
        <x:f>IF(C158=0,"无记录",IF(D158=0,"仅候选/汇编",IF(C158&lt;20,"已确认但不足原目标","达到原目标")))</x:f>
        <x:v>已确认但不足原目标</x:v>
      </x:c>
    </x:row>
    <x:row r="159">
      <x:c r="A159" s="68" t="n">
        <x:v>2024</x:v>
      </x:c>
      <x:c r="B159" s="68" t="str">
        <x:v>非洲</x:v>
      </x:c>
      <x:c r="C159" s="69" t="n">
        <x:f>SUMIFS('事件主表'!$AI$2:$AI$173,'事件主表'!$C$2:$C$173,$B159,'事件主表'!$G$2:$G$173,"&gt;="&amp;DATE($A159,1,1),'事件主表'!$G$2:$G$173,"&lt;"&amp;DATE($A159+1,1,1))</x:f>
        <x:v>0</x:v>
      </x:c>
      <x:c r="D159" s="69" t="n">
        <x:f>SUMIFS('事件主表'!$AI$2:$AI$173,'事件主表'!$C$2:$C$173,$B159,'事件主表'!$Y$2:$Y$173,"严格确认",'事件主表'!$G$2:$G$173,"&gt;="&amp;DATE($A159,1,1),'事件主表'!$G$2:$G$173,"&lt;"&amp;DATE($A159+1,1,1))</x:f>
        <x:v>0</x:v>
      </x:c>
      <x:c r="E159" s="69" t="n">
        <x:f>SUMIFS('事件主表'!$AI$2:$AI$173,'事件主表'!$C$2:$C$173,$B159,'事件主表'!$L$2:$L$173,"&lt;&gt;",'事件主表'!$M$2:$M$173,"&lt;&gt;",'事件主表'!$G$2:$G$173,"&gt;="&amp;DATE($A159,1,1),'事件主表'!$G$2:$G$173,"&lt;"&amp;DATE($A159+1,1,1))</x:f>
        <x:v>0</x:v>
      </x:c>
      <x:c r="F159" s="69" t="n">
        <x:f>MAX(0,20-C159)</x:f>
        <x:v>20</x:v>
      </x:c>
      <x:c r="G159" s="67" t="str">
        <x:f>IF(C159=0,"无记录",IF(D159=0,"仅候选/汇编",IF(C159&lt;20,"已确认但不足原目标","达到原目标")))</x:f>
        <x:v>无记录</x:v>
      </x:c>
    </x:row>
    <x:row r="160">
      <x:c r="A160" s="68" t="n">
        <x:v>2024</x:v>
      </x:c>
      <x:c r="B160" s="68" t="str">
        <x:v>北美洲</x:v>
      </x:c>
      <x:c r="C160" s="69" t="n">
        <x:f>SUMIFS('事件主表'!$AI$2:$AI$173,'事件主表'!$C$2:$C$173,$B160,'事件主表'!$G$2:$G$173,"&gt;="&amp;DATE($A160,1,1),'事件主表'!$G$2:$G$173,"&lt;"&amp;DATE($A160+1,1,1))</x:f>
        <x:v>0</x:v>
      </x:c>
      <x:c r="D160" s="69" t="n">
        <x:f>SUMIFS('事件主表'!$AI$2:$AI$173,'事件主表'!$C$2:$C$173,$B160,'事件主表'!$Y$2:$Y$173,"严格确认",'事件主表'!$G$2:$G$173,"&gt;="&amp;DATE($A160,1,1),'事件主表'!$G$2:$G$173,"&lt;"&amp;DATE($A160+1,1,1))</x:f>
        <x:v>0</x:v>
      </x:c>
      <x:c r="E160" s="69" t="n">
        <x:f>SUMIFS('事件主表'!$AI$2:$AI$173,'事件主表'!$C$2:$C$173,$B160,'事件主表'!$L$2:$L$173,"&lt;&gt;",'事件主表'!$M$2:$M$173,"&lt;&gt;",'事件主表'!$G$2:$G$173,"&gt;="&amp;DATE($A160,1,1),'事件主表'!$G$2:$G$173,"&lt;"&amp;DATE($A160+1,1,1))</x:f>
        <x:v>0</x:v>
      </x:c>
      <x:c r="F160" s="69" t="n">
        <x:f>MAX(0,20-C160)</x:f>
        <x:v>20</x:v>
      </x:c>
      <x:c r="G160" s="67" t="str">
        <x:f>IF(C160=0,"无记录",IF(D160=0,"仅候选/汇编",IF(C160&lt;20,"已确认但不足原目标","达到原目标")))</x:f>
        <x:v>无记录</x:v>
      </x:c>
    </x:row>
    <x:row r="161">
      <x:c r="A161" s="68" t="n">
        <x:v>2024</x:v>
      </x:c>
      <x:c r="B161" s="68" t="str">
        <x:v>南美洲</x:v>
      </x:c>
      <x:c r="C161" s="69" t="n">
        <x:f>SUMIFS('事件主表'!$AI$2:$AI$173,'事件主表'!$C$2:$C$173,$B161,'事件主表'!$G$2:$G$173,"&gt;="&amp;DATE($A161,1,1),'事件主表'!$G$2:$G$173,"&lt;"&amp;DATE($A161+1,1,1))</x:f>
        <x:v>1</x:v>
      </x:c>
      <x:c r="D161" s="69" t="n">
        <x:f>SUMIFS('事件主表'!$AI$2:$AI$173,'事件主表'!$C$2:$C$173,$B161,'事件主表'!$Y$2:$Y$173,"严格确认",'事件主表'!$G$2:$G$173,"&gt;="&amp;DATE($A161,1,1),'事件主表'!$G$2:$G$173,"&lt;"&amp;DATE($A161+1,1,1))</x:f>
        <x:v>0</x:v>
      </x:c>
      <x:c r="E161" s="69" t="n">
        <x:f>SUMIFS('事件主表'!$AI$2:$AI$173,'事件主表'!$C$2:$C$173,$B161,'事件主表'!$L$2:$L$173,"&lt;&gt;",'事件主表'!$M$2:$M$173,"&lt;&gt;",'事件主表'!$G$2:$G$173,"&gt;="&amp;DATE($A161,1,1),'事件主表'!$G$2:$G$173,"&lt;"&amp;DATE($A161+1,1,1))</x:f>
        <x:v>1</x:v>
      </x:c>
      <x:c r="F161" s="69" t="n">
        <x:f>MAX(0,20-C161)</x:f>
        <x:v>19</x:v>
      </x:c>
      <x:c r="G161" s="67" t="str">
        <x:f>IF(C161=0,"无记录",IF(D161=0,"仅候选/汇编",IF(C161&lt;20,"已确认但不足原目标","达到原目标")))</x:f>
        <x:v>仅候选/汇编</x:v>
      </x:c>
    </x:row>
    <x:row r="162">
      <x:c r="A162" s="68" t="n">
        <x:v>2024</x:v>
      </x:c>
      <x:c r="B162" s="68" t="str">
        <x:v>大洋洲</x:v>
      </x:c>
      <x:c r="C162" s="69" t="n">
        <x:f>SUMIFS('事件主表'!$AI$2:$AI$173,'事件主表'!$C$2:$C$173,$B162,'事件主表'!$G$2:$G$173,"&gt;="&amp;DATE($A162,1,1),'事件主表'!$G$2:$G$173,"&lt;"&amp;DATE($A162+1,1,1))</x:f>
        <x:v>0</x:v>
      </x:c>
      <x:c r="D162" s="69" t="n">
        <x:f>SUMIFS('事件主表'!$AI$2:$AI$173,'事件主表'!$C$2:$C$173,$B162,'事件主表'!$Y$2:$Y$173,"严格确认",'事件主表'!$G$2:$G$173,"&gt;="&amp;DATE($A162,1,1),'事件主表'!$G$2:$G$173,"&lt;"&amp;DATE($A162+1,1,1))</x:f>
        <x:v>0</x:v>
      </x:c>
      <x:c r="E162" s="69" t="n">
        <x:f>SUMIFS('事件主表'!$AI$2:$AI$173,'事件主表'!$C$2:$C$173,$B162,'事件主表'!$L$2:$L$173,"&lt;&gt;",'事件主表'!$M$2:$M$173,"&lt;&gt;",'事件主表'!$G$2:$G$173,"&gt;="&amp;DATE($A162,1,1),'事件主表'!$G$2:$G$173,"&lt;"&amp;DATE($A162+1,1,1))</x:f>
        <x:v>0</x:v>
      </x:c>
      <x:c r="F162" s="69" t="n">
        <x:f>MAX(0,20-C162)</x:f>
        <x:v>20</x:v>
      </x:c>
      <x:c r="G162" s="67" t="str">
        <x:f>IF(C162=0,"无记录",IF(D162=0,"仅候选/汇编",IF(C162&lt;20,"已确认但不足原目标","达到原目标")))</x:f>
        <x:v>无记录</x:v>
      </x:c>
    </x:row>
    <x:row r="163">
      <x:c r="A163" s="68" t="n">
        <x:v>2025</x:v>
      </x:c>
      <x:c r="B163" s="68" t="str">
        <x:v>亚洲</x:v>
      </x:c>
      <x:c r="C163" s="69" t="n">
        <x:f>SUMIFS('事件主表'!$AI$2:$AI$173,'事件主表'!$C$2:$C$173,$B163,'事件主表'!$G$2:$G$173,"&gt;="&amp;DATE($A163,1,1),'事件主表'!$G$2:$G$173,"&lt;"&amp;DATE($A163+1,1,1))</x:f>
        <x:v>4</x:v>
      </x:c>
      <x:c r="D163" s="69" t="n">
        <x:f>SUMIFS('事件主表'!$AI$2:$AI$173,'事件主表'!$C$2:$C$173,$B163,'事件主表'!$Y$2:$Y$173,"严格确认",'事件主表'!$G$2:$G$173,"&gt;="&amp;DATE($A163,1,1),'事件主表'!$G$2:$G$173,"&lt;"&amp;DATE($A163+1,1,1))</x:f>
        <x:v>0</x:v>
      </x:c>
      <x:c r="E163" s="69" t="n">
        <x:f>SUMIFS('事件主表'!$AI$2:$AI$173,'事件主表'!$C$2:$C$173,$B163,'事件主表'!$L$2:$L$173,"&lt;&gt;",'事件主表'!$M$2:$M$173,"&lt;&gt;",'事件主表'!$G$2:$G$173,"&gt;="&amp;DATE($A163,1,1),'事件主表'!$G$2:$G$173,"&lt;"&amp;DATE($A163+1,1,1))</x:f>
        <x:v>3</x:v>
      </x:c>
      <x:c r="F163" s="69" t="n">
        <x:f>MAX(0,20-C163)</x:f>
        <x:v>16</x:v>
      </x:c>
      <x:c r="G163" s="67" t="str">
        <x:f>IF(C163=0,"无记录",IF(D163=0,"仅候选/汇编",IF(C163&lt;20,"已确认但不足原目标","达到原目标")))</x:f>
        <x:v>仅候选/汇编</x:v>
      </x:c>
    </x:row>
    <x:row r="164">
      <x:c r="A164" s="68" t="n">
        <x:v>2025</x:v>
      </x:c>
      <x:c r="B164" s="68" t="str">
        <x:v>欧洲</x:v>
      </x:c>
      <x:c r="C164" s="69" t="n">
        <x:f>SUMIFS('事件主表'!$AI$2:$AI$173,'事件主表'!$C$2:$C$173,$B164,'事件主表'!$G$2:$G$173,"&gt;="&amp;DATE($A164,1,1),'事件主表'!$G$2:$G$173,"&lt;"&amp;DATE($A164+1,1,1))</x:f>
        <x:v>5</x:v>
      </x:c>
      <x:c r="D164" s="69" t="n">
        <x:f>SUMIFS('事件主表'!$AI$2:$AI$173,'事件主表'!$C$2:$C$173,$B164,'事件主表'!$Y$2:$Y$173,"严格确认",'事件主表'!$G$2:$G$173,"&gt;="&amp;DATE($A164,1,1),'事件主表'!$G$2:$G$173,"&lt;"&amp;DATE($A164+1,1,1))</x:f>
        <x:v>1</x:v>
      </x:c>
      <x:c r="E164" s="69" t="n">
        <x:f>SUMIFS('事件主表'!$AI$2:$AI$173,'事件主表'!$C$2:$C$173,$B164,'事件主表'!$L$2:$L$173,"&lt;&gt;",'事件主表'!$M$2:$M$173,"&lt;&gt;",'事件主表'!$G$2:$G$173,"&gt;="&amp;DATE($A164,1,1),'事件主表'!$G$2:$G$173,"&lt;"&amp;DATE($A164+1,1,1))</x:f>
        <x:v>5</x:v>
      </x:c>
      <x:c r="F164" s="69" t="n">
        <x:f>MAX(0,20-C164)</x:f>
        <x:v>15</x:v>
      </x:c>
      <x:c r="G164" s="67" t="str">
        <x:f>IF(C164=0,"无记录",IF(D164=0,"仅候选/汇编",IF(C164&lt;20,"已确认但不足原目标","达到原目标")))</x:f>
        <x:v>已确认但不足原目标</x:v>
      </x:c>
    </x:row>
    <x:row r="165">
      <x:c r="A165" s="68" t="n">
        <x:v>2025</x:v>
      </x:c>
      <x:c r="B165" s="68" t="str">
        <x:v>非洲</x:v>
      </x:c>
      <x:c r="C165" s="69" t="n">
        <x:f>SUMIFS('事件主表'!$AI$2:$AI$173,'事件主表'!$C$2:$C$173,$B165,'事件主表'!$G$2:$G$173,"&gt;="&amp;DATE($A165,1,1),'事件主表'!$G$2:$G$173,"&lt;"&amp;DATE($A165+1,1,1))</x:f>
        <x:v>3</x:v>
      </x:c>
      <x:c r="D165" s="69" t="n">
        <x:f>SUMIFS('事件主表'!$AI$2:$AI$173,'事件主表'!$C$2:$C$173,$B165,'事件主表'!$Y$2:$Y$173,"严格确认",'事件主表'!$G$2:$G$173,"&gt;="&amp;DATE($A165,1,1),'事件主表'!$G$2:$G$173,"&lt;"&amp;DATE($A165+1,1,1))</x:f>
        <x:v>1</x:v>
      </x:c>
      <x:c r="E165" s="69" t="n">
        <x:f>SUMIFS('事件主表'!$AI$2:$AI$173,'事件主表'!$C$2:$C$173,$B165,'事件主表'!$L$2:$L$173,"&lt;&gt;",'事件主表'!$M$2:$M$173,"&lt;&gt;",'事件主表'!$G$2:$G$173,"&gt;="&amp;DATE($A165,1,1),'事件主表'!$G$2:$G$173,"&lt;"&amp;DATE($A165+1,1,1))</x:f>
        <x:v>3</x:v>
      </x:c>
      <x:c r="F165" s="69" t="n">
        <x:f>MAX(0,20-C165)</x:f>
        <x:v>17</x:v>
      </x:c>
      <x:c r="G165" s="67" t="str">
        <x:f>IF(C165=0,"无记录",IF(D165=0,"仅候选/汇编",IF(C165&lt;20,"已确认但不足原目标","达到原目标")))</x:f>
        <x:v>已确认但不足原目标</x:v>
      </x:c>
    </x:row>
    <x:row r="166">
      <x:c r="A166" s="68" t="n">
        <x:v>2025</x:v>
      </x:c>
      <x:c r="B166" s="68" t="str">
        <x:v>北美洲</x:v>
      </x:c>
      <x:c r="C166" s="69" t="n">
        <x:f>SUMIFS('事件主表'!$AI$2:$AI$173,'事件主表'!$C$2:$C$173,$B166,'事件主表'!$G$2:$G$173,"&gt;="&amp;DATE($A166,1,1),'事件主表'!$G$2:$G$173,"&lt;"&amp;DATE($A166+1,1,1))</x:f>
        <x:v>1</x:v>
      </x:c>
      <x:c r="D166" s="69" t="n">
        <x:f>SUMIFS('事件主表'!$AI$2:$AI$173,'事件主表'!$C$2:$C$173,$B166,'事件主表'!$Y$2:$Y$173,"严格确认",'事件主表'!$G$2:$G$173,"&gt;="&amp;DATE($A166,1,1),'事件主表'!$G$2:$G$173,"&lt;"&amp;DATE($A166+1,1,1))</x:f>
        <x:v>1</x:v>
      </x:c>
      <x:c r="E166" s="69" t="n">
        <x:f>SUMIFS('事件主表'!$AI$2:$AI$173,'事件主表'!$C$2:$C$173,$B166,'事件主表'!$L$2:$L$173,"&lt;&gt;",'事件主表'!$M$2:$M$173,"&lt;&gt;",'事件主表'!$G$2:$G$173,"&gt;="&amp;DATE($A166,1,1),'事件主表'!$G$2:$G$173,"&lt;"&amp;DATE($A166+1,1,1))</x:f>
        <x:v>1</x:v>
      </x:c>
      <x:c r="F166" s="69" t="n">
        <x:f>MAX(0,20-C166)</x:f>
        <x:v>19</x:v>
      </x:c>
      <x:c r="G166" s="67" t="str">
        <x:f>IF(C166=0,"无记录",IF(D166=0,"仅候选/汇编",IF(C166&lt;20,"已确认但不足原目标","达到原目标")))</x:f>
        <x:v>已确认但不足原目标</x:v>
      </x:c>
    </x:row>
    <x:row r="167">
      <x:c r="A167" s="68" t="n">
        <x:v>2025</x:v>
      </x:c>
      <x:c r="B167" s="68" t="str">
        <x:v>南美洲</x:v>
      </x:c>
      <x:c r="C167" s="69" t="n">
        <x:f>SUMIFS('事件主表'!$AI$2:$AI$173,'事件主表'!$C$2:$C$173,$B167,'事件主表'!$G$2:$G$173,"&gt;="&amp;DATE($A167,1,1),'事件主表'!$G$2:$G$173,"&lt;"&amp;DATE($A167+1,1,1))</x:f>
        <x:v>0</x:v>
      </x:c>
      <x:c r="D167" s="69" t="n">
        <x:f>SUMIFS('事件主表'!$AI$2:$AI$173,'事件主表'!$C$2:$C$173,$B167,'事件主表'!$Y$2:$Y$173,"严格确认",'事件主表'!$G$2:$G$173,"&gt;="&amp;DATE($A167,1,1),'事件主表'!$G$2:$G$173,"&lt;"&amp;DATE($A167+1,1,1))</x:f>
        <x:v>0</x:v>
      </x:c>
      <x:c r="E167" s="69" t="n">
        <x:f>SUMIFS('事件主表'!$AI$2:$AI$173,'事件主表'!$C$2:$C$173,$B167,'事件主表'!$L$2:$L$173,"&lt;&gt;",'事件主表'!$M$2:$M$173,"&lt;&gt;",'事件主表'!$G$2:$G$173,"&gt;="&amp;DATE($A167,1,1),'事件主表'!$G$2:$G$173,"&lt;"&amp;DATE($A167+1,1,1))</x:f>
        <x:v>0</x:v>
      </x:c>
      <x:c r="F167" s="69" t="n">
        <x:f>MAX(0,20-C167)</x:f>
        <x:v>20</x:v>
      </x:c>
      <x:c r="G167" s="67" t="str">
        <x:f>IF(C167=0,"无记录",IF(D167=0,"仅候选/汇编",IF(C167&lt;20,"已确认但不足原目标","达到原目标")))</x:f>
        <x:v>无记录</x:v>
      </x:c>
    </x:row>
    <x:row r="168">
      <x:c r="A168" s="68" t="n">
        <x:v>2025</x:v>
      </x:c>
      <x:c r="B168" s="68" t="str">
        <x:v>大洋洲</x:v>
      </x:c>
      <x:c r="C168" s="69" t="n">
        <x:f>SUMIFS('事件主表'!$AI$2:$AI$173,'事件主表'!$C$2:$C$173,$B168,'事件主表'!$G$2:$G$173,"&gt;="&amp;DATE($A168,1,1),'事件主表'!$G$2:$G$173,"&lt;"&amp;DATE($A168+1,1,1))</x:f>
        <x:v>0</x:v>
      </x:c>
      <x:c r="D168" s="69" t="n">
        <x:f>SUMIFS('事件主表'!$AI$2:$AI$173,'事件主表'!$C$2:$C$173,$B168,'事件主表'!$Y$2:$Y$173,"严格确认",'事件主表'!$G$2:$G$173,"&gt;="&amp;DATE($A168,1,1),'事件主表'!$G$2:$G$173,"&lt;"&amp;DATE($A168+1,1,1))</x:f>
        <x:v>0</x:v>
      </x:c>
      <x:c r="E168" s="69" t="n">
        <x:f>SUMIFS('事件主表'!$AI$2:$AI$173,'事件主表'!$C$2:$C$173,$B168,'事件主表'!$L$2:$L$173,"&lt;&gt;",'事件主表'!$M$2:$M$173,"&lt;&gt;",'事件主表'!$G$2:$G$173,"&gt;="&amp;DATE($A168,1,1),'事件主表'!$G$2:$G$173,"&lt;"&amp;DATE($A168+1,1,1))</x:f>
        <x:v>0</x:v>
      </x:c>
      <x:c r="F168" s="69" t="n">
        <x:f>MAX(0,20-C168)</x:f>
        <x:v>20</x:v>
      </x:c>
      <x:c r="G168" s="67" t="str">
        <x:f>IF(C168=0,"无记录",IF(D168=0,"仅候选/汇编",IF(C168&lt;20,"已确认但不足原目标","达到原目标")))</x:f>
        <x:v>无记录</x:v>
      </x:c>
    </x:row>
    <x:row r="169">
      <x:c r="A169" s="68" t="n">
        <x:v>2026</x:v>
      </x:c>
      <x:c r="B169" s="68" t="str">
        <x:v>亚洲</x:v>
      </x:c>
      <x:c r="C169" s="69" t="n">
        <x:f>SUMIFS('事件主表'!$AI$2:$AI$173,'事件主表'!$C$2:$C$173,$B169,'事件主表'!$G$2:$G$173,"&gt;="&amp;DATE($A169,1,1),'事件主表'!$G$2:$G$173,"&lt;"&amp;DATE($A169+1,1,1))</x:f>
        <x:v>4</x:v>
      </x:c>
      <x:c r="D169" s="69" t="n">
        <x:f>SUMIFS('事件主表'!$AI$2:$AI$173,'事件主表'!$C$2:$C$173,$B169,'事件主表'!$Y$2:$Y$173,"严格确认",'事件主表'!$G$2:$G$173,"&gt;="&amp;DATE($A169,1,1),'事件主表'!$G$2:$G$173,"&lt;"&amp;DATE($A169+1,1,1))</x:f>
        <x:v>0</x:v>
      </x:c>
      <x:c r="E169" s="69" t="n">
        <x:f>SUMIFS('事件主表'!$AI$2:$AI$173,'事件主表'!$C$2:$C$173,$B169,'事件主表'!$L$2:$L$173,"&lt;&gt;",'事件主表'!$M$2:$M$173,"&lt;&gt;",'事件主表'!$G$2:$G$173,"&gt;="&amp;DATE($A169,1,1),'事件主表'!$G$2:$G$173,"&lt;"&amp;DATE($A169+1,1,1))</x:f>
        <x:v>4</x:v>
      </x:c>
      <x:c r="F169" s="69" t="n">
        <x:f>MAX(0,20-C169)</x:f>
        <x:v>16</x:v>
      </x:c>
      <x:c r="G169" s="67" t="str">
        <x:f>IF(C169=0,"无记录",IF(D169=0,"仅候选/汇编",IF(C169&lt;20,"已确认但不足原目标","达到原目标")))</x:f>
        <x:v>仅候选/汇编</x:v>
      </x:c>
    </x:row>
    <x:row r="170">
      <x:c r="A170" s="68" t="n">
        <x:v>2026</x:v>
      </x:c>
      <x:c r="B170" s="68" t="str">
        <x:v>欧洲</x:v>
      </x:c>
      <x:c r="C170" s="69" t="n">
        <x:f>SUMIFS('事件主表'!$AI$2:$AI$173,'事件主表'!$C$2:$C$173,$B170,'事件主表'!$G$2:$G$173,"&gt;="&amp;DATE($A170,1,1),'事件主表'!$G$2:$G$173,"&lt;"&amp;DATE($A170+1,1,1))</x:f>
        <x:v>0</x:v>
      </x:c>
      <x:c r="D170" s="69" t="n">
        <x:f>SUMIFS('事件主表'!$AI$2:$AI$173,'事件主表'!$C$2:$C$173,$B170,'事件主表'!$Y$2:$Y$173,"严格确认",'事件主表'!$G$2:$G$173,"&gt;="&amp;DATE($A170,1,1),'事件主表'!$G$2:$G$173,"&lt;"&amp;DATE($A170+1,1,1))</x:f>
        <x:v>0</x:v>
      </x:c>
      <x:c r="E170" s="69" t="n">
        <x:f>SUMIFS('事件主表'!$AI$2:$AI$173,'事件主表'!$C$2:$C$173,$B170,'事件主表'!$L$2:$L$173,"&lt;&gt;",'事件主表'!$M$2:$M$173,"&lt;&gt;",'事件主表'!$G$2:$G$173,"&gt;="&amp;DATE($A170,1,1),'事件主表'!$G$2:$G$173,"&lt;"&amp;DATE($A170+1,1,1))</x:f>
        <x:v>0</x:v>
      </x:c>
      <x:c r="F170" s="69" t="n">
        <x:f>MAX(0,20-C170)</x:f>
        <x:v>20</x:v>
      </x:c>
      <x:c r="G170" s="67" t="str">
        <x:f>IF(C170=0,"无记录",IF(D170=0,"仅候选/汇编",IF(C170&lt;20,"已确认但不足原目标","达到原目标")))</x:f>
        <x:v>无记录</x:v>
      </x:c>
    </x:row>
    <x:row r="171">
      <x:c r="A171" s="68" t="n">
        <x:v>2026</x:v>
      </x:c>
      <x:c r="B171" s="68" t="str">
        <x:v>非洲</x:v>
      </x:c>
      <x:c r="C171" s="69" t="n">
        <x:f>SUMIFS('事件主表'!$AI$2:$AI$173,'事件主表'!$C$2:$C$173,$B171,'事件主表'!$G$2:$G$173,"&gt;="&amp;DATE($A171,1,1),'事件主表'!$G$2:$G$173,"&lt;"&amp;DATE($A171+1,1,1))</x:f>
        <x:v>0</x:v>
      </x:c>
      <x:c r="D171" s="69" t="n">
        <x:f>SUMIFS('事件主表'!$AI$2:$AI$173,'事件主表'!$C$2:$C$173,$B171,'事件主表'!$Y$2:$Y$173,"严格确认",'事件主表'!$G$2:$G$173,"&gt;="&amp;DATE($A171,1,1),'事件主表'!$G$2:$G$173,"&lt;"&amp;DATE($A171+1,1,1))</x:f>
        <x:v>0</x:v>
      </x:c>
      <x:c r="E171" s="69" t="n">
        <x:f>SUMIFS('事件主表'!$AI$2:$AI$173,'事件主表'!$C$2:$C$173,$B171,'事件主表'!$L$2:$L$173,"&lt;&gt;",'事件主表'!$M$2:$M$173,"&lt;&gt;",'事件主表'!$G$2:$G$173,"&gt;="&amp;DATE($A171,1,1),'事件主表'!$G$2:$G$173,"&lt;"&amp;DATE($A171+1,1,1))</x:f>
        <x:v>0</x:v>
      </x:c>
      <x:c r="F171" s="69" t="n">
        <x:f>MAX(0,20-C171)</x:f>
        <x:v>20</x:v>
      </x:c>
      <x:c r="G171" s="67" t="str">
        <x:f>IF(C171=0,"无记录",IF(D171=0,"仅候选/汇编",IF(C171&lt;20,"已确认但不足原目标","达到原目标")))</x:f>
        <x:v>无记录</x:v>
      </x:c>
    </x:row>
    <x:row r="172">
      <x:c r="A172" s="68" t="n">
        <x:v>2026</x:v>
      </x:c>
      <x:c r="B172" s="68" t="str">
        <x:v>北美洲</x:v>
      </x:c>
      <x:c r="C172" s="69" t="n">
        <x:f>SUMIFS('事件主表'!$AI$2:$AI$173,'事件主表'!$C$2:$C$173,$B172,'事件主表'!$G$2:$G$173,"&gt;="&amp;DATE($A172,1,1),'事件主表'!$G$2:$G$173,"&lt;"&amp;DATE($A172+1,1,1))</x:f>
        <x:v>1</x:v>
      </x:c>
      <x:c r="D172" s="69" t="n">
        <x:f>SUMIFS('事件主表'!$AI$2:$AI$173,'事件主表'!$C$2:$C$173,$B172,'事件主表'!$Y$2:$Y$173,"严格确认",'事件主表'!$G$2:$G$173,"&gt;="&amp;DATE($A172,1,1),'事件主表'!$G$2:$G$173,"&lt;"&amp;DATE($A172+1,1,1))</x:f>
        <x:v>1</x:v>
      </x:c>
      <x:c r="E172" s="69" t="n">
        <x:f>SUMIFS('事件主表'!$AI$2:$AI$173,'事件主表'!$C$2:$C$173,$B172,'事件主表'!$L$2:$L$173,"&lt;&gt;",'事件主表'!$M$2:$M$173,"&lt;&gt;",'事件主表'!$G$2:$G$173,"&gt;="&amp;DATE($A172,1,1),'事件主表'!$G$2:$G$173,"&lt;"&amp;DATE($A172+1,1,1))</x:f>
        <x:v>1</x:v>
      </x:c>
      <x:c r="F172" s="69" t="n">
        <x:f>MAX(0,20-C172)</x:f>
        <x:v>19</x:v>
      </x:c>
      <x:c r="G172" s="67" t="str">
        <x:f>IF(C172=0,"无记录",IF(D172=0,"仅候选/汇编",IF(C172&lt;20,"已确认但不足原目标","达到原目标")))</x:f>
        <x:v>已确认但不足原目标</x:v>
      </x:c>
    </x:row>
    <x:row r="173">
      <x:c r="A173" s="68" t="n">
        <x:v>2026</x:v>
      </x:c>
      <x:c r="B173" s="68" t="str">
        <x:v>南美洲</x:v>
      </x:c>
      <x:c r="C173" s="69" t="n">
        <x:f>SUMIFS('事件主表'!$AI$2:$AI$173,'事件主表'!$C$2:$C$173,$B173,'事件主表'!$G$2:$G$173,"&gt;="&amp;DATE($A173,1,1),'事件主表'!$G$2:$G$173,"&lt;"&amp;DATE($A173+1,1,1))</x:f>
        <x:v>0</x:v>
      </x:c>
      <x:c r="D173" s="69" t="n">
        <x:f>SUMIFS('事件主表'!$AI$2:$AI$173,'事件主表'!$C$2:$C$173,$B173,'事件主表'!$Y$2:$Y$173,"严格确认",'事件主表'!$G$2:$G$173,"&gt;="&amp;DATE($A173,1,1),'事件主表'!$G$2:$G$173,"&lt;"&amp;DATE($A173+1,1,1))</x:f>
        <x:v>0</x:v>
      </x:c>
      <x:c r="E173" s="69" t="n">
        <x:f>SUMIFS('事件主表'!$AI$2:$AI$173,'事件主表'!$C$2:$C$173,$B173,'事件主表'!$L$2:$L$173,"&lt;&gt;",'事件主表'!$M$2:$M$173,"&lt;&gt;",'事件主表'!$G$2:$G$173,"&gt;="&amp;DATE($A173,1,1),'事件主表'!$G$2:$G$173,"&lt;"&amp;DATE($A173+1,1,1))</x:f>
        <x:v>0</x:v>
      </x:c>
      <x:c r="F173" s="69" t="n">
        <x:f>MAX(0,20-C173)</x:f>
        <x:v>20</x:v>
      </x:c>
      <x:c r="G173" s="67" t="str">
        <x:f>IF(C173=0,"无记录",IF(D173=0,"仅候选/汇编",IF(C173&lt;20,"已确认但不足原目标","达到原目标")))</x:f>
        <x:v>无记录</x:v>
      </x:c>
    </x:row>
    <x:row r="174">
      <x:c r="A174" s="68" t="n">
        <x:v>2026</x:v>
      </x:c>
      <x:c r="B174" s="68" t="str">
        <x:v>大洋洲</x:v>
      </x:c>
      <x:c r="C174" s="69" t="n">
        <x:f>SUMIFS('事件主表'!$AI$2:$AI$173,'事件主表'!$C$2:$C$173,$B174,'事件主表'!$G$2:$G$173,"&gt;="&amp;DATE($A174,1,1),'事件主表'!$G$2:$G$173,"&lt;"&amp;DATE($A174+1,1,1))</x:f>
        <x:v>0</x:v>
      </x:c>
      <x:c r="D174" s="69" t="n">
        <x:f>SUMIFS('事件主表'!$AI$2:$AI$173,'事件主表'!$C$2:$C$173,$B174,'事件主表'!$Y$2:$Y$173,"严格确认",'事件主表'!$G$2:$G$173,"&gt;="&amp;DATE($A174,1,1),'事件主表'!$G$2:$G$173,"&lt;"&amp;DATE($A174+1,1,1))</x:f>
        <x:v>0</x:v>
      </x:c>
      <x:c r="E174" s="69" t="n">
        <x:f>SUMIFS('事件主表'!$AI$2:$AI$173,'事件主表'!$C$2:$C$173,$B174,'事件主表'!$L$2:$L$173,"&lt;&gt;",'事件主表'!$M$2:$M$173,"&lt;&gt;",'事件主表'!$G$2:$G$173,"&gt;="&amp;DATE($A174,1,1),'事件主表'!$G$2:$G$173,"&lt;"&amp;DATE($A174+1,1,1))</x:f>
        <x:v>0</x:v>
      </x:c>
      <x:c r="F174" s="69" t="n">
        <x:f>MAX(0,20-C174)</x:f>
        <x:v>20</x:v>
      </x:c>
      <x:c r="G174" s="67" t="str">
        <x:f>IF(C174=0,"无记录",IF(D174=0,"仅候选/汇编",IF(C174&lt;20,"已确认但不足原目标","达到原目标")))</x:f>
        <x:v>无记录</x:v>
      </x:c>
    </x:row>
  </x:sheetData>
  <x:mergeCells>
    <x:mergeCell ref="A1:G1"/>
    <x:mergeCell ref="A2:G2"/>
  </x:mergeCells>
  <x:conditionalFormatting sqref="G13:G174">
    <x:cfRule type="containsText" dxfId="16" priority="1" operator="containsText" text="无记录"/>
    <x:cfRule type="containsText" dxfId="17" priority="2" operator="containsText" text="仅候选"/>
  </x:conditionalFormatting>
  <x:pageMargins left="0.7" right="0.7" top="0.75" bottom="0.75" header="0.3" footer="0.3"/>
  <x:tableParts count="1">
    <x:tablePart xmlns:r="http://schemas.openxmlformats.org/officeDocument/2006/relationships" r:id="Ra0e5304fe6ad4a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65" hidden="0" customWidth="1"/>
    <x:col min="3" max="3" width="13" hidden="0" customWidth="1"/>
    <x:col min="4" max="4" width="22" hidden="0" customWidth="1"/>
    <x:col min="5" max="5" width="14" hidden="0" customWidth="1"/>
    <x:col min="6" max="6" width="16" hidden="0" customWidth="1"/>
    <x:col min="7" max="7" width="42" hidden="0" customWidth="1"/>
    <x:col min="8" max="8" width="14" hidden="0" customWidth="1"/>
  </x:cols>
  <x:sheetData>
    <x:row r="1" ht="30" customHeight="1">
      <x:c r="A1" s="72" t="str">
        <x:v>序号</x:v>
      </x:c>
      <x:c r="B1" s="72" t="str">
        <x:v>URL</x:v>
      </x:c>
      <x:c r="C1" s="72" t="str">
        <x:v>角色</x:v>
      </x:c>
      <x:c r="D1" s="72" t="str">
        <x:v>访问状态</x:v>
      </x:c>
      <x:c r="E1" s="72" t="str">
        <x:v>关联记录数</x:v>
      </x:c>
      <x:c r="F1" s="72" t="str">
        <x:v>来源等级</x:v>
      </x:c>
      <x:c r="G1" s="72" t="str">
        <x:v>来源数据集</x:v>
      </x:c>
      <x:c r="H1" s="72" t="str">
        <x:v>检索日期</x:v>
      </x:c>
    </x:row>
    <x:row r="2">
      <x:c r="A2" s="79" t="n">
        <x:v>1</x:v>
      </x:c>
      <x:c r="B2" s="79" t="str">
        <x:v>http://bangkok.coconuts.co/news/fico-blaze-prompts-bangkok-city-hall-sprinkler-initiative</x:v>
      </x:c>
      <x:c r="C2" s="79" t="str">
        <x:v>主来源</x:v>
      </x:c>
      <x:c r="D2" s="79" t="str">
        <x:v>HTTP错误(404)</x:v>
      </x:c>
      <x:c r="E2" s="79" t="n">
        <x:v>1</x:v>
      </x:c>
      <x:c r="F2" s="79" t="str">
        <x:v>C</x:v>
      </x:c>
      <x:c r="G2" s="79" t="str">
        <x:v>List of fires in high-rise buildings | Wikipedia dynamic high-rise list (candidate discovery)</x:v>
      </x:c>
      <x:c r="H2" s="82" t="n">
        <x:v>46260</x:v>
      </x:c>
    </x:row>
    <x:row r="3">
      <x:c r="A3" s="80" t="n">
        <x:v>2</x:v>
      </x:c>
      <x:c r="B3" s="80" t="str">
        <x:v>http://siberiantimes.com/other/others/news/shocking-blaze-rips-through-25-floor-apartment-block-in-krasnoyarsk/</x:v>
      </x:c>
      <x:c r="C3" s="80" t="str">
        <x:v>主来源</x:v>
      </x:c>
      <x:c r="D3" s="80" t="str">
        <x:v>访问失败(RemoteDisconnected)</x:v>
      </x:c>
      <x:c r="E3" s="80" t="n">
        <x:v>1</x:v>
      </x:c>
      <x:c r="F3" s="80" t="str">
        <x:v>C</x:v>
      </x:c>
      <x:c r="G3" s="80" t="str">
        <x:v>List of high-rise façade fires | Wikipedia high-rise façade list; derived from Bonner et al./news (candidate discovery)</x:v>
      </x:c>
      <x:c r="H3" s="83" t="n">
        <x:v>46260</x:v>
      </x:c>
    </x:row>
    <x:row r="4">
      <x:c r="A4" s="80" t="n">
        <x:v>3</x:v>
      </x:c>
      <x:c r="B4" s="80" t="str">
        <x:v>http://us.india.com/loudspeaker/mumbai-fire-fireman-killed-in-mumbai-high-rise-blaze-98392/</x:v>
      </x:c>
      <x:c r="C4" s="80" t="str">
        <x:v>主来源</x:v>
      </x:c>
      <x:c r="D4" s="80" t="str">
        <x:v>访问失败(RemoteDisconnected)</x:v>
      </x:c>
      <x:c r="E4" s="80" t="n">
        <x:v>1</x:v>
      </x:c>
      <x:c r="F4" s="80" t="str">
        <x:v>C</x:v>
      </x:c>
      <x:c r="G4" s="80" t="str">
        <x:v>List of fires in high-rise buildings | Wikipedia dynamic high-rise list (candidate discovery)</x:v>
      </x:c>
      <x:c r="H4" s="83" t="n">
        <x:v>46260</x:v>
      </x:c>
    </x:row>
    <x:row r="5">
      <x:c r="A5" s="80" t="n">
        <x:v>4</x:v>
      </x:c>
      <x:c r="B5" s="80" t="str">
        <x:v>http://www.ecns.cn/news/society/2018-02-02/detail-ifysszkh2352510.shtml</x:v>
      </x:c>
      <x:c r="C5" s="80" t="str">
        <x:v>主来源</x:v>
      </x:c>
      <x:c r="D5" s="80" t="str">
        <x:v>可访问(200)</x:v>
      </x:c>
      <x:c r="E5" s="80" t="n">
        <x:v>1</x:v>
      </x:c>
      <x:c r="F5" s="80" t="str">
        <x:v>C</x:v>
      </x:c>
      <x:c r="G5" s="80" t="str">
        <x:v>List of high-rise façade fires | Wikipedia high-rise façade list; derived from Bonner et al./news (candidate discovery)</x:v>
      </x:c>
      <x:c r="H5" s="83" t="n">
        <x:v>46260</x:v>
      </x:c>
    </x:row>
    <x:row r="6">
      <x:c r="A6" s="80" t="n">
        <x:v>5</x:v>
      </x:c>
      <x:c r="B6" s="80" t="str">
        <x:v>http://www.emirates247.com/news/emirates/jlt-s-tamweel-tower-fire-residents-recount-waking-up-to-nightmare-2012-11-19-1.483506</x:v>
      </x:c>
      <x:c r="C6" s="80" t="str">
        <x:v>补充来源</x:v>
      </x:c>
      <x:c r="D6" s="80" t="str">
        <x:v>受限(403)</x:v>
      </x:c>
      <x:c r="E6" s="80" t="n">
        <x:v>1</x:v>
      </x:c>
      <x:c r="F6" s="80" t="str">
        <x:v>C</x:v>
      </x:c>
      <x:c r="G6" s="80" t="str">
        <x:v>List of fires in high-rise buildings | List of high-rise façade fires | Wikipedia high-rise façade list; derived from Bonner et al./news (candidate discovery)</x:v>
      </x:c>
      <x:c r="H6" s="83" t="n">
        <x:v>46260</x:v>
      </x:c>
    </x:row>
    <x:row r="7">
      <x:c r="A7" s="80" t="n">
        <x:v>6</x:v>
      </x:c>
      <x:c r="B7" s="80" t="str">
        <x:v>http://www.independent.co.uk/news/world/middle-east/dubai-skyscraper-hotel-engulfed-in-huge-fire-a6792356.html</x:v>
      </x:c>
      <x:c r="C7" s="80" t="str">
        <x:v>主来源</x:v>
      </x:c>
      <x:c r="D7" s="80" t="str">
        <x:v>可访问(200)</x:v>
      </x:c>
      <x:c r="E7" s="80" t="n">
        <x:v>1</x:v>
      </x:c>
      <x:c r="F7" s="80" t="str">
        <x:v>C</x:v>
      </x:c>
      <x:c r="G7" s="80" t="str">
        <x:v>List of fires in high-rise buildings | List of high-rise façade fires | Wikipedia dynamic high-rise list (candidate discovery) | Wikipedia high-rise façade list; derived from Bonner et al./news (candidate discovery)</x:v>
      </x:c>
      <x:c r="H7" s="83" t="n">
        <x:v>46260</x:v>
      </x:c>
    </x:row>
    <x:row r="8">
      <x:c r="A8" s="80" t="n">
        <x:v>7</x:v>
      </x:c>
      <x:c r="B8" s="80" t="str">
        <x:v>http://www.melbourne.vic.gov.au/sitecollectiondocuments/mbs-report-lacrosse-fire.pdf</x:v>
      </x:c>
      <x:c r="C8" s="80" t="str">
        <x:v>补充来源</x:v>
      </x:c>
      <x:c r="D8" s="80" t="str">
        <x:v>受限(403)</x:v>
      </x:c>
      <x:c r="E8" s="80" t="n">
        <x:v>1</x:v>
      </x:c>
      <x:c r="F8" s="80" t="str">
        <x:v>C</x:v>
      </x:c>
      <x:c r="G8" s="80" t="str">
        <x:v>List of fires in high-rise buildings | List of high-rise façade fires | Wikipedia dynamic high-rise list (candidate discovery) | Wikipedia high-rise façade list; derived from Bonner et al./news (candidate discovery)</x:v>
      </x:c>
      <x:c r="H8" s="83" t="n">
        <x:v>46260</x:v>
      </x:c>
    </x:row>
    <x:row r="9">
      <x:c r="A9" s="80" t="n">
        <x:v>8</x:v>
      </x:c>
      <x:c r="B9" s="80" t="str">
        <x:v>http://www.middleeasteye.net/news/istanbuls-grenfell-hospital-fire-brings-city-safety-stark-relief</x:v>
      </x:c>
      <x:c r="C9" s="80" t="str">
        <x:v>主来源</x:v>
      </x:c>
      <x:c r="D9" s="80" t="str">
        <x:v>可访问(200)</x:v>
      </x:c>
      <x:c r="E9" s="80" t="n">
        <x:v>1</x:v>
      </x:c>
      <x:c r="F9" s="80" t="str">
        <x:v>C</x:v>
      </x:c>
      <x:c r="G9" s="80" t="str">
        <x:v>List of high-rise façade fires | Wikipedia high-rise façade list; derived from Bonner et al./news (candidate discovery)</x:v>
      </x:c>
      <x:c r="H9" s="83" t="n">
        <x:v>46260</x:v>
      </x:c>
    </x:row>
    <x:row r="10">
      <x:c r="A10" s="80" t="n">
        <x:v>9</x:v>
      </x:c>
      <x:c r="B10" s="80" t="str">
        <x:v>http://www.mirror.co.uk/news/world-news/longsheng-building-fire-terror-skyscraper-7885245</x:v>
      </x:c>
      <x:c r="C10" s="80" t="str">
        <x:v>主来源</x:v>
      </x:c>
      <x:c r="D10" s="80" t="str">
        <x:v>可访问(200)</x:v>
      </x:c>
      <x:c r="E10" s="80" t="n">
        <x:v>1</x:v>
      </x:c>
      <x:c r="F10" s="80" t="str">
        <x:v>C</x:v>
      </x:c>
      <x:c r="G10" s="80" t="str">
        <x:v>List of high-rise façade fires | Wikipedia high-rise façade list; derived from Bonner et al./news (candidate discovery)</x:v>
      </x:c>
      <x:c r="H10" s="83" t="n">
        <x:v>46260</x:v>
      </x:c>
    </x:row>
    <x:row r="11">
      <x:c r="A11" s="80" t="n">
        <x:v>10</x:v>
      </x:c>
      <x:c r="B11" s="80" t="str">
        <x:v>http://www.thanhniennews.com/2010/pages/20111216-skyscraper-on-fire-11-injured-in-vietnam-capital.aspx</x:v>
      </x:c>
      <x:c r="C11" s="80" t="str">
        <x:v>主来源</x:v>
      </x:c>
      <x:c r="D11" s="80" t="str">
        <x:v>访问失败(RemoteDisconnected)</x:v>
      </x:c>
      <x:c r="E11" s="80" t="n">
        <x:v>1</x:v>
      </x:c>
      <x:c r="F11" s="80" t="str">
        <x:v>C</x:v>
      </x:c>
      <x:c r="G11" s="80" t="str">
        <x:v>List of fires in high-rise buildings | Wikipedia dynamic high-rise list (candidate discovery)</x:v>
      </x:c>
      <x:c r="H11" s="83" t="n">
        <x:v>46260</x:v>
      </x:c>
    </x:row>
    <x:row r="12">
      <x:c r="A12" s="80" t="n">
        <x:v>11</x:v>
      </x:c>
      <x:c r="B12" s="80" t="str">
        <x:v>http://www.theage.com.au/victoria/docklands-apartment-tower-fire-fuelled-by-material-in-buildings-walls-says-mfb-20150427-1mukhx.html</x:v>
      </x:c>
      <x:c r="C12" s="80" t="str">
        <x:v>主来源</x:v>
      </x:c>
      <x:c r="D12" s="80" t="str">
        <x:v>可访问(200)</x:v>
      </x:c>
      <x:c r="E12" s="80" t="n">
        <x:v>1</x:v>
      </x:c>
      <x:c r="F12" s="80" t="str">
        <x:v>C</x:v>
      </x:c>
      <x:c r="G12" s="80" t="str">
        <x:v>List of fires in high-rise buildings | List of high-rise façade fires | Wikipedia dynamic high-rise list (candidate discovery) | Wikipedia high-rise façade list; derived from Bonner et al./news (candidate discovery)</x:v>
      </x:c>
      <x:c r="H12" s="83" t="n">
        <x:v>46260</x:v>
      </x:c>
    </x:row>
    <x:row r="13">
      <x:c r="A13" s="80" t="n">
        <x:v>12</x:v>
      </x:c>
      <x:c r="B13" s="80" t="str">
        <x:v>https://911research.wtc7.net/wtc/analysis/compare/windsor.html</x:v>
      </x:c>
      <x:c r="C13" s="80" t="str">
        <x:v>补充来源</x:v>
      </x:c>
      <x:c r="D13" s="80" t="str">
        <x:v>可访问(200)</x:v>
      </x:c>
      <x:c r="E13" s="80" t="n">
        <x:v>1</x:v>
      </x:c>
      <x:c r="F13" s="80" t="str">
        <x:v>C</x:v>
      </x:c>
      <x:c r="G13" s="80" t="str">
        <x:v>List of fires in high-rise buildings | List of high-rise façade fires | Wikipedia dynamic high-rise list (candidate discovery) | Wikipedia high-rise façade list; derived from Bonner et al./news (candidate discovery) | 区域代理-欧洲非洲</x:v>
      </x:c>
      <x:c r="H13" s="83" t="n">
        <x:v>46260</x:v>
      </x:c>
    </x:row>
    <x:row r="14">
      <x:c r="A14" s="80" t="n">
        <x:v>13</x:v>
      </x:c>
      <x:c r="B14" s="80" t="str">
        <x:v>https://abcnews.go.com/US/fire-rages-cosmopolitan-hotel-las-vegas/story?id=32685666</x:v>
      </x:c>
      <x:c r="C14" s="80" t="str">
        <x:v>补充来源</x:v>
      </x:c>
      <x:c r="D14" s="80" t="str">
        <x:v>可访问(200)</x:v>
      </x:c>
      <x:c r="E14" s="80" t="n">
        <x:v>1</x:v>
      </x:c>
      <x:c r="F14" s="80" t="str">
        <x:v>A2</x:v>
      </x:c>
      <x:c r="G14" s="80" t="str">
        <x:v>List of fires in high-rise buildings | Wikipedia dynamic high-rise list (candidate discovery) | 区域代理-美洲</x:v>
      </x:c>
      <x:c r="H14" s="83" t="n">
        <x:v>46260</x:v>
      </x:c>
    </x:row>
    <x:row r="15">
      <x:c r="A15" s="80" t="n">
        <x:v>14</x:v>
      </x:c>
      <x:c r="B15" s="80" t="str">
        <x:v>https://apfmag.mdmpublishing.com/a-perspective-on-high-rise-building-fires-involving-the-facade/</x:v>
      </x:c>
      <x:c r="C15" s="80" t="str">
        <x:v>主来源</x:v>
      </x:c>
      <x:c r="D15" s="80" t="str">
        <x:v>可访问(200)</x:v>
      </x:c>
      <x:c r="E15" s="80" t="n">
        <x:v>1</x:v>
      </x:c>
      <x:c r="F15" s="80" t="str">
        <x:v>C</x:v>
      </x:c>
      <x:c r="G15" s="80" t="str">
        <x:v>List of high-rise façade fires | Wikipedia high-rise façade list; derived from Bonner et al./news (candidate discovery)</x:v>
      </x:c>
      <x:c r="H15" s="83" t="n">
        <x:v>46260</x:v>
      </x:c>
    </x:row>
    <x:row r="16">
      <x:c r="A16" s="80" t="n">
        <x:v>15</x:v>
      </x:c>
      <x:c r="B16" s="80" t="str">
        <x:v>https://apnews.com/article/09f6463cc7981e4ee74cc79fbe922b07</x:v>
      </x:c>
      <x:c r="C16" s="80" t="str">
        <x:v>主来源</x:v>
      </x:c>
      <x:c r="D16" s="80" t="str">
        <x:v>可访问(200)</x:v>
      </x:c>
      <x:c r="E16" s="80" t="n">
        <x:v>1</x:v>
      </x:c>
      <x:c r="F16" s="80" t="str">
        <x:v>A</x:v>
      </x:c>
      <x:c r="G16" s="80" t="str">
        <x:v>区域代理-欧洲非洲</x:v>
      </x:c>
      <x:c r="H16" s="83" t="n">
        <x:v>46260</x:v>
      </x:c>
    </x:row>
    <x:row r="17">
      <x:c r="A17" s="80" t="n">
        <x:v>16</x:v>
      </x:c>
      <x:c r="B17" s="80" t="str">
        <x:v>https://apnews.com/article/2675a5740d566e11cd4f2c80354da61c</x:v>
      </x:c>
      <x:c r="C17" s="80" t="str">
        <x:v>主来源</x:v>
      </x:c>
      <x:c r="D17" s="80" t="str">
        <x:v>可访问(200)</x:v>
      </x:c>
      <x:c r="E17" s="80" t="n">
        <x:v>1</x:v>
      </x:c>
      <x:c r="F17" s="80" t="str">
        <x:v>A</x:v>
      </x:c>
      <x:c r="G17" s="80" t="str">
        <x:v>区域代理-欧洲非洲</x:v>
      </x:c>
      <x:c r="H17" s="83" t="n">
        <x:v>46260</x:v>
      </x:c>
    </x:row>
    <x:row r="18">
      <x:c r="A18" s="80" t="n">
        <x:v>17</x:v>
      </x:c>
      <x:c r="B18" s="80" t="str">
        <x:v>https://apnews.com/article/e57323a53ece0d24e14ad67a3049ff47</x:v>
      </x:c>
      <x:c r="C18" s="80" t="str">
        <x:v>主来源</x:v>
      </x:c>
      <x:c r="D18" s="80" t="str">
        <x:v>可访问(200)</x:v>
      </x:c>
      <x:c r="E18" s="80" t="n">
        <x:v>1</x:v>
      </x:c>
      <x:c r="F18" s="80" t="str">
        <x:v>A</x:v>
      </x:c>
      <x:c r="G18" s="80" t="str">
        <x:v>List of fires in high-rise buildings | List of high-rise façade fires | Wikipedia high-rise façade list; derived from Bonner et al./news (candidate discovery) | 区域代理-欧洲非洲</x:v>
      </x:c>
      <x:c r="H18" s="83" t="n">
        <x:v>46260</x:v>
      </x:c>
    </x:row>
    <x:row r="19">
      <x:c r="A19" s="80" t="n">
        <x:v>18</x:v>
      </x:c>
      <x:c r="B19" s="80" t="str">
        <x:v>https://apnews.com/article/paris-town-hall-fire-bell-tower-c6ff46a0f000b28d2a4cffb30ae82f08</x:v>
      </x:c>
      <x:c r="C19" s="80" t="str">
        <x:v>主来源</x:v>
      </x:c>
      <x:c r="D19" s="80" t="str">
        <x:v>可访问(200)</x:v>
      </x:c>
      <x:c r="E19" s="80" t="n">
        <x:v>1</x:v>
      </x:c>
      <x:c r="F19" s="80" t="str">
        <x:v>C</x:v>
      </x:c>
      <x:c r="G19" s="80" t="str">
        <x:v>List of fires in high-rise buildings | List of high-rise façade fires | Wikipedia dynamic high-rise list (candidate discovery)</x:v>
      </x:c>
      <x:c r="H19" s="83" t="n">
        <x:v>46260</x:v>
      </x:c>
    </x:row>
    <x:row r="20">
      <x:c r="A20" s="80" t="n">
        <x:v>19</x:v>
      </x:c>
      <x:c r="B20" s="80" t="str">
        <x:v>https://architectenweb.nl/nieuws/artikel.aspx?ID=14108</x:v>
      </x:c>
      <x:c r="C20" s="80" t="str">
        <x:v>主来源</x:v>
      </x:c>
      <x:c r="D20" s="80" t="str">
        <x:v>可访问(200)</x:v>
      </x:c>
      <x:c r="E20" s="80" t="n">
        <x:v>1</x:v>
      </x:c>
      <x:c r="F20" s="80" t="str">
        <x:v>C</x:v>
      </x:c>
      <x:c r="G20" s="80" t="str">
        <x:v>List of fires in high-rise buildings | Wikipedia dynamic high-rise list (candidate discovery)</x:v>
      </x:c>
      <x:c r="H20" s="83" t="n">
        <x:v>46260</x:v>
      </x:c>
    </x:row>
    <x:row r="21">
      <x:c r="A21" s="80" t="n">
        <x:v>20</x:v>
      </x:c>
      <x:c r="B21" s="80" t="str">
        <x:v>https://assets.publishing.service.gov.uk/media/66d817aa701781e1b341dbd3/CCS0923434692-004_GTI_Phase_2_Volume_1_BOOKMARKED.pdf</x:v>
      </x:c>
      <x:c r="C21" s="80" t="str">
        <x:v>主来源</x:v>
      </x:c>
      <x:c r="D21" s="80" t="str">
        <x:v>可访问(200)</x:v>
      </x:c>
      <x:c r="E21" s="80" t="n">
        <x:v>1</x:v>
      </x:c>
      <x:c r="F21" s="80" t="str">
        <x:v>A</x:v>
      </x:c>
      <x:c r="G21" s="80" t="str">
        <x:v>List of building or structure fires | List of fires in high-rise buildings | List of high-rise façade fires | Wikipedia high-rise façade list; derived from Bonner et al./news (candidate discovery) | 区域代理-欧洲非洲</x:v>
      </x:c>
      <x:c r="H21" s="83" t="n">
        <x:v>46260</x:v>
      </x:c>
    </x:row>
    <x:row r="22">
      <x:c r="A22" s="80" t="n">
        <x:v>21</x:v>
      </x:c>
      <x:c r="B22" s="80" t="str">
        <x:v>https://balkaninsight.com/2025/11/26/up-in-smoke-vjesnik-fire-symbolises-end-of-croatian-journalisms-golden-age/</x:v>
      </x:c>
      <x:c r="C22" s="80" t="str">
        <x:v>主来源</x:v>
      </x:c>
      <x:c r="D22" s="80" t="str">
        <x:v>可访问(200)</x:v>
      </x:c>
      <x:c r="E22" s="80" t="n">
        <x:v>1</x:v>
      </x:c>
      <x:c r="F22" s="80" t="str">
        <x:v>C</x:v>
      </x:c>
      <x:c r="G22" s="80" t="str">
        <x:v>List of fires in high-rise buildings | Wikipedia dynamic high-rise list (candidate discovery)</x:v>
      </x:c>
      <x:c r="H22" s="83" t="n">
        <x:v>46260</x:v>
      </x:c>
    </x:row>
    <x:row r="23">
      <x:c r="A23" s="80" t="n">
        <x:v>22</x:v>
      </x:c>
      <x:c r="B23" s="80" t="str">
        <x:v>https://books.google.com/books?id=bbA0CgAAQBAJ&amp;pg=PA37</x:v>
      </x:c>
      <x:c r="C23" s="80" t="str">
        <x:v>主来源</x:v>
      </x:c>
      <x:c r="D23" s="80" t="str">
        <x:v>可访问(200)</x:v>
      </x:c>
      <x:c r="E23" s="80" t="n">
        <x:v>1</x:v>
      </x:c>
      <x:c r="F23" s="80" t="str">
        <x:v>C</x:v>
      </x:c>
      <x:c r="G23" s="80" t="str">
        <x:v>List of fires in high-rise buildings | Wikipedia dynamic high-rise list (candidate discovery)</x:v>
      </x:c>
      <x:c r="H23" s="83" t="n">
        <x:v>46260</x:v>
      </x:c>
    </x:row>
    <x:row r="24">
      <x:c r="A24" s="80" t="n">
        <x:v>23</x:v>
      </x:c>
      <x:c r="B24" s="80" t="str">
        <x:v>https://ctif.org/sites/default/files/2025-08/CTIF_Report30.pdf</x:v>
      </x:c>
      <x:c r="C24" s="80" t="str">
        <x:v>主来源</x:v>
      </x:c>
      <x:c r="D24" s="80" t="str">
        <x:v>可访问(200)</x:v>
      </x:c>
      <x:c r="E24" s="80" t="n">
        <x:v>19</x:v>
      </x:c>
      <x:c r="F24" s="80" t="str">
        <x:v>A2 | B</x:v>
      </x:c>
      <x:c r="G24" s="80" t="str">
        <x:v>List of fires in high-rise buildings | Wikipedia dynamic high-rise list (candidate discovery) | 区域代理-美洲 | List of high-rise façade fires | Wikipedia dynamic high-rise list (candidate discovery) | Wikipedia high-rise façade list; derived from Bonner et al./news (candidate discovery) | 区域代理-美洲 | 区域代理-欧洲非洲 | 区域代理-美洲</x:v>
      </x:c>
      <x:c r="H24" s="83" t="n">
        <x:v>46260</x:v>
      </x:c>
    </x:row>
    <x:row r="25">
      <x:c r="A25" s="80" t="n">
        <x:v>24</x:v>
      </x:c>
      <x:c r="B25" s="80" t="str">
        <x:v>https://doi.org/10.1007%2F978-1-4939-2898-9_4</x:v>
      </x:c>
      <x:c r="C25" s="80" t="str">
        <x:v>主来源</x:v>
      </x:c>
      <x:c r="D25" s="80" t="str">
        <x:v>可访问(200)</x:v>
      </x:c>
      <x:c r="E25" s="80" t="n">
        <x:v>12</x:v>
      </x:c>
      <x:c r="F25" s="80" t="str">
        <x:v>A | A2 | B | C</x:v>
      </x:c>
      <x:c r="G25" s="80" t="str">
        <x:v>List of fires in high-rise buildings | List of high-rise façade fires | Wikipedia dynamic high-rise list (candidate discovery) | 区域代理-欧洲非洲 | List of fires in high-rise buildings | List of high-rise façade fires | Wikipedia high-rise façade list; derived from Bonner et al./news (candidate discovery) | List of high-rise façade fires | Wikipedia dynamic high-rise list (candidate discovery) | Wikipedia high-rise façade list; derived from Bonner et al./news (candidate discovery) | 区域代理-美洲 | List of high-rise façade fires | Wikipedia high-rise façade list; derived from Bonner et al./news (candidate discovery) | List of high-rise façade fires | Wikipedia high-rise façade list; derived from Bonner et al./news (candidate discovery) | 区域代理-欧洲非洲</x:v>
      </x:c>
      <x:c r="H25" s="83" t="n">
        <x:v>46260</x:v>
      </x:c>
    </x:row>
    <x:row r="26">
      <x:c r="A26" s="80" t="n">
        <x:v>25</x:v>
      </x:c>
      <x:c r="B26" s="80" t="str">
        <x:v>https://doi.org/10.26616%2Fnioshfffacef201711</x:v>
      </x:c>
      <x:c r="C26" s="80" t="str">
        <x:v>主来源</x:v>
      </x:c>
      <x:c r="D26" s="80" t="str">
        <x:v>受限(403)</x:v>
      </x:c>
      <x:c r="E26" s="80" t="n">
        <x:v>1</x:v>
      </x:c>
      <x:c r="F26" s="80" t="str">
        <x:v>C</x:v>
      </x:c>
      <x:c r="G26" s="80" t="str">
        <x:v>List of high-rise façade fires | Wikipedia high-rise façade list; derived from Bonner et al./news (candidate discovery)</x:v>
      </x:c>
      <x:c r="H26" s="83" t="n">
        <x:v>46260</x:v>
      </x:c>
    </x:row>
    <x:row r="27">
      <x:c r="A27" s="80" t="n">
        <x:v>26</x:v>
      </x:c>
      <x:c r="B27" s="80" t="str">
        <x:v>https://douai.cour-administrative-appel.fr/decisions-de-justice/dernieres-decisions/incendie-de-la-tour-mermoz-a-roubaix-la-cour-censure-le-jugement-du-tribunal-administratif-de-lille-et-rejette-la-demande-de-lille-metropole-ha</x:v>
      </x:c>
      <x:c r="C27" s="80" t="str">
        <x:v>主来源</x:v>
      </x:c>
      <x:c r="D27" s="80" t="str">
        <x:v>可访问(200)</x:v>
      </x:c>
      <x:c r="E27" s="80" t="n">
        <x:v>1</x:v>
      </x:c>
      <x:c r="F27" s="80" t="str">
        <x:v>A</x:v>
      </x:c>
      <x:c r="G27" s="80" t="str">
        <x:v>List of fires in high-rise buildings | List of high-rise façade fires | Wikipedia dynamic high-rise list (candidate discovery) | 区域代理-欧洲非洲</x:v>
      </x:c>
      <x:c r="H27" s="83" t="n">
        <x:v>46260</x:v>
      </x:c>
    </x:row>
    <x:row r="28">
      <x:c r="A28" s="80" t="n">
        <x:v>27</x:v>
      </x:c>
      <x:c r="B28" s="80" t="str">
        <x:v>https://en.wikipedia.org/wiki/146_rue_de_Charonne_fire?action=edit&amp;redlink=1</x:v>
      </x:c>
      <x:c r="C28" s="80" t="str">
        <x:v>补充来源</x:v>
      </x:c>
      <x:c r="D28" s="80" t="str">
        <x:v>HTTP错误(404)</x:v>
      </x:c>
      <x:c r="E28" s="80" t="n">
        <x:v>1</x:v>
      </x:c>
      <x:c r="F28" s="80" t="str">
        <x:v>C</x:v>
      </x:c>
      <x:c r="G28" s="80" t="str">
        <x:v>List of high-rise façade fires | Wikipedia high-rise façade list; derived from Bonner et al./news (candidate discovery) | 区域代理-欧洲非洲</x:v>
      </x:c>
      <x:c r="H28" s="83" t="n">
        <x:v>46260</x:v>
      </x:c>
    </x:row>
    <x:row r="29">
      <x:c r="A29" s="80" t="n">
        <x:v>28</x:v>
      </x:c>
      <x:c r="B29" s="80" t="str">
        <x:v>https://en.wikipedia.org/wiki/2009_Lakanal_House_tower_block_fire</x:v>
      </x:c>
      <x:c r="C29" s="80" t="str">
        <x:v>主来源</x:v>
      </x:c>
      <x:c r="D29" s="80" t="str">
        <x:v>可访问(200)</x:v>
      </x:c>
      <x:c r="E29" s="80" t="n">
        <x:v>1</x:v>
      </x:c>
      <x:c r="F29" s="80" t="str">
        <x:v>B</x:v>
      </x:c>
      <x:c r="G29" s="80" t="str">
        <x:v>List of building or structure fires</x:v>
      </x:c>
      <x:c r="H29" s="83" t="n">
        <x:v>46260</x:v>
      </x:c>
    </x:row>
    <x:row r="30">
      <x:c r="A30" s="80" t="n">
        <x:v>29</x:v>
      </x:c>
      <x:c r="B30" s="80" t="str">
        <x:v>https://en.wikipedia.org/wiki/2010_Shanghai_fire</x:v>
      </x:c>
      <x:c r="C30" s="80" t="str">
        <x:v>主来源</x:v>
      </x:c>
      <x:c r="D30" s="80" t="str">
        <x:v>可访问(200)</x:v>
      </x:c>
      <x:c r="E30" s="80" t="n">
        <x:v>1</x:v>
      </x:c>
      <x:c r="F30" s="80" t="str">
        <x:v>B</x:v>
      </x:c>
      <x:c r="G30" s="80" t="str">
        <x:v>List of building or structure fires | List of fires in high-rise buildings | List of high-rise façade fires | Wikipedia dynamic high-rise list (candidate discovery) | Wikipedia high-rise façade list; derived from Bonner et al./news (candidate discovery)</x:v>
      </x:c>
      <x:c r="H30" s="83" t="n">
        <x:v>46260</x:v>
      </x:c>
    </x:row>
    <x:row r="31">
      <x:c r="A31" s="80" t="n">
        <x:v>30</x:v>
      </x:c>
      <x:c r="B31" s="80" t="str">
        <x:v>https://en.wikipedia.org/wiki/2015_Baku_residence_building_fire</x:v>
      </x:c>
      <x:c r="C31" s="80" t="str">
        <x:v>主来源</x:v>
      </x:c>
      <x:c r="D31" s="80" t="str">
        <x:v>可访问(200)</x:v>
      </x:c>
      <x:c r="E31" s="80" t="n">
        <x:v>1</x:v>
      </x:c>
      <x:c r="F31" s="80" t="str">
        <x:v>B</x:v>
      </x:c>
      <x:c r="G31" s="80" t="str">
        <x:v>List of fires in high-rise buildings | List of high-rise façade fires | Wikipedia dynamic high-rise list (candidate discovery) | Wikipedia high-rise façade list; derived from Bonner et al./news (candidate discovery)</x:v>
      </x:c>
      <x:c r="H31" s="83" t="n">
        <x:v>46260</x:v>
      </x:c>
    </x:row>
    <x:row r="32">
      <x:c r="A32" s="80" t="n">
        <x:v>31</x:v>
      </x:c>
      <x:c r="B32" s="80" t="str">
        <x:v>https://en.wikipedia.org/wiki/2019_Paris_explosion</x:v>
      </x:c>
      <x:c r="C32" s="80" t="str">
        <x:v>主来源</x:v>
      </x:c>
      <x:c r="D32" s="80" t="str">
        <x:v>可访问(200)</x:v>
      </x:c>
      <x:c r="E32" s="80" t="n">
        <x:v>1</x:v>
      </x:c>
      <x:c r="F32" s="80" t="str">
        <x:v>B</x:v>
      </x:c>
      <x:c r="G32" s="80" t="str">
        <x:v>List of high-rise façade fires | Wikipedia high-rise façade list; derived from Bonner et al./news (candidate discovery)</x:v>
      </x:c>
      <x:c r="H32" s="83" t="n">
        <x:v>46260</x:v>
      </x:c>
    </x:row>
    <x:row r="33">
      <x:c r="A33" s="80" t="n">
        <x:v>32</x:v>
      </x:c>
      <x:c r="B33" s="80" t="str">
        <x:v>https://en.wikipedia.org/wiki/2021_Kaohsiung_tower_fire</x:v>
      </x:c>
      <x:c r="C33" s="80" t="str">
        <x:v>主来源</x:v>
      </x:c>
      <x:c r="D33" s="80" t="str">
        <x:v>可访问(200)</x:v>
      </x:c>
      <x:c r="E33" s="80" t="n">
        <x:v>1</x:v>
      </x:c>
      <x:c r="F33" s="80" t="str">
        <x:v>B</x:v>
      </x:c>
      <x:c r="G33" s="80" t="str">
        <x:v>List of fires in high-rise buildings | Wikipedia dynamic high-rise list (candidate discovery)</x:v>
      </x:c>
      <x:c r="H33" s="83" t="n">
        <x:v>46260</x:v>
      </x:c>
    </x:row>
    <x:row r="34">
      <x:c r="A34" s="80" t="n">
        <x:v>33</x:v>
      </x:c>
      <x:c r="B34" s="80" t="str">
        <x:v>https://en.wikipedia.org/wiki/2022_Bronx_apartment_fire</x:v>
      </x:c>
      <x:c r="C34" s="80" t="str">
        <x:v>主来源</x:v>
      </x:c>
      <x:c r="D34" s="80" t="str">
        <x:v>可访问(200)</x:v>
      </x:c>
      <x:c r="E34" s="80" t="n">
        <x:v>1</x:v>
      </x:c>
      <x:c r="F34" s="80" t="str">
        <x:v>B1</x:v>
      </x:c>
      <x:c r="G34" s="80" t="str">
        <x:v>List of fires in high-rise buildings | Wikipedia dynamic high-rise list (candidate discovery) | 区域代理-美洲</x:v>
      </x:c>
      <x:c r="H34" s="83" t="n">
        <x:v>46260</x:v>
      </x:c>
    </x:row>
    <x:row r="35">
      <x:c r="A35" s="80" t="n">
        <x:v>34</x:v>
      </x:c>
      <x:c r="B35" s="80" t="str">
        <x:v>https://en.wikipedia.org/wiki/2022_The_Centaurus_Mall_Fire_Incident</x:v>
      </x:c>
      <x:c r="C35" s="80" t="str">
        <x:v>主来源</x:v>
      </x:c>
      <x:c r="D35" s="80" t="str">
        <x:v>可访问(200)</x:v>
      </x:c>
      <x:c r="E35" s="80" t="n">
        <x:v>1</x:v>
      </x:c>
      <x:c r="F35" s="80" t="str">
        <x:v>B</x:v>
      </x:c>
      <x:c r="G35" s="80" t="str">
        <x:v>List of fires in high-rise buildings | Wikipedia dynamic high-rise list (candidate discovery)</x:v>
      </x:c>
      <x:c r="H35" s="83" t="n">
        <x:v>46260</x:v>
      </x:c>
    </x:row>
    <x:row r="36">
      <x:c r="A36" s="80" t="n">
        <x:v>35</x:v>
      </x:c>
      <x:c r="B36" s="80" t="str">
        <x:v>https://en.wikipedia.org/wiki/2022_Ürümqi_fire</x:v>
      </x:c>
      <x:c r="C36" s="80" t="str">
        <x:v>主来源</x:v>
      </x:c>
      <x:c r="D36" s="80" t="str">
        <x:v>可访问(200)</x:v>
      </x:c>
      <x:c r="E36" s="80" t="n">
        <x:v>1</x:v>
      </x:c>
      <x:c r="F36" s="80" t="str">
        <x:v>B</x:v>
      </x:c>
      <x:c r="G36" s="80" t="str">
        <x:v>List of fires in high-rise buildings | Wikipedia dynamic high-rise list (candidate discovery)</x:v>
      </x:c>
      <x:c r="H36" s="83" t="n">
        <x:v>46260</x:v>
      </x:c>
    </x:row>
    <x:row r="37">
      <x:c r="A37" s="80" t="n">
        <x:v>36</x:v>
      </x:c>
      <x:c r="B37" s="80" t="str">
        <x:v>https://en.wikipedia.org/wiki/2023_Hanoi_building_fire</x:v>
      </x:c>
      <x:c r="C37" s="80" t="str">
        <x:v>主来源</x:v>
      </x:c>
      <x:c r="D37" s="80" t="str">
        <x:v>可访问(200)</x:v>
      </x:c>
      <x:c r="E37" s="80" t="n">
        <x:v>1</x:v>
      </x:c>
      <x:c r="F37" s="80" t="str">
        <x:v>B</x:v>
      </x:c>
      <x:c r="G37" s="80" t="str">
        <x:v>List of fires in high-rise buildings | Wikipedia dynamic high-rise list (candidate discovery)</x:v>
      </x:c>
      <x:c r="H37" s="83" t="n">
        <x:v>46260</x:v>
      </x:c>
    </x:row>
    <x:row r="38">
      <x:c r="A38" s="80" t="n">
        <x:v>37</x:v>
      </x:c>
      <x:c r="B38" s="80" t="str">
        <x:v>https://en.wikipedia.org/wiki/2024_Dhaka_Bailey_Road_fire</x:v>
      </x:c>
      <x:c r="C38" s="80" t="str">
        <x:v>主来源</x:v>
      </x:c>
      <x:c r="D38" s="80" t="str">
        <x:v>可访问(200)</x:v>
      </x:c>
      <x:c r="E38" s="80" t="n">
        <x:v>1</x:v>
      </x:c>
      <x:c r="F38" s="80" t="str">
        <x:v>B</x:v>
      </x:c>
      <x:c r="G38" s="80" t="str">
        <x:v>List of fires in high-rise buildings | Wikipedia dynamic high-rise list (candidate discovery)</x:v>
      </x:c>
      <x:c r="H38" s="83" t="n">
        <x:v>46260</x:v>
      </x:c>
    </x:row>
    <x:row r="39">
      <x:c r="A39" s="80" t="n">
        <x:v>38</x:v>
      </x:c>
      <x:c r="B39" s="80" t="str">
        <x:v>https://en.wikipedia.org/wiki/2024_Nanjing_building_fire</x:v>
      </x:c>
      <x:c r="C39" s="80" t="str">
        <x:v>主来源</x:v>
      </x:c>
      <x:c r="D39" s="80" t="str">
        <x:v>可访问(200)</x:v>
      </x:c>
      <x:c r="E39" s="80" t="n">
        <x:v>1</x:v>
      </x:c>
      <x:c r="F39" s="80" t="str">
        <x:v>B</x:v>
      </x:c>
      <x:c r="G39" s="80" t="str">
        <x:v>List of fires in high-rise buildings | Wikipedia dynamic high-rise list (candidate discovery)</x:v>
      </x:c>
      <x:c r="H39" s="83" t="n">
        <x:v>46260</x:v>
      </x:c>
    </x:row>
    <x:row r="40">
      <x:c r="A40" s="80" t="n">
        <x:v>39</x:v>
      </x:c>
      <x:c r="B40" s="80" t="str">
        <x:v>https://en.wikipedia.org/wiki/2024_València_residential_complex_fire</x:v>
      </x:c>
      <x:c r="C40" s="80" t="str">
        <x:v>补充来源</x:v>
      </x:c>
      <x:c r="D40" s="80" t="str">
        <x:v>可访问(200)</x:v>
      </x:c>
      <x:c r="E40" s="80" t="n">
        <x:v>1</x:v>
      </x:c>
      <x:c r="F40" s="80" t="str">
        <x:v>A</x:v>
      </x:c>
      <x:c r="G40" s="80" t="str">
        <x:v>List of fires in high-rise buildings | List of high-rise façade fires | Wikipedia high-rise façade list; derived from Bonner et al./news (candidate discovery) | 区域代理-欧洲非洲</x:v>
      </x:c>
      <x:c r="H40" s="83" t="n">
        <x:v>46260</x:v>
      </x:c>
    </x:row>
    <x:row r="41">
      <x:c r="A41" s="80" t="n">
        <x:v>40</x:v>
      </x:c>
      <x:c r="B41" s="80" t="str">
        <x:v>https://en.wikipedia.org/wiki/2025_Kartalkaya_hotel_fire</x:v>
      </x:c>
      <x:c r="C41" s="80" t="str">
        <x:v>主来源</x:v>
      </x:c>
      <x:c r="D41" s="80" t="str">
        <x:v>可访问(200)</x:v>
      </x:c>
      <x:c r="E41" s="80" t="n">
        <x:v>1</x:v>
      </x:c>
      <x:c r="F41" s="80" t="str">
        <x:v>B</x:v>
      </x:c>
      <x:c r="G41" s="80" t="str">
        <x:v>List of fires in high-rise buildings | Wikipedia dynamic high-rise list (candidate discovery)</x:v>
      </x:c>
      <x:c r="H41" s="83" t="n">
        <x:v>46260</x:v>
      </x:c>
    </x:row>
    <x:row r="42">
      <x:c r="A42" s="80" t="n">
        <x:v>41</x:v>
      </x:c>
      <x:c r="B42" s="80" t="str">
        <x:v>https://en.wikipedia.org/wiki/Beijing_Television_Cultural_Center_fire</x:v>
      </x:c>
      <x:c r="C42" s="80" t="str">
        <x:v>主来源</x:v>
      </x:c>
      <x:c r="D42" s="80" t="str">
        <x:v>可访问(200)</x:v>
      </x:c>
      <x:c r="E42" s="80" t="n">
        <x:v>1</x:v>
      </x:c>
      <x:c r="F42" s="80" t="str">
        <x:v>B</x:v>
      </x:c>
      <x:c r="G42" s="80" t="str">
        <x:v>List of fires in high-rise buildings | List of high-rise façade fires | Wikipedia dynamic high-rise list (candidate discovery)</x:v>
      </x:c>
      <x:c r="H42" s="83" t="n">
        <x:v>46260</x:v>
      </x:c>
    </x:row>
    <x:row r="43">
      <x:c r="A43" s="80" t="n">
        <x:v>42</x:v>
      </x:c>
      <x:c r="B43" s="80" t="str">
        <x:v>https://en.wikipedia.org/wiki/Bohumín_arson_attack</x:v>
      </x:c>
      <x:c r="C43" s="80" t="str">
        <x:v>主来源</x:v>
      </x:c>
      <x:c r="D43" s="80" t="str">
        <x:v>可访问(200)</x:v>
      </x:c>
      <x:c r="E43" s="80" t="n">
        <x:v>1</x:v>
      </x:c>
      <x:c r="F43" s="80" t="str">
        <x:v>B</x:v>
      </x:c>
      <x:c r="G43" s="80" t="str">
        <x:v>List of fires in high-rise buildings | Wikipedia dynamic high-rise list (candidate discovery)</x:v>
      </x:c>
      <x:c r="H43" s="83" t="n">
        <x:v>46260</x:v>
      </x:c>
    </x:row>
    <x:row r="44">
      <x:c r="A44" s="80" t="n">
        <x:v>43</x:v>
      </x:c>
      <x:c r="B44" s="80" t="str">
        <x:v>https://en.wikipedia.org/wiki/De_Punt_fire</x:v>
      </x:c>
      <x:c r="C44" s="80" t="str">
        <x:v>主来源</x:v>
      </x:c>
      <x:c r="D44" s="80" t="str">
        <x:v>可访问(200)</x:v>
      </x:c>
      <x:c r="E44" s="80" t="n">
        <x:v>1</x:v>
      </x:c>
      <x:c r="F44" s="80" t="str">
        <x:v>B</x:v>
      </x:c>
      <x:c r="G44" s="80" t="str">
        <x:v>List of high-rise façade fires | Wikipedia high-rise façade list; derived from Bonner et al./news (candidate discovery)</x:v>
      </x:c>
      <x:c r="H44" s="83" t="n">
        <x:v>46260</x:v>
      </x:c>
    </x:row>
    <x:row r="45">
      <x:c r="A45" s="80" t="n">
        <x:v>44</x:v>
      </x:c>
      <x:c r="B45" s="80" t="str">
        <x:v>https://en.wikipedia.org/wiki/FR_Tower_fire</x:v>
      </x:c>
      <x:c r="C45" s="80" t="str">
        <x:v>主来源</x:v>
      </x:c>
      <x:c r="D45" s="80" t="str">
        <x:v>可访问(200)</x:v>
      </x:c>
      <x:c r="E45" s="80" t="n">
        <x:v>1</x:v>
      </x:c>
      <x:c r="F45" s="80" t="str">
        <x:v>B</x:v>
      </x:c>
      <x:c r="G45" s="80" t="str">
        <x:v>List of fires in high-rise buildings | Wikipedia dynamic high-rise list (candidate discovery)</x:v>
      </x:c>
      <x:c r="H45" s="83" t="n">
        <x:v>46260</x:v>
      </x:c>
    </x:row>
    <x:row r="46">
      <x:c r="A46" s="80" t="n">
        <x:v>45</x:v>
      </x:c>
      <x:c r="B46" s="80" t="str">
        <x:v>https://en.wikipedia.org/wiki/February_2019_Paris_fire</x:v>
      </x:c>
      <x:c r="C46" s="80" t="str">
        <x:v>主来源</x:v>
      </x:c>
      <x:c r="D46" s="80" t="str">
        <x:v>可访问(200)</x:v>
      </x:c>
      <x:c r="E46" s="80" t="n">
        <x:v>1</x:v>
      </x:c>
      <x:c r="F46" s="80" t="str">
        <x:v>B</x:v>
      </x:c>
      <x:c r="G46" s="80" t="str">
        <x:v>List of high-rise façade fires | Wikipedia high-rise façade list; derived from Bonner et al./news (candidate discovery)</x:v>
      </x:c>
      <x:c r="H46" s="83" t="n">
        <x:v>46260</x:v>
      </x:c>
    </x:row>
    <x:row r="47">
      <x:c r="A47" s="80" t="n">
        <x:v>46</x:v>
      </x:c>
      <x:c r="B47" s="80" t="str">
        <x:v>https://en.wikipedia.org/wiki/Grenfell_Tower_fire</x:v>
      </x:c>
      <x:c r="C47" s="80" t="str">
        <x:v>补充来源</x:v>
      </x:c>
      <x:c r="D47" s="80" t="str">
        <x:v>可访问(200)</x:v>
      </x:c>
      <x:c r="E47" s="80" t="n">
        <x:v>1</x:v>
      </x:c>
      <x:c r="F47" s="80" t="str">
        <x:v>A</x:v>
      </x:c>
      <x:c r="G47" s="80" t="str">
        <x:v>List of building or structure fires | List of fires in high-rise buildings | List of high-rise façade fires | Wikipedia high-rise façade list; derived from Bonner et al./news (candidate discovery) | 区域代理-欧洲非洲</x:v>
      </x:c>
      <x:c r="H47" s="83" t="n">
        <x:v>46260</x:v>
      </x:c>
    </x:row>
    <x:row r="48">
      <x:c r="A48" s="80" t="n">
        <x:v>47</x:v>
      </x:c>
      <x:c r="B48" s="80" t="str">
        <x:v>https://en.wikipedia.org/wiki/Guangzhou_Jianye_Building_Fire?action=edit&amp;redlink=1</x:v>
      </x:c>
      <x:c r="C48" s="80" t="str">
        <x:v>主来源</x:v>
      </x:c>
      <x:c r="D48" s="80" t="str">
        <x:v>HTTP错误(404)</x:v>
      </x:c>
      <x:c r="E48" s="80" t="n">
        <x:v>1</x:v>
      </x:c>
      <x:c r="F48" s="80" t="str">
        <x:v>B</x:v>
      </x:c>
      <x:c r="G48" s="80" t="str">
        <x:v>List of fires in high-rise buildings | Wikipedia dynamic high-rise list (candidate discovery)</x:v>
      </x:c>
      <x:c r="H48" s="83" t="n">
        <x:v>46260</x:v>
      </x:c>
    </x:row>
    <x:row r="49">
      <x:c r="A49" s="80" t="n">
        <x:v>48</x:v>
      </x:c>
      <x:c r="B49" s="80" t="str">
        <x:v>https://en.wikipedia.org/wiki/Harrow_Court_fire</x:v>
      </x:c>
      <x:c r="C49" s="80" t="str">
        <x:v>主来源</x:v>
      </x:c>
      <x:c r="D49" s="80" t="str">
        <x:v>可访问(200)</x:v>
      </x:c>
      <x:c r="E49" s="80" t="n">
        <x:v>1</x:v>
      </x:c>
      <x:c r="F49" s="80" t="str">
        <x:v>B</x:v>
      </x:c>
      <x:c r="G49" s="80" t="str">
        <x:v>List of fires in high-rise buildings | Wikipedia dynamic high-rise list (candidate discovery)</x:v>
      </x:c>
      <x:c r="H49" s="83" t="n">
        <x:v>46260</x:v>
      </x:c>
    </x:row>
    <x:row r="50">
      <x:c r="A50" s="80" t="n">
        <x:v>49</x:v>
      </x:c>
      <x:c r="B50" s="80" t="str">
        <x:v>https://en.wikipedia.org/wiki/Lakanal_House_fire</x:v>
      </x:c>
      <x:c r="C50" s="80" t="str">
        <x:v>主来源</x:v>
      </x:c>
      <x:c r="D50" s="80" t="str">
        <x:v>可访问(200)</x:v>
      </x:c>
      <x:c r="E50" s="80" t="n">
        <x:v>1</x:v>
      </x:c>
      <x:c r="F50" s="80" t="str">
        <x:v>C</x:v>
      </x:c>
      <x:c r="G50" s="80" t="str">
        <x:v>List of fires in high-rise buildings | List of high-rise façade fires | Wikipedia high-rise façade list; derived from Bonner et al./news (candidate discovery) | 区域代理-欧洲非洲</x:v>
      </x:c>
      <x:c r="H50" s="83" t="n">
        <x:v>46260</x:v>
      </x:c>
    </x:row>
    <x:row r="51">
      <x:c r="A51" s="80" t="n">
        <x:v>50</x:v>
      </x:c>
      <x:c r="B51" s="80" t="str">
        <x:v>https://en.wikipedia.org/wiki/List_of_fires_in_high-rise_buildings</x:v>
      </x:c>
      <x:c r="C51" s="80" t="str">
        <x:v>主来源</x:v>
      </x:c>
      <x:c r="D51" s="80" t="str">
        <x:v>可访问(200)</x:v>
      </x:c>
      <x:c r="E51" s="80" t="n">
        <x:v>104</x:v>
      </x:c>
      <x:c r="F51" s="80" t="str">
        <x:v>A | A1 | A2 | B | B1 | C</x:v>
      </x:c>
      <x:c r="G51" s="80" t="str">
        <x:v>List of building or structure fires | List of fires in high-rise buildings | List of high-rise façade fires | Wikipedia dynamic high-rise list (candidate discovery) | Wikipedia high-rise façade list; derived from Bonner et al./news (candidate discovery) | List of fires in high-rise buildings | List of high-rise façade fires | Wikipedia dynamic high-rise list (candidate discovery) | List of fires in high-rise buildings | List of high-rise façade fires | Wikipedia dynamic high-rise list (candidate discovery) | Wikipedia high-rise façade list; derived from Bonner et al./news (candidate discovery) | List of fires in high-rise buildings | List of high-rise façade fires | Wikipedia dynamic high-rise list (candidate discovery) | Wikipedia high-rise façade list; derived from Bonner et al./news (candidate discovery) | 区域代理-欧洲非洲 | List of fires in high-rise buildings | List of high-rise façade fires | Wikipedia dynamic high-rise list (candidate discovery) | Wikipedia high-rise façade list; derived from Bonner et al./news (candidate discovery) | 区域代理-美洲 | List of fires in high-rise buildings | List of high-rise façade fires | Wikipedia dynamic high-rise list (candidate discovery) | 区域代理-欧洲非洲 | List of fires in high-rise buildings | List of high-rise façade fires | Wikipedia high-rise façade list; derived from Bonner et al./news (candidate discovery) | List of fires in high-rise buildings | Wikipedia dynamic high-rise list (candidate discovery) | List of fires in high-rise buildings | Wikipedia dynamic high-rise list (candidate discovery) | 区域代理-美洲 | List of high-rise façade fires | Wikipedia dynamic high-rise list (candidate discovery) | Wikipedia high-rise façade list; derived from Bonner et al./news (candidate discovery) | List of high-rise façade fires | Wikipedia dynamic high-rise list (candidate discovery) | Wikipedia high-rise façade list; derived from Bonner et al./news (candidate discovery) | 区域代理-美洲 | Wikipedia dynamic high-rise list (candidate discovery)</x:v>
      </x:c>
      <x:c r="H51" s="83" t="n">
        <x:v>46260</x:v>
      </x:c>
    </x:row>
    <x:row r="52">
      <x:c r="A52" s="80" t="n">
        <x:v>51</x:v>
      </x:c>
      <x:c r="B52" s="80" t="str">
        <x:v>https://en.wikipedia.org/wiki/List_of_high-rise_fa%C3%A7ade_fires</x:v>
      </x:c>
      <x:c r="C52" s="80" t="str">
        <x:v>主来源</x:v>
      </x:c>
      <x:c r="D52" s="80" t="str">
        <x:v>可访问(200)</x:v>
      </x:c>
      <x:c r="E52" s="80" t="n">
        <x:v>65</x:v>
      </x:c>
      <x:c r="F52" s="80" t="str">
        <x:v>A | A2 | B | B1 | C</x:v>
      </x:c>
      <x:c r="G52" s="80" t="str">
        <x:v>List of building or structure fires | List of fires in high-rise buildings | List of high-rise façade fires | Wikipedia dynamic high-rise list (candidate discovery) | Wikipedia high-rise façade list; derived from Bonner et al./news (candidate discovery) | List of building or structure fires | List of fires in high-rise buildings | List of high-rise façade fires | Wikipedia high-rise façade list; derived from Bonner et al./news (candidate discovery) | 区域代理-欧洲非洲 | List of fires in high-rise buildings | List of high-rise façade fires | Wikipedia dynamic high-rise list (candidate discovery) | List of fires in high-rise buildings | List of high-rise façade fires | Wikipedia dynamic high-rise list (candidate discovery) | Wikipedia high-rise façade list; derived from Bonner et al./news (candidate discovery) | List of fires in high-rise buildings | List of high-rise façade fires | Wikipedia dynamic high-rise list (candidate discovery) | Wikipedia high-rise façade list; derived from Bonner et al./news (candidate discovery) | 区域代理-欧洲非洲 | List of fires in high-rise buildings | List of high-rise façade fires | Wikipedia dynamic high-rise list (candidate discovery) | Wikipedia high-rise façade list; derived from Bonner et al./news (candidate discovery) | 区域代理-美洲 | List of fires in high-rise buildings | List of high-rise façade fires | Wikipedia high-rise façade list; derived from Bonner et al./news (candidate discovery) | List of fires in high-rise buildings | List of high-rise façade fires | Wikipedia high-rise façade list; derived from Bonner et al./news (candidate discovery) | 区域代理-欧洲非洲 | List of high-rise façade fires | Wikipedia dynamic high-rise list (candidate discovery) | Wikipedia high-rise façade list; derived from Bonner et al./news (candidate discovery) | List of high-rise façade fires | Wikipedia dynamic high-rise list (candidate discovery) | Wikipedia high-rise façade list; derived from Bonner et al./news (candidate discovery) | 区域代理-美洲 | List of high-rise façade fires | Wikipedia high-rise façade list; derived from Bonner et al./news (candidate discovery) | List of high-rise façade fires | Wikipedia high-rise façade list; derived from Bonner et al./news (candidate discovery) | 区域代理-欧洲非洲 | 区域代理-欧洲非洲</x:v>
      </x:c>
      <x:c r="H52" s="83" t="n">
        <x:v>46260</x:v>
      </x:c>
    </x:row>
    <x:row r="53">
      <x:c r="A53" s="80" t="n">
        <x:v>52</x:v>
      </x:c>
      <x:c r="B53" s="80" t="str">
        <x:v>https://en.wikipedia.org/wiki/Marco_Polo_condo_fire</x:v>
      </x:c>
      <x:c r="C53" s="80" t="str">
        <x:v>主来源</x:v>
      </x:c>
      <x:c r="D53" s="80" t="str">
        <x:v>可访问(200)</x:v>
      </x:c>
      <x:c r="E53" s="80" t="n">
        <x:v>1</x:v>
      </x:c>
      <x:c r="F53" s="80" t="str">
        <x:v>B1</x:v>
      </x:c>
      <x:c r="G53" s="80" t="str">
        <x:v>List of fires in high-rise buildings | Wikipedia dynamic high-rise list (candidate discovery) | 区域代理-美洲</x:v>
      </x:c>
      <x:c r="H53" s="83" t="n">
        <x:v>46260</x:v>
      </x:c>
    </x:row>
    <x:row r="54">
      <x:c r="A54" s="80" t="n">
        <x:v>53</x:v>
      </x:c>
      <x:c r="B54" s="80" t="str">
        <x:v>https://en.wikipedia.org/wiki/Parque_Central_Complex_fire</x:v>
      </x:c>
      <x:c r="C54" s="80" t="str">
        <x:v>主来源</x:v>
      </x:c>
      <x:c r="D54" s="80" t="str">
        <x:v>可访问(200)</x:v>
      </x:c>
      <x:c r="E54" s="80" t="n">
        <x:v>1</x:v>
      </x:c>
      <x:c r="F54" s="80" t="str">
        <x:v>B1</x:v>
      </x:c>
      <x:c r="G54" s="80" t="str">
        <x:v>List of fires in high-rise buildings | List of high-rise façade fires | Wikipedia dynamic high-rise list (candidate discovery) | Wikipedia high-rise façade list; derived from Bonner et al./news (candidate discovery) | 区域代理-美洲</x:v>
      </x:c>
      <x:c r="H54" s="83" t="n">
        <x:v>46260</x:v>
      </x:c>
    </x:row>
    <x:row r="55">
      <x:c r="A55" s="80" t="n">
        <x:v>54</x:v>
      </x:c>
      <x:c r="B55" s="80" t="str">
        <x:v>https://en.wikipedia.org/wiki/Torre_Ejecutiva_Pemex_explosion</x:v>
      </x:c>
      <x:c r="C55" s="80" t="str">
        <x:v>补充来源</x:v>
      </x:c>
      <x:c r="D55" s="80" t="str">
        <x:v>可访问(200)</x:v>
      </x:c>
      <x:c r="E55" s="80" t="n">
        <x:v>1</x:v>
      </x:c>
      <x:c r="F55" s="80" t="str">
        <x:v>A2</x:v>
      </x:c>
      <x:c r="G55" s="80" t="str">
        <x:v>List of fires in high-rise buildings | Wikipedia dynamic high-rise list (candidate discovery) | 区域代理-美洲</x:v>
      </x:c>
      <x:c r="H55" s="83" t="n">
        <x:v>46260</x:v>
      </x:c>
    </x:row>
    <x:row r="56">
      <x:c r="A56" s="80" t="n">
        <x:v>55</x:v>
      </x:c>
      <x:c r="B56" s="80" t="str">
        <x:v>https://en.wikipedia.org/wiki/Torre_dei_Moro_fire?action=edit&amp;redlink=1</x:v>
      </x:c>
      <x:c r="C56" s="80" t="str">
        <x:v>补充来源</x:v>
      </x:c>
      <x:c r="D56" s="80" t="str">
        <x:v>HTTP错误(404)</x:v>
      </x:c>
      <x:c r="E56" s="80" t="n">
        <x:v>1</x:v>
      </x:c>
      <x:c r="F56" s="80" t="str">
        <x:v>B</x:v>
      </x:c>
      <x:c r="G56" s="80" t="str">
        <x:v>List of fires in high-rise buildings | List of high-rise façade fires | Wikipedia dynamic high-rise list (candidate discovery) | 区域代理-欧洲非洲</x:v>
      </x:c>
      <x:c r="H56" s="83" t="n">
        <x:v>46260</x:v>
      </x:c>
    </x:row>
    <x:row r="57">
      <x:c r="A57" s="80" t="n">
        <x:v>56</x:v>
      </x:c>
      <x:c r="B57" s="80" t="str">
        <x:v>https://en.wikipedia.org/wiki/Tuzla_retirement_home_fire</x:v>
      </x:c>
      <x:c r="C57" s="80" t="str">
        <x:v>主来源</x:v>
      </x:c>
      <x:c r="D57" s="80" t="str">
        <x:v>可访问(200)</x:v>
      </x:c>
      <x:c r="E57" s="80" t="n">
        <x:v>1</x:v>
      </x:c>
      <x:c r="F57" s="80" t="str">
        <x:v>B</x:v>
      </x:c>
      <x:c r="G57" s="80" t="str">
        <x:v>List of fires in high-rise buildings | Wikipedia dynamic high-rise list (candidate discovery)</x:v>
      </x:c>
      <x:c r="H57" s="83" t="n">
        <x:v>46260</x:v>
      </x:c>
    </x:row>
    <x:row r="58">
      <x:c r="A58" s="80" t="n">
        <x:v>57</x:v>
      </x:c>
      <x:c r="B58" s="80" t="str">
        <x:v>https://en.wikipedia.org/wiki/Ulsan_Samhwan_Art_Nouveau_Fire?action=edit&amp;redlink=1</x:v>
      </x:c>
      <x:c r="C58" s="80" t="str">
        <x:v>主来源</x:v>
      </x:c>
      <x:c r="D58" s="80" t="str">
        <x:v>HTTP错误(404)</x:v>
      </x:c>
      <x:c r="E58" s="80" t="n">
        <x:v>1</x:v>
      </x:c>
      <x:c r="F58" s="80" t="str">
        <x:v>B</x:v>
      </x:c>
      <x:c r="G58" s="80" t="str">
        <x:v>List of fires in high-rise buildings | Wikipedia dynamic high-rise list (candidate discovery)</x:v>
      </x:c>
      <x:c r="H58" s="83" t="n">
        <x:v>46260</x:v>
      </x:c>
    </x:row>
    <x:row r="59">
      <x:c r="A59" s="80" t="n">
        <x:v>58</x:v>
      </x:c>
      <x:c r="B59" s="80" t="str">
        <x:v>https://en.wikipedia.org/wiki/Wang_Fuk_Court_fire</x:v>
      </x:c>
      <x:c r="C59" s="80" t="str">
        <x:v>主来源</x:v>
      </x:c>
      <x:c r="D59" s="80" t="str">
        <x:v>可访问(200)</x:v>
      </x:c>
      <x:c r="E59" s="80" t="n">
        <x:v>1</x:v>
      </x:c>
      <x:c r="F59" s="80" t="str">
        <x:v>B</x:v>
      </x:c>
      <x:c r="G59" s="80" t="str">
        <x:v>List of fires in high-rise buildings | List of high-rise façade fires | Wikipedia high-rise façade list; derived from Bonner et al./news (candidate discovery)</x:v>
      </x:c>
      <x:c r="H59" s="83" t="n">
        <x:v>46260</x:v>
      </x:c>
    </x:row>
    <x:row r="60">
      <x:c r="A60" s="80" t="n">
        <x:v>59</x:v>
      </x:c>
      <x:c r="B60" s="80" t="str">
        <x:v>https://en.wikipedia.org/wiki/Windsor_Tower_(Madrid)</x:v>
      </x:c>
      <x:c r="C60" s="80" t="str">
        <x:v>主来源</x:v>
      </x:c>
      <x:c r="D60" s="80" t="str">
        <x:v>可访问(200)</x:v>
      </x:c>
      <x:c r="E60" s="80" t="n">
        <x:v>1</x:v>
      </x:c>
      <x:c r="F60" s="80" t="str">
        <x:v>C</x:v>
      </x:c>
      <x:c r="G60" s="80" t="str">
        <x:v>List of fires in high-rise buildings | List of high-rise façade fires | Wikipedia dynamic high-rise list (candidate discovery) | Wikipedia high-rise façade list; derived from Bonner et al./news (candidate discovery) | 区域代理-欧洲非洲</x:v>
      </x:c>
      <x:c r="H60" s="83" t="n">
        <x:v>46260</x:v>
      </x:c>
    </x:row>
    <x:row r="61">
      <x:c r="A61" s="80" t="n">
        <x:v>60</x:v>
      </x:c>
      <x:c r="B61" s="80" t="str">
        <x:v>https://en.wikipedia.org/wiki/Wooshin_Golden_Suites_fire</x:v>
      </x:c>
      <x:c r="C61" s="80" t="str">
        <x:v>主来源</x:v>
      </x:c>
      <x:c r="D61" s="80" t="str">
        <x:v>可访问(200)</x:v>
      </x:c>
      <x:c r="E61" s="80" t="n">
        <x:v>1</x:v>
      </x:c>
      <x:c r="F61" s="80" t="str">
        <x:v>B</x:v>
      </x:c>
      <x:c r="G61" s="80" t="str">
        <x:v>List of fires in high-rise buildings | List of high-rise façade fires | Wikipedia dynamic high-rise list (candidate discovery)</x:v>
      </x:c>
      <x:c r="H61" s="83" t="n">
        <x:v>46260</x:v>
      </x:c>
    </x:row>
    <x:row r="62">
      <x:c r="A62" s="80" t="n">
        <x:v>61</x:v>
      </x:c>
      <x:c r="B62" s="80" t="str">
        <x:v>https://english.alarabiya.net/News/gulf/2024/04/06/sharjah-building-fire-leaves-5-dead-dozens-hospitalized</x:v>
      </x:c>
      <x:c r="C62" s="80" t="str">
        <x:v>主来源</x:v>
      </x:c>
      <x:c r="D62" s="80" t="str">
        <x:v>受限(403)</x:v>
      </x:c>
      <x:c r="E62" s="80" t="n">
        <x:v>1</x:v>
      </x:c>
      <x:c r="F62" s="80" t="str">
        <x:v>C</x:v>
      </x:c>
      <x:c r="G62" s="80" t="str">
        <x:v>List of building or structure fires</x:v>
      </x:c>
      <x:c r="H62" s="83" t="n">
        <x:v>46260</x:v>
      </x:c>
    </x:row>
    <x:row r="63">
      <x:c r="A63" s="80" t="n">
        <x:v>62</x:v>
      </x:c>
      <x:c r="B63" s="80" t="str">
        <x:v>https://english.news.cn/europe/20240918/4f5f1d3157c342bba3a376dc712960fe/c.html</x:v>
      </x:c>
      <x:c r="C63" s="80" t="str">
        <x:v>主来源</x:v>
      </x:c>
      <x:c r="D63" s="80" t="str">
        <x:v>可访问(200)</x:v>
      </x:c>
      <x:c r="E63" s="80" t="n">
        <x:v>1</x:v>
      </x:c>
      <x:c r="F63" s="80" t="str">
        <x:v>C</x:v>
      </x:c>
      <x:c r="G63" s="80" t="str">
        <x:v>List of fires in high-rise buildings | List of high-rise façade fires | Wikipedia dynamic high-rise list (candidate discovery) | Wikipedia high-rise façade list; derived from Bonner et al./news (candidate discovery)</x:v>
      </x:c>
      <x:c r="H63" s="83" t="n">
        <x:v>46260</x:v>
      </x:c>
    </x:row>
    <x:row r="64">
      <x:c r="A64" s="80" t="n">
        <x:v>63</x:v>
      </x:c>
      <x:c r="B64" s="80" t="str">
        <x:v>https://gulfnews.com/uae/dubai-marina-tower-fire-civil-defence-saves-3820-lives-in-heroic-rescue-1.500163499</x:v>
      </x:c>
      <x:c r="C64" s="80" t="str">
        <x:v>主来源</x:v>
      </x:c>
      <x:c r="D64" s="80" t="str">
        <x:v>可访问(200)</x:v>
      </x:c>
      <x:c r="E64" s="80" t="n">
        <x:v>1</x:v>
      </x:c>
      <x:c r="F64" s="80" t="str">
        <x:v>C</x:v>
      </x:c>
      <x:c r="G64" s="80" t="str">
        <x:v>List of fires in high-rise buildings | Wikipedia dynamic high-rise list (candidate discovery)</x:v>
      </x:c>
      <x:c r="H64" s="83" t="n">
        <x:v>46260</x:v>
      </x:c>
    </x:row>
    <x:row r="65">
      <x:c r="A65" s="80" t="n">
        <x:v>64</x:v>
      </x:c>
      <x:c r="B65" s="80" t="str">
        <x:v>https://gulfnews.com/uae/sharjah-fire-probable-cause-found-150-buildings-to-have-cladding-changed-1.71423621</x:v>
      </x:c>
      <x:c r="C65" s="80" t="str">
        <x:v>主来源</x:v>
      </x:c>
      <x:c r="D65" s="80" t="str">
        <x:v>可访问(200)</x:v>
      </x:c>
      <x:c r="E65" s="80" t="n">
        <x:v>1</x:v>
      </x:c>
      <x:c r="F65" s="80" t="str">
        <x:v>C</x:v>
      </x:c>
      <x:c r="G65" s="80" t="str">
        <x:v>List of fires in high-rise buildings | List of high-rise façade fires | Wikipedia high-rise façade list; derived from Bonner et al./news (candidate discovery)</x:v>
      </x:c>
      <x:c r="H65" s="83" t="n">
        <x:v>46260</x:v>
      </x:c>
    </x:row>
    <x:row r="66">
      <x:c r="A66" s="80" t="n">
        <x:v>65</x:v>
      </x:c>
      <x:c r="B66" s="80" t="str">
        <x:v>https://gulfnews.com/uae/sharjah-fire-tenants-move-into-tower-a-1.1938866</x:v>
      </x:c>
      <x:c r="C66" s="80" t="str">
        <x:v>主来源</x:v>
      </x:c>
      <x:c r="D66" s="80" t="str">
        <x:v>可访问(200)</x:v>
      </x:c>
      <x:c r="E66" s="80" t="n">
        <x:v>1</x:v>
      </x:c>
      <x:c r="F66" s="80" t="str">
        <x:v>C</x:v>
      </x:c>
      <x:c r="G66" s="80" t="str">
        <x:v>List of high-rise façade fires | Wikipedia high-rise façade list; derived from Bonner et al./news (candidate discovery)</x:v>
      </x:c>
      <x:c r="H66" s="83" t="n">
        <x:v>46260</x:v>
      </x:c>
    </x:row>
    <x:row r="67">
      <x:c r="A67" s="80" t="n">
        <x:v>66</x:v>
      </x:c>
      <x:c r="B67" s="80" t="str">
        <x:v>https://gulfnews.com/uae/tossed-lighted-cigarette-caused-fire-in-al-baker-tower-1.1012778</x:v>
      </x:c>
      <x:c r="C67" s="80" t="str">
        <x:v>主来源</x:v>
      </x:c>
      <x:c r="D67" s="80" t="str">
        <x:v>可访问(200)</x:v>
      </x:c>
      <x:c r="E67" s="80" t="n">
        <x:v>1</x:v>
      </x:c>
      <x:c r="F67" s="80" t="str">
        <x:v>C</x:v>
      </x:c>
      <x:c r="G67" s="80" t="str">
        <x:v>List of high-rise façade fires | Wikipedia high-rise façade list; derived from Bonner et al./news (candidate discovery)</x:v>
      </x:c>
      <x:c r="H67" s="83" t="n">
        <x:v>46260</x:v>
      </x:c>
    </x:row>
    <x:row r="68">
      <x:c r="A68" s="80" t="n">
        <x:v>67</x:v>
      </x:c>
      <x:c r="B68" s="80" t="str">
        <x:v>https://highrisefire.co.uk/cstelstar.html</x:v>
      </x:c>
      <x:c r="C68" s="80" t="str">
        <x:v>主来源</x:v>
      </x:c>
      <x:c r="D68" s="80" t="str">
        <x:v>可访问(200)</x:v>
      </x:c>
      <x:c r="E68" s="80" t="n">
        <x:v>1</x:v>
      </x:c>
      <x:c r="F68" s="80" t="str">
        <x:v>B</x:v>
      </x:c>
      <x:c r="G68" s="80" t="str">
        <x:v>List of high-rise façade fires | Wikipedia high-rise façade list; derived from Bonner et al./news (candidate discovery) | 区域代理-欧洲非洲</x:v>
      </x:c>
      <x:c r="H68" s="83" t="n">
        <x:v>46260</x:v>
      </x:c>
    </x:row>
    <x:row r="69">
      <x:c r="A69" s="80" t="n">
        <x:v>68</x:v>
      </x:c>
      <x:c r="B69" s="80" t="str">
        <x:v>https://iol.co.za/news/south-africa/2003-03-05-joburg-fire-victims-leap-to-their-death/</x:v>
      </x:c>
      <x:c r="C69" s="80" t="str">
        <x:v>主来源</x:v>
      </x:c>
      <x:c r="D69" s="80" t="str">
        <x:v>可访问(200)</x:v>
      </x:c>
      <x:c r="E69" s="80" t="n">
        <x:v>1</x:v>
      </x:c>
      <x:c r="F69" s="80" t="str">
        <x:v>B</x:v>
      </x:c>
      <x:c r="G69" s="80" t="str">
        <x:v>区域代理-欧洲非洲</x:v>
      </x:c>
      <x:c r="H69" s="83" t="n">
        <x:v>46260</x:v>
      </x:c>
    </x:row>
    <x:row r="70">
      <x:c r="A70" s="80" t="n">
        <x:v>69</x:v>
      </x:c>
      <x:c r="B70" s="80" t="str">
        <x:v>https://m.youtube.com/watch?v=8R1dmAakaUc</x:v>
      </x:c>
      <x:c r="C70" s="80" t="str">
        <x:v>主来源</x:v>
      </x:c>
      <x:c r="D70" s="80" t="str">
        <x:v>可访问(200)</x:v>
      </x:c>
      <x:c r="E70" s="80" t="n">
        <x:v>2</x:v>
      </x:c>
      <x:c r="F70" s="80" t="str">
        <x:v>C</x:v>
      </x:c>
      <x:c r="G70" s="80" t="str">
        <x:v>List of fires in high-rise buildings | Wikipedia dynamic high-rise list (candidate discovery) | List of high-rise façade fires | Wikipedia high-rise façade list; derived from Bonner et al./news (candidate discovery) | 区域代理-欧洲非洲</x:v>
      </x:c>
      <x:c r="H70" s="83" t="n">
        <x:v>46260</x:v>
      </x:c>
    </x:row>
    <x:row r="71">
      <x:c r="A71" s="80" t="n">
        <x:v>70</x:v>
      </x:c>
      <x:c r="B71" s="80" t="str">
        <x:v>https://news.bbc.co.uk/2/hi/americas/3751790.stm</x:v>
      </x:c>
      <x:c r="C71" s="80" t="str">
        <x:v>补充来源</x:v>
      </x:c>
      <x:c r="D71" s="80" t="str">
        <x:v>可访问(200)</x:v>
      </x:c>
      <x:c r="E71" s="80" t="n">
        <x:v>1</x:v>
      </x:c>
      <x:c r="F71" s="80" t="str">
        <x:v>B1</x:v>
      </x:c>
      <x:c r="G71" s="80" t="str">
        <x:v>List of fires in high-rise buildings | List of high-rise façade fires | Wikipedia dynamic high-rise list (candidate discovery) | Wikipedia high-rise façade list; derived from Bonner et al./news (candidate discovery) | 区域代理-美洲</x:v>
      </x:c>
      <x:c r="H71" s="83" t="n">
        <x:v>46260</x:v>
      </x:c>
    </x:row>
    <x:row r="72">
      <x:c r="A72" s="80" t="n">
        <x:v>71</x:v>
      </x:c>
      <x:c r="B72" s="80" t="str">
        <x:v>https://news.sina.com.cn/o/2019-05-29/doc-ihvhiqay2320153.shtml</x:v>
      </x:c>
      <x:c r="C72" s="80" t="str">
        <x:v>主来源</x:v>
      </x:c>
      <x:c r="D72" s="80" t="str">
        <x:v>可访问(200)</x:v>
      </x:c>
      <x:c r="E72" s="80" t="n">
        <x:v>1</x:v>
      </x:c>
      <x:c r="F72" s="80" t="str">
        <x:v>C</x:v>
      </x:c>
      <x:c r="G72" s="80" t="str">
        <x:v>List of high-rise façade fires | Wikipedia high-rise façade list; derived from Bonner et al./news (candidate discovery)</x:v>
      </x:c>
      <x:c r="H72" s="83" t="n">
        <x:v>46260</x:v>
      </x:c>
    </x:row>
    <x:row r="73">
      <x:c r="A73" s="80" t="n">
        <x:v>72</x:v>
      </x:c>
      <x:c r="B73" s="80" t="str">
        <x:v>https://news.sky.com/story/fire-tears-through-istanbul-tower-block-10475629</x:v>
      </x:c>
      <x:c r="C73" s="80" t="str">
        <x:v>补充来源</x:v>
      </x:c>
      <x:c r="D73" s="80" t="str">
        <x:v>可访问(200)</x:v>
      </x:c>
      <x:c r="E73" s="80" t="n">
        <x:v>1</x:v>
      </x:c>
      <x:c r="F73" s="80" t="str">
        <x:v>C</x:v>
      </x:c>
      <x:c r="G73" s="80" t="str">
        <x:v>List of fires in high-rise buildings | List of high-rise façade fires | Wikipedia dynamic high-rise list (candidate discovery) | Wikipedia high-rise façade list; derived from Bonner et al./news (candidate discovery)</x:v>
      </x:c>
      <x:c r="H73" s="83" t="n">
        <x:v>46260</x:v>
      </x:c>
    </x:row>
    <x:row r="74">
      <x:c r="A74" s="80" t="n">
        <x:v>73</x:v>
      </x:c>
      <x:c r="B74" s="80" t="str">
        <x:v>https://people.fsv.cvut.cz/~wald/fire/ifer/WP3/Fire%20brigade%20reports_sm.pdf</x:v>
      </x:c>
      <x:c r="C74" s="80" t="str">
        <x:v>主来源</x:v>
      </x:c>
      <x:c r="D74" s="80" t="str">
        <x:v>HTTP错误(404)</x:v>
      </x:c>
      <x:c r="E74" s="80" t="n">
        <x:v>1</x:v>
      </x:c>
      <x:c r="F74" s="80" t="str">
        <x:v>A</x:v>
      </x:c>
      <x:c r="G74" s="80" t="str">
        <x:v>List of high-rise façade fires | Wikipedia high-rise façade list; derived from Bonner et al./news (candidate discovery) | 区域代理-欧洲非洲</x:v>
      </x:c>
      <x:c r="H74" s="83" t="n">
        <x:v>46260</x:v>
      </x:c>
    </x:row>
    <x:row r="75">
      <x:c r="A75" s="80" t="n">
        <x:v>74</x:v>
      </x:c>
      <x:c r="B75" s="80" t="str">
        <x:v>https://thepawprintdaa.com/2015/10/08/major-fire-in-sharjah-residential-tower/</x:v>
      </x:c>
      <x:c r="C75" s="80" t="str">
        <x:v>主来源</x:v>
      </x:c>
      <x:c r="D75" s="80" t="str">
        <x:v>访问失败(URLError)</x:v>
      </x:c>
      <x:c r="E75" s="80" t="n">
        <x:v>1</x:v>
      </x:c>
      <x:c r="F75" s="80" t="str">
        <x:v>C</x:v>
      </x:c>
      <x:c r="G75" s="80" t="str">
        <x:v>List of fires in high-rise buildings | List of high-rise façade fires | Wikipedia dynamic high-rise list (candidate discovery) | Wikipedia high-rise façade list; derived from Bonner et al./news (candidate discovery)</x:v>
      </x:c>
      <x:c r="H75" s="83" t="n">
        <x:v>46260</x:v>
      </x:c>
    </x:row>
    <x:row r="76">
      <x:c r="A76" s="80" t="n">
        <x:v>75</x:v>
      </x:c>
      <x:c r="B76" s="80" t="str">
        <x:v>https://tvn24.pl/tvnwarszawa/najnowsze/spalona-elewacja-zniszczone-okna-od-parteru-az-po-sam-dach-652130</x:v>
      </x:c>
      <x:c r="C76" s="80" t="str">
        <x:v>主来源</x:v>
      </x:c>
      <x:c r="D76" s="80" t="str">
        <x:v>受限(403)</x:v>
      </x:c>
      <x:c r="E76" s="80" t="n">
        <x:v>1</x:v>
      </x:c>
      <x:c r="F76" s="80" t="str">
        <x:v>C</x:v>
      </x:c>
      <x:c r="G76" s="80" t="str">
        <x:v>List of high-rise façade fires | Wikipedia high-rise façade list; derived from Bonner et al./news (candidate discovery)</x:v>
      </x:c>
      <x:c r="H76" s="83" t="n">
        <x:v>46260</x:v>
      </x:c>
    </x:row>
    <x:row r="77">
      <x:c r="A77" s="80" t="n">
        <x:v>76</x:v>
      </x:c>
      <x:c r="B77" s="80" t="str">
        <x:v>https://web.archive.org/web/20120120203454/http://thestar.com.my/news/story.asp?file=%2F2012%2F1%2F19%2Fnation%2F10287478&amp;sec=nation</x:v>
      </x:c>
      <x:c r="C77" s="80" t="str">
        <x:v>主来源</x:v>
      </x:c>
      <x:c r="D77" s="80" t="str">
        <x:v>访问失败(URLError)</x:v>
      </x:c>
      <x:c r="E77" s="80" t="n">
        <x:v>1</x:v>
      </x:c>
      <x:c r="F77" s="80" t="str">
        <x:v>C</x:v>
      </x:c>
      <x:c r="G77" s="80" t="str">
        <x:v>List of fires in high-rise buildings | Wikipedia dynamic high-rise list (candidate discovery)</x:v>
      </x:c>
      <x:c r="H77" s="83" t="n">
        <x:v>46260</x:v>
      </x:c>
    </x:row>
    <x:row r="78">
      <x:c r="A78" s="80" t="n">
        <x:v>77</x:v>
      </x:c>
      <x:c r="B78" s="80" t="str">
        <x:v>https://web.archive.org/web/20121006223821/http://www.khaleejtimes.com/kt-article-display-1.asp?xfile=data%2Fnationgeneral%2F2012%2Fapril%2Fnationgeneral_april207.xml&amp;section=nationgeneral</x:v>
      </x:c>
      <x:c r="C78" s="80" t="str">
        <x:v>补充来源</x:v>
      </x:c>
      <x:c r="D78" s="80" t="str">
        <x:v>访问失败(URLError)</x:v>
      </x:c>
      <x:c r="E78" s="80" t="n">
        <x:v>1</x:v>
      </x:c>
      <x:c r="F78" s="80" t="str">
        <x:v>C</x:v>
      </x:c>
      <x:c r="G78" s="80" t="str">
        <x:v>List of fires in high-rise buildings | List of high-rise façade fires | Wikipedia high-rise façade list; derived from Bonner et al./news (candidate discovery)</x:v>
      </x:c>
      <x:c r="H78" s="83" t="n">
        <x:v>46260</x:v>
      </x:c>
    </x:row>
    <x:row r="79">
      <x:c r="A79" s="80" t="n">
        <x:v>78</x:v>
      </x:c>
      <x:c r="B79" s="80" t="str">
        <x:v>https://www.arabianbusiness.com/culture-society/emaar-tower-fire-no-injuries-or-casualties-occurred-residents-hope-to-return-to-homes-soon</x:v>
      </x:c>
      <x:c r="C79" s="80" t="str">
        <x:v>补充来源</x:v>
      </x:c>
      <x:c r="D79" s="80" t="str">
        <x:v>HTTP错误(405)</x:v>
      </x:c>
      <x:c r="E79" s="80" t="n">
        <x:v>1</x:v>
      </x:c>
      <x:c r="F79" s="80" t="str">
        <x:v>C</x:v>
      </x:c>
      <x:c r="G79" s="80" t="str">
        <x:v>List of fires in high-rise buildings | List of high-rise façade fires | Wikipedia dynamic high-rise list (candidate discovery) | Wikipedia high-rise façade list; derived from Bonner et al./news (candidate discovery)</x:v>
      </x:c>
      <x:c r="H79" s="83" t="n">
        <x:v>46260</x:v>
      </x:c>
    </x:row>
    <x:row r="80">
      <x:c r="A80" s="80" t="n">
        <x:v>79</x:v>
      </x:c>
      <x:c r="B80" s="80" t="str">
        <x:v>https://www.bbc.co.uk/news/world-asia-china-59663826</x:v>
      </x:c>
      <x:c r="C80" s="80" t="str">
        <x:v>主来源</x:v>
      </x:c>
      <x:c r="D80" s="80" t="str">
        <x:v>可访问(200)</x:v>
      </x:c>
      <x:c r="E80" s="80" t="n">
        <x:v>1</x:v>
      </x:c>
      <x:c r="F80" s="80" t="str">
        <x:v>C</x:v>
      </x:c>
      <x:c r="G80" s="80" t="str">
        <x:v>List of fires in high-rise buildings | Wikipedia dynamic high-rise list (candidate discovery)</x:v>
      </x:c>
      <x:c r="H80" s="83" t="n">
        <x:v>46260</x:v>
      </x:c>
    </x:row>
    <x:row r="81">
      <x:c r="A81" s="80" t="n">
        <x:v>80</x:v>
      </x:c>
      <x:c r="B81" s="80" t="str">
        <x:v>https://www.bbc.co.uk/news/world-europe-18867266</x:v>
      </x:c>
      <x:c r="C81" s="80" t="str">
        <x:v>主来源</x:v>
      </x:c>
      <x:c r="D81" s="80" t="str">
        <x:v>可访问(200)</x:v>
      </x:c>
      <x:c r="E81" s="80" t="n">
        <x:v>1</x:v>
      </x:c>
      <x:c r="F81" s="80" t="str">
        <x:v>C</x:v>
      </x:c>
      <x:c r="G81" s="80" t="str">
        <x:v>List of fires in high-rise buildings | List of high-rise façade fires | Wikipedia dynamic high-rise list (candidate discovery) | Wikipedia high-rise façade list; derived from Bonner et al./news (candidate discovery)</x:v>
      </x:c>
      <x:c r="H81" s="83" t="n">
        <x:v>46260</x:v>
      </x:c>
    </x:row>
    <x:row r="82">
      <x:c r="A82" s="80" t="n">
        <x:v>81</x:v>
      </x:c>
      <x:c r="B82" s="80" t="str">
        <x:v>https://www.bbc.co.uk/news/world-middle-east-38675628</x:v>
      </x:c>
      <x:c r="C82" s="80" t="str">
        <x:v>主来源</x:v>
      </x:c>
      <x:c r="D82" s="80" t="str">
        <x:v>可访问(200)</x:v>
      </x:c>
      <x:c r="E82" s="80" t="n">
        <x:v>1</x:v>
      </x:c>
      <x:c r="F82" s="80" t="str">
        <x:v>C</x:v>
      </x:c>
      <x:c r="G82" s="80" t="str">
        <x:v>List of fires in high-rise buildings | Wikipedia dynamic high-rise list (candidate discovery)</x:v>
      </x:c>
      <x:c r="H82" s="83" t="n">
        <x:v>46260</x:v>
      </x:c>
    </x:row>
    <x:row r="83">
      <x:c r="A83" s="80" t="n">
        <x:v>82</x:v>
      </x:c>
      <x:c r="B83" s="80" t="str">
        <x:v>https://www.bbc.com/news/world-asia-54470378</x:v>
      </x:c>
      <x:c r="C83" s="80" t="str">
        <x:v>主来源</x:v>
      </x:c>
      <x:c r="D83" s="80" t="str">
        <x:v>可访问(200)</x:v>
      </x:c>
      <x:c r="E83" s="80" t="n">
        <x:v>1</x:v>
      </x:c>
      <x:c r="F83" s="80" t="str">
        <x:v>C</x:v>
      </x:c>
      <x:c r="G83" s="80" t="str">
        <x:v>List of high-rise façade fires | Wikipedia high-rise façade list; derived from Bonner et al./news (candidate discovery)</x:v>
      </x:c>
      <x:c r="H83" s="83" t="n">
        <x:v>46260</x:v>
      </x:c>
    </x:row>
    <x:row r="84">
      <x:c r="A84" s="80" t="n">
        <x:v>83</x:v>
      </x:c>
      <x:c r="B84" s="80" t="str">
        <x:v>https://www.bbc.com/news/world-middle-east-35207451</x:v>
      </x:c>
      <x:c r="C84" s="80" t="str">
        <x:v>补充来源</x:v>
      </x:c>
      <x:c r="D84" s="80" t="str">
        <x:v>可访问(200)</x:v>
      </x:c>
      <x:c r="E84" s="80" t="n">
        <x:v>1</x:v>
      </x:c>
      <x:c r="F84" s="80" t="str">
        <x:v>C</x:v>
      </x:c>
      <x:c r="G84" s="80" t="str">
        <x:v>List of fires in high-rise buildings | List of high-rise façade fires | Wikipedia dynamic high-rise list (candidate discovery) | Wikipedia high-rise façade list; derived from Bonner et al./news (candidate discovery)</x:v>
      </x:c>
      <x:c r="H84" s="83" t="n">
        <x:v>46260</x:v>
      </x:c>
    </x:row>
    <x:row r="85">
      <x:c r="A85" s="80" t="n">
        <x:v>84</x:v>
      </x:c>
      <x:c r="B85" s="80" t="str">
        <x:v>https://www.bbc.com/news/world-middle-east-35913988</x:v>
      </x:c>
      <x:c r="C85" s="80" t="str">
        <x:v>主来源</x:v>
      </x:c>
      <x:c r="D85" s="80" t="str">
        <x:v>可访问(200)</x:v>
      </x:c>
      <x:c r="E85" s="80" t="n">
        <x:v>1</x:v>
      </x:c>
      <x:c r="F85" s="80" t="str">
        <x:v>C</x:v>
      </x:c>
      <x:c r="G85" s="80" t="str">
        <x:v>List of high-rise façade fires | Wikipedia high-rise façade list; derived from Bonner et al./news (candidate discovery)</x:v>
      </x:c>
      <x:c r="H85" s="83" t="n">
        <x:v>46260</x:v>
      </x:c>
    </x:row>
    <x:row r="86">
      <x:c r="A86" s="80" t="n">
        <x:v>85</x:v>
      </x:c>
      <x:c r="B86" s="80" t="str">
        <x:v>https://www.bbc.com/news/world-middle-east-36848521</x:v>
      </x:c>
      <x:c r="C86" s="80" t="str">
        <x:v>主来源</x:v>
      </x:c>
      <x:c r="D86" s="80" t="str">
        <x:v>可访问(200)</x:v>
      </x:c>
      <x:c r="E86" s="80" t="n">
        <x:v>1</x:v>
      </x:c>
      <x:c r="F86" s="80" t="str">
        <x:v>C</x:v>
      </x:c>
      <x:c r="G86" s="80" t="str">
        <x:v>List of fires in high-rise buildings | List of high-rise façade fires | Wikipedia dynamic high-rise list (candidate discovery)</x:v>
      </x:c>
      <x:c r="H86" s="83" t="n">
        <x:v>46260</x:v>
      </x:c>
    </x:row>
    <x:row r="87">
      <x:c r="A87" s="80" t="n">
        <x:v>86</x:v>
      </x:c>
      <x:c r="B87" s="80" t="str">
        <x:v>https://www.bbc.com/news/world-middle-east-40822269</x:v>
      </x:c>
      <x:c r="C87" s="80" t="str">
        <x:v>主来源</x:v>
      </x:c>
      <x:c r="D87" s="80" t="str">
        <x:v>可访问(200)</x:v>
      </x:c>
      <x:c r="E87" s="80" t="n">
        <x:v>1</x:v>
      </x:c>
      <x:c r="F87" s="80" t="str">
        <x:v>C</x:v>
      </x:c>
      <x:c r="G87" s="80" t="str">
        <x:v>List of fires in high-rise buildings | List of high-rise façade fires | Wikipedia high-rise façade list; derived from Bonner et al./news (candidate discovery)</x:v>
      </x:c>
      <x:c r="H87" s="83" t="n">
        <x:v>46260</x:v>
      </x:c>
    </x:row>
    <x:row r="88">
      <x:c r="A88" s="80" t="n">
        <x:v>87</x:v>
      </x:c>
      <x:c r="B88" s="80" t="str">
        <x:v>https://www.bbc.com/news/world-middle-east-52553429</x:v>
      </x:c>
      <x:c r="C88" s="80" t="str">
        <x:v>补充来源</x:v>
      </x:c>
      <x:c r="D88" s="80" t="str">
        <x:v>可访问(200)</x:v>
      </x:c>
      <x:c r="E88" s="80" t="n">
        <x:v>1</x:v>
      </x:c>
      <x:c r="F88" s="80" t="str">
        <x:v>C</x:v>
      </x:c>
      <x:c r="G88" s="80" t="str">
        <x:v>List of fires in high-rise buildings | List of high-rise façade fires | Wikipedia high-rise façade list; derived from Bonner et al./news (candidate discovery)</x:v>
      </x:c>
      <x:c r="H88" s="83" t="n">
        <x:v>46260</x:v>
      </x:c>
    </x:row>
    <x:row r="89">
      <x:c r="A89" s="80" t="n">
        <x:v>88</x:v>
      </x:c>
      <x:c r="B89" s="80" t="str">
        <x:v>https://www.bfmtv.com/paris/paris-un-mort-et-quatre-blesses-dans-un-incendie-quartier-olympiades_AN-202108130293.html</x:v>
      </x:c>
      <x:c r="C89" s="80" t="str">
        <x:v>主来源</x:v>
      </x:c>
      <x:c r="D89" s="80" t="str">
        <x:v>可访问(200)</x:v>
      </x:c>
      <x:c r="E89" s="80" t="n">
        <x:v>1</x:v>
      </x:c>
      <x:c r="F89" s="80" t="str">
        <x:v>C</x:v>
      </x:c>
      <x:c r="G89" s="80" t="str">
        <x:v>List of fires in high-rise buildings | Wikipedia dynamic high-rise list (candidate discovery)</x:v>
      </x:c>
      <x:c r="H89" s="83" t="n">
        <x:v>46260</x:v>
      </x:c>
    </x:row>
    <x:row r="90">
      <x:c r="A90" s="80" t="n">
        <x:v>89</x:v>
      </x:c>
      <x:c r="B90" s="80" t="str">
        <x:v>https://www.cbsnews.com/chicago/news/john-hancock-center-parking-garage-car-fire/</x:v>
      </x:c>
      <x:c r="C90" s="80" t="str">
        <x:v>主来源</x:v>
      </x:c>
      <x:c r="D90" s="80" t="str">
        <x:v>可访问(200)</x:v>
      </x:c>
      <x:c r="E90" s="80" t="n">
        <x:v>1</x:v>
      </x:c>
      <x:c r="F90" s="80" t="str">
        <x:v>B1</x:v>
      </x:c>
      <x:c r="G90" s="80" t="str">
        <x:v>区域代理-美洲</x:v>
      </x:c>
      <x:c r="H90" s="83" t="n">
        <x:v>46260</x:v>
      </x:c>
    </x:row>
    <x:row r="91">
      <x:c r="A91" s="80" t="n">
        <x:v>90</x:v>
      </x:c>
      <x:c r="B91" s="80" t="str">
        <x:v>https://www.cbsnews.com/news/37-hurt-in-chicago-skyscraper-fire/</x:v>
      </x:c>
      <x:c r="C91" s="80" t="str">
        <x:v>主来源</x:v>
      </x:c>
      <x:c r="D91" s="80" t="str">
        <x:v>可访问(200)</x:v>
      </x:c>
      <x:c r="E91" s="80" t="n">
        <x:v>1</x:v>
      </x:c>
      <x:c r="F91" s="80" t="str">
        <x:v>B1</x:v>
      </x:c>
      <x:c r="G91" s="80" t="str">
        <x:v>List of fires in high-rise buildings | Wikipedia dynamic high-rise list (candidate discovery) | 区域代理-美洲</x:v>
      </x:c>
      <x:c r="H91" s="83" t="n">
        <x:v>46260</x:v>
      </x:c>
    </x:row>
    <x:row r="92">
      <x:c r="A92" s="80" t="n">
        <x:v>91</x:v>
      </x:c>
      <x:c r="B92" s="80" t="str">
        <x:v>https://www.cbsnews.com/news/at-least-five-killed-in-blaze-at-senior-apartments-in-san-antonio/</x:v>
      </x:c>
      <x:c r="C92" s="80" t="str">
        <x:v>补充来源</x:v>
      </x:c>
      <x:c r="D92" s="80" t="str">
        <x:v>可访问(200)</x:v>
      </x:c>
      <x:c r="E92" s="80" t="n">
        <x:v>1</x:v>
      </x:c>
      <x:c r="F92" s="80" t="str">
        <x:v>A2</x:v>
      </x:c>
      <x:c r="G92" s="80" t="str">
        <x:v>List of fires in high-rise buildings | Wikipedia dynamic high-rise list (candidate discovery) | 区域代理-美洲</x:v>
      </x:c>
      <x:c r="H92" s="83" t="n">
        <x:v>46260</x:v>
      </x:c>
    </x:row>
    <x:row r="93">
      <x:c r="A93" s="80" t="n">
        <x:v>92</x:v>
      </x:c>
      <x:c r="B93" s="80" t="str">
        <x:v>https://www.cbsnews.com/news/collapsed-cairo-high-rise-traps-15/</x:v>
      </x:c>
      <x:c r="C93" s="80" t="str">
        <x:v>主来源</x:v>
      </x:c>
      <x:c r="D93" s="80" t="str">
        <x:v>可访问(200)</x:v>
      </x:c>
      <x:c r="E93" s="80" t="n">
        <x:v>1</x:v>
      </x:c>
      <x:c r="F93" s="80" t="str">
        <x:v>A</x:v>
      </x:c>
      <x:c r="G93" s="80" t="str">
        <x:v>区域代理-欧洲非洲</x:v>
      </x:c>
      <x:c r="H93" s="83" t="n">
        <x:v>46260</x:v>
      </x:c>
    </x:row>
    <x:row r="94">
      <x:c r="A94" s="80" t="n">
        <x:v>93</x:v>
      </x:c>
      <x:c r="B94" s="80" t="str">
        <x:v>https://www.cbsnews.com/newyork/news/3-alarm-blaze-breaks-out-on-west-side/</x:v>
      </x:c>
      <x:c r="C94" s="80" t="str">
        <x:v>主来源</x:v>
      </x:c>
      <x:c r="D94" s="80" t="str">
        <x:v>可访问(200)</x:v>
      </x:c>
      <x:c r="E94" s="80" t="n">
        <x:v>1</x:v>
      </x:c>
      <x:c r="F94" s="80" t="str">
        <x:v>B1</x:v>
      </x:c>
      <x:c r="G94" s="80" t="str">
        <x:v>List of fires in high-rise buildings | Wikipedia dynamic high-rise list (candidate discovery) | 区域代理-美洲</x:v>
      </x:c>
      <x:c r="H94" s="83" t="n">
        <x:v>46260</x:v>
      </x:c>
    </x:row>
    <x:row r="95">
      <x:c r="A95" s="80" t="n">
        <x:v>94</x:v>
      </x:c>
      <x:c r="B95" s="80" t="str">
        <x:v>https://www.cbsnews.com/newyork/news/fire-midtown-manhattan-nyc/</x:v>
      </x:c>
      <x:c r="C95" s="80" t="str">
        <x:v>主来源</x:v>
      </x:c>
      <x:c r="D95" s="80" t="str">
        <x:v>可访问(200)</x:v>
      </x:c>
      <x:c r="E95" s="80" t="n">
        <x:v>1</x:v>
      </x:c>
      <x:c r="F95" s="80" t="str">
        <x:v>B1</x:v>
      </x:c>
      <x:c r="G95" s="80" t="str">
        <x:v>List of fires in high-rise buildings | Wikipedia dynamic high-rise list (candidate discovery) | 区域代理-美洲</x:v>
      </x:c>
      <x:c r="H95" s="83" t="n">
        <x:v>46260</x:v>
      </x:c>
    </x:row>
    <x:row r="96">
      <x:c r="A96" s="80" t="n">
        <x:v>95</x:v>
      </x:c>
      <x:c r="B96" s="80" t="str">
        <x:v>https://www.channelstv.com/2015/04/15/fire-guts-kontagora-house-in-lagos/</x:v>
      </x:c>
      <x:c r="C96" s="80" t="str">
        <x:v>主来源</x:v>
      </x:c>
      <x:c r="D96" s="80" t="str">
        <x:v>可访问(200)</x:v>
      </x:c>
      <x:c r="E96" s="80" t="n">
        <x:v>1</x:v>
      </x:c>
      <x:c r="F96" s="80" t="str">
        <x:v>B</x:v>
      </x:c>
      <x:c r="G96" s="80" t="str">
        <x:v>区域代理-欧洲非洲</x:v>
      </x:c>
      <x:c r="H96" s="83" t="n">
        <x:v>46260</x:v>
      </x:c>
    </x:row>
    <x:row r="97">
      <x:c r="A97" s="80" t="n">
        <x:v>96</x:v>
      </x:c>
      <x:c r="B97" s="80" t="str">
        <x:v>https://www.channelstv.com/2025/09/20/afriland-publishes-detailed-faqs-on-towers-fire-incident/</x:v>
      </x:c>
      <x:c r="C97" s="80" t="str">
        <x:v>主来源</x:v>
      </x:c>
      <x:c r="D97" s="80" t="str">
        <x:v>可访问(200)</x:v>
      </x:c>
      <x:c r="E97" s="80" t="n">
        <x:v>1</x:v>
      </x:c>
      <x:c r="F97" s="80" t="str">
        <x:v>B</x:v>
      </x:c>
      <x:c r="G97" s="80" t="str">
        <x:v>区域代理-欧洲非洲</x:v>
      </x:c>
      <x:c r="H97" s="83" t="n">
        <x:v>46260</x:v>
      </x:c>
    </x:row>
    <x:row r="98">
      <x:c r="A98" s="80" t="n">
        <x:v>97</x:v>
      </x:c>
      <x:c r="B98" s="80" t="str">
        <x:v>https://www.channelstv.com/2026/01/02/lagos-govt-confirms-eight-deaths-at-gni-building-fire/</x:v>
      </x:c>
      <x:c r="C98" s="80" t="str">
        <x:v>主来源</x:v>
      </x:c>
      <x:c r="D98" s="80" t="str">
        <x:v>可访问(200)</x:v>
      </x:c>
      <x:c r="E98" s="80" t="n">
        <x:v>1</x:v>
      </x:c>
      <x:c r="F98" s="80" t="str">
        <x:v>B</x:v>
      </x:c>
      <x:c r="G98" s="80" t="str">
        <x:v>区域代理-欧洲非洲</x:v>
      </x:c>
      <x:c r="H98" s="83" t="n">
        <x:v>46260</x:v>
      </x:c>
    </x:row>
    <x:row r="99">
      <x:c r="A99" s="80" t="n">
        <x:v>98</x:v>
      </x:c>
      <x:c r="B99" s="80" t="str">
        <x:v>https://www.chicagotribune.com/2003/10/18/6-die-in-loop-blaze/</x:v>
      </x:c>
      <x:c r="C99" s="80" t="str">
        <x:v>补充来源</x:v>
      </x:c>
      <x:c r="D99" s="80" t="str">
        <x:v>受限(403)</x:v>
      </x:c>
      <x:c r="E99" s="80" t="n">
        <x:v>1</x:v>
      </x:c>
      <x:c r="F99" s="80" t="str">
        <x:v>A1</x:v>
      </x:c>
      <x:c r="G99" s="80" t="str">
        <x:v>List of fires in high-rise buildings | Wikipedia dynamic high-rise list (candidate discovery) | 区域代理-美洲</x:v>
      </x:c>
      <x:c r="H99" s="83" t="n">
        <x:v>46260</x:v>
      </x:c>
    </x:row>
    <x:row r="100">
      <x:c r="A100" s="80" t="n">
        <x:v>99</x:v>
      </x:c>
      <x:c r="B100" s="80" t="str">
        <x:v>https://www.chicagotribune.com/chi-0412070131dec07-story.html</x:v>
      </x:c>
      <x:c r="C100" s="80" t="str">
        <x:v>补充来源</x:v>
      </x:c>
      <x:c r="D100" s="80" t="str">
        <x:v>受限(403)</x:v>
      </x:c>
      <x:c r="E100" s="80" t="n">
        <x:v>1</x:v>
      </x:c>
      <x:c r="F100" s="80" t="str">
        <x:v>B1</x:v>
      </x:c>
      <x:c r="G100" s="80" t="str">
        <x:v>List of fires in high-rise buildings | Wikipedia dynamic high-rise list (candidate discovery) | 区域代理-美洲</x:v>
      </x:c>
      <x:c r="H100" s="83" t="n">
        <x:v>46260</x:v>
      </x:c>
    </x:row>
    <x:row r="101">
      <x:c r="A101" s="80" t="n">
        <x:v>100</x:v>
      </x:c>
      <x:c r="B101" s="80" t="str">
        <x:v>https://www.chinadaily.com.cn/a/201905/25/WS5ce816f5a3104842260bdb05.html</x:v>
      </x:c>
      <x:c r="C101" s="80" t="str">
        <x:v>主来源</x:v>
      </x:c>
      <x:c r="D101" s="80" t="str">
        <x:v>可访问(200)</x:v>
      </x:c>
      <x:c r="E101" s="80" t="n">
        <x:v>1</x:v>
      </x:c>
      <x:c r="F101" s="80" t="str">
        <x:v>C</x:v>
      </x:c>
      <x:c r="G101" s="80" t="str">
        <x:v>List of high-rise façade fires | Wikipedia high-rise façade list; derived from Bonner et al./news (candidate discovery)</x:v>
      </x:c>
      <x:c r="H101" s="83" t="n">
        <x:v>46260</x:v>
      </x:c>
    </x:row>
    <x:row r="102">
      <x:c r="A102" s="80" t="n">
        <x:v>101</x:v>
      </x:c>
      <x:c r="B102" s="80" t="str">
        <x:v>https://www.creape.org.br/crea-pe-acompanha-andamento-das-investigacoes-e-ensaios-tecnicos-do-predio-incendiado-no-recife/</x:v>
      </x:c>
      <x:c r="C102" s="80" t="str">
        <x:v>主来源</x:v>
      </x:c>
      <x:c r="D102" s="80" t="str">
        <x:v>HTTP错误(404)</x:v>
      </x:c>
      <x:c r="E102" s="80" t="n">
        <x:v>1</x:v>
      </x:c>
      <x:c r="F102" s="80" t="str">
        <x:v>A1</x:v>
      </x:c>
      <x:c r="G102" s="80" t="str">
        <x:v>List of fires in high-rise buildings | Wikipedia dynamic high-rise list (candidate discovery) | 区域代理-美洲</x:v>
      </x:c>
      <x:c r="H102" s="83" t="n">
        <x:v>46260</x:v>
      </x:c>
    </x:row>
    <x:row r="103">
      <x:c r="A103" s="80" t="n">
        <x:v>102</x:v>
      </x:c>
      <x:c r="B103" s="80" t="str">
        <x:v>https://www.ctvnews.ca/toronto/article/several-residents-of-two-thorncliffe-park-condos-displaced-as-crews-battle-stubborn-4-alarm-fire/</x:v>
      </x:c>
      <x:c r="C103" s="80" t="str">
        <x:v>补充来源</x:v>
      </x:c>
      <x:c r="D103" s="80" t="str">
        <x:v>可访问(200)</x:v>
      </x:c>
      <x:c r="E103" s="80" t="n">
        <x:v>1</x:v>
      </x:c>
      <x:c r="F103" s="80" t="str">
        <x:v>A1</x:v>
      </x:c>
      <x:c r="G103" s="80" t="str">
        <x:v>List of fires in high-rise buildings | Wikipedia dynamic high-rise list (candidate discovery) | 区域代理-美洲</x:v>
      </x:c>
      <x:c r="H103" s="83" t="n">
        <x:v>46260</x:v>
      </x:c>
    </x:row>
    <x:row r="104">
      <x:c r="A104" s="80" t="n">
        <x:v>103</x:v>
      </x:c>
      <x:c r="B104" s="80" t="str">
        <x:v>https://www.dailysabah.com/turkey/fire-breaks-out-in-business-center-in-turkish-capital-ankara/news</x:v>
      </x:c>
      <x:c r="C104" s="80" t="str">
        <x:v>主来源</x:v>
      </x:c>
      <x:c r="D104" s="80" t="str">
        <x:v>可访问(200)</x:v>
      </x:c>
      <x:c r="E104" s="80" t="n">
        <x:v>1</x:v>
      </x:c>
      <x:c r="F104" s="80" t="str">
        <x:v>C</x:v>
      </x:c>
      <x:c r="G104" s="80" t="str">
        <x:v>List of high-rise façade fires | Wikipedia high-rise façade list; derived from Bonner et al./news (candidate discovery)</x:v>
      </x:c>
      <x:c r="H104" s="83" t="n">
        <x:v>46260</x:v>
      </x:c>
    </x:row>
    <x:row r="105">
      <x:c r="A105" s="80" t="n">
        <x:v>104</x:v>
      </x:c>
      <x:c r="B105" s="80" t="str">
        <x:v>https://www.dnainfo.com/new-york/20140316/midtown/fire-breaks-out-at-problematic-one57-construction-site</x:v>
      </x:c>
      <x:c r="C105" s="80" t="str">
        <x:v>主来源</x:v>
      </x:c>
      <x:c r="D105" s="80" t="str">
        <x:v>可访问(200)</x:v>
      </x:c>
      <x:c r="E105" s="80" t="n">
        <x:v>1</x:v>
      </x:c>
      <x:c r="F105" s="80" t="str">
        <x:v>C</x:v>
      </x:c>
      <x:c r="G105" s="80" t="str">
        <x:v>List of fires in high-rise buildings | Wikipedia dynamic high-rise list (candidate discovery)</x:v>
      </x:c>
      <x:c r="H105" s="83" t="n">
        <x:v>46260</x:v>
      </x:c>
    </x:row>
    <x:row r="106">
      <x:c r="A106" s="80" t="n">
        <x:v>105</x:v>
      </x:c>
      <x:c r="B106" s="80" t="str">
        <x:v>https://www.emirates247.com/news/emirates/sharjah-al-hafeet-tower-fire-three-arrested-2013-04-23-1.503726</x:v>
      </x:c>
      <x:c r="C106" s="80" t="str">
        <x:v>主来源</x:v>
      </x:c>
      <x:c r="D106" s="80" t="str">
        <x:v>受限(403)</x:v>
      </x:c>
      <x:c r="E106" s="80" t="n">
        <x:v>1</x:v>
      </x:c>
      <x:c r="F106" s="80" t="str">
        <x:v>C</x:v>
      </x:c>
      <x:c r="G106" s="80" t="str">
        <x:v>List of high-rise façade fires | Wikipedia high-rise façade list; derived from Bonner et al./news (candidate discovery)</x:v>
      </x:c>
      <x:c r="H106" s="83" t="n">
        <x:v>46260</x:v>
      </x:c>
    </x:row>
    <x:row r="107">
      <x:c r="A107" s="80" t="n">
        <x:v>106</x:v>
      </x:c>
      <x:c r="B107" s="80" t="str">
        <x:v>https://www.euronews.com/2021/08/30/no-victims-in-milan-towerblock-fire-reminiscent-of-grenfell-disaster</x:v>
      </x:c>
      <x:c r="C107" s="80" t="str">
        <x:v>补充来源</x:v>
      </x:c>
      <x:c r="D107" s="80" t="str">
        <x:v>可访问(200)</x:v>
      </x:c>
      <x:c r="E107" s="80" t="n">
        <x:v>1</x:v>
      </x:c>
      <x:c r="F107" s="80" t="str">
        <x:v>B</x:v>
      </x:c>
      <x:c r="G107" s="80" t="str">
        <x:v>List of fires in high-rise buildings | List of high-rise façade fires | Wikipedia dynamic high-rise list (candidate discovery) | 区域代理-欧洲非洲</x:v>
      </x:c>
      <x:c r="H107" s="83" t="n">
        <x:v>46260</x:v>
      </x:c>
    </x:row>
    <x:row r="108">
      <x:c r="A108" s="80" t="n">
        <x:v>107</x:v>
      </x:c>
      <x:c r="B108" s="80" t="str">
        <x:v>https://www.euroweeklynews.com/2020/08/30/high-rise-on-fire-in-madrid/</x:v>
      </x:c>
      <x:c r="C108" s="80" t="str">
        <x:v>主来源</x:v>
      </x:c>
      <x:c r="D108" s="80" t="str">
        <x:v>可访问(200)</x:v>
      </x:c>
      <x:c r="E108" s="80" t="n">
        <x:v>1</x:v>
      </x:c>
      <x:c r="F108" s="80" t="str">
        <x:v>C</x:v>
      </x:c>
      <x:c r="G108" s="80" t="str">
        <x:v>List of high-rise façade fires | Wikipedia high-rise façade list; derived from Bonner et al./news (candidate discovery) | 区域代理-欧洲非洲</x:v>
      </x:c>
      <x:c r="H108" s="83" t="n">
        <x:v>46260</x:v>
      </x:c>
    </x:row>
    <x:row r="109">
      <x:c r="A109" s="80" t="n">
        <x:v>108</x:v>
      </x:c>
      <x:c r="B109" s="80" t="str">
        <x:v>https://www.fox5ny.com/news/fire-erupts-near-parade-route-midtown</x:v>
      </x:c>
      <x:c r="C109" s="80" t="str">
        <x:v>补充来源</x:v>
      </x:c>
      <x:c r="D109" s="80" t="str">
        <x:v>可访问(200)</x:v>
      </x:c>
      <x:c r="E109" s="80" t="n">
        <x:v>1</x:v>
      </x:c>
      <x:c r="F109" s="80" t="str">
        <x:v>B1</x:v>
      </x:c>
      <x:c r="G109" s="80" t="str">
        <x:v>List of fires in high-rise buildings | Wikipedia dynamic high-rise list (candidate discovery) | 区域代理-美洲</x:v>
      </x:c>
      <x:c r="H109" s="83" t="n">
        <x:v>46260</x:v>
      </x:c>
    </x:row>
    <x:row r="110">
      <x:c r="A110" s="80" t="n">
        <x:v>109</x:v>
      </x:c>
      <x:c r="B110" s="80" t="str">
        <x:v>https://www.ft.com/content/bb1e05b4-0896-11ea-b2d6-9bf4d1957a67</x:v>
      </x:c>
      <x:c r="C110" s="80" t="str">
        <x:v>主来源</x:v>
      </x:c>
      <x:c r="D110" s="80" t="str">
        <x:v>受限(403)</x:v>
      </x:c>
      <x:c r="E110" s="80" t="n">
        <x:v>1</x:v>
      </x:c>
      <x:c r="F110" s="80" t="str">
        <x:v>C</x:v>
      </x:c>
      <x:c r="G110" s="80" t="str">
        <x:v>List of high-rise façade fires | Wikipedia high-rise façade list; derived from Bonner et al./news (candidate discovery) | 区域代理-欧洲非洲</x:v>
      </x:c>
      <x:c r="H110" s="83" t="n">
        <x:v>46260</x:v>
      </x:c>
    </x:row>
    <x:row r="111">
      <x:c r="A111" s="80" t="n">
        <x:v>110</x:v>
      </x:c>
      <x:c r="B111" s="80" t="str">
        <x:v>https://www.greatnigeriaplc.com/report/2014FinancialStatementFull.pdf</x:v>
      </x:c>
      <x:c r="C111" s="80" t="str">
        <x:v>主来源</x:v>
      </x:c>
      <x:c r="D111" s="80" t="str">
        <x:v>可访问(200)</x:v>
      </x:c>
      <x:c r="E111" s="80" t="n">
        <x:v>1</x:v>
      </x:c>
      <x:c r="F111" s="80" t="str">
        <x:v>A</x:v>
      </x:c>
      <x:c r="G111" s="80" t="str">
        <x:v>区域代理-欧洲非洲</x:v>
      </x:c>
      <x:c r="H111" s="83" t="n">
        <x:v>46260</x:v>
      </x:c>
    </x:row>
    <x:row r="112">
      <x:c r="A112" s="80" t="n">
        <x:v>111</x:v>
      </x:c>
      <x:c r="B112" s="80" t="str">
        <x:v>https://www.highrisefirefighting.co.uk/cstelstar.html</x:v>
      </x:c>
      <x:c r="C112" s="80" t="str">
        <x:v>补充来源</x:v>
      </x:c>
      <x:c r="D112" s="80" t="str">
        <x:v>访问失败(URLError)</x:v>
      </x:c>
      <x:c r="E112" s="80" t="n">
        <x:v>1</x:v>
      </x:c>
      <x:c r="F112" s="80" t="str">
        <x:v>B</x:v>
      </x:c>
      <x:c r="G112" s="80" t="str">
        <x:v>List of high-rise façade fires | Wikipedia high-rise façade list; derived from Bonner et al./news (candidate discovery) | 区域代理-欧洲非洲</x:v>
      </x:c>
      <x:c r="H112" s="83" t="n">
        <x:v>46260</x:v>
      </x:c>
    </x:row>
    <x:row r="113">
      <x:c r="A113" s="80" t="n">
        <x:v>112</x:v>
      </x:c>
      <x:c r="B113" s="80" t="str">
        <x:v>https://www.interieur.gouv.fr/fr/Archives/Archives-des-actualites/2010-Actualites/Incendie-dans-un-foyer-Sonacotra-Adoma</x:v>
      </x:c>
      <x:c r="C113" s="80" t="str">
        <x:v>主来源</x:v>
      </x:c>
      <x:c r="D113" s="80" t="str">
        <x:v>受限(403)</x:v>
      </x:c>
      <x:c r="E113" s="80" t="n">
        <x:v>1</x:v>
      </x:c>
      <x:c r="F113" s="80" t="str">
        <x:v>A</x:v>
      </x:c>
      <x:c r="G113" s="80" t="str">
        <x:v>区域代理-欧洲非洲</x:v>
      </x:c>
      <x:c r="H113" s="83" t="n">
        <x:v>46260</x:v>
      </x:c>
    </x:row>
    <x:row r="114">
      <x:c r="A114" s="80" t="n">
        <x:v>113</x:v>
      </x:c>
      <x:c r="B114" s="80" t="str">
        <x:v>https://www.khaleejtimes.com/nation/dubai/15-floors-gutted-in-Dubai-Marina-fire-</x:v>
      </x:c>
      <x:c r="C114" s="80" t="str">
        <x:v>主来源</x:v>
      </x:c>
      <x:c r="D114" s="80" t="str">
        <x:v>HTTP错误(404)</x:v>
      </x:c>
      <x:c r="E114" s="80" t="n">
        <x:v>1</x:v>
      </x:c>
      <x:c r="F114" s="80" t="str">
        <x:v>C</x:v>
      </x:c>
      <x:c r="G114" s="80" t="str">
        <x:v>List of high-rise façade fires | Wikipedia high-rise façade list; derived from Bonner et al./news (candidate discovery)</x:v>
      </x:c>
      <x:c r="H114" s="83" t="n">
        <x:v>46260</x:v>
      </x:c>
    </x:row>
    <x:row r="115">
      <x:c r="A115" s="80" t="n">
        <x:v>114</x:v>
      </x:c>
      <x:c r="B115" s="80" t="str">
        <x:v>https://www.khaleejtimes.com/nation/dubai/update-fire-put-out-at-dubais-palm-jumeirah-building</x:v>
      </x:c>
      <x:c r="C115" s="80" t="str">
        <x:v>主来源</x:v>
      </x:c>
      <x:c r="D115" s="80" t="str">
        <x:v>可访问(200)</x:v>
      </x:c>
      <x:c r="E115" s="80" t="n">
        <x:v>1</x:v>
      </x:c>
      <x:c r="F115" s="80" t="str">
        <x:v>C</x:v>
      </x:c>
      <x:c r="G115" s="80" t="str">
        <x:v>List of high-rise façade fires | Wikipedia high-rise façade list; derived from Bonner et al./news (candidate discovery)</x:v>
      </x:c>
      <x:c r="H115" s="83" t="n">
        <x:v>46260</x:v>
      </x:c>
    </x:row>
    <x:row r="116">
      <x:c r="A116" s="80" t="n">
        <x:v>115</x:v>
      </x:c>
      <x:c r="B116" s="80" t="str">
        <x:v>https://www.lanouvellerepublique.fr/tours/incendie-dans-un-appartement-du-quartier-bouzignac-a-tours-une-personne-retrouvee-decedee-1760119673</x:v>
      </x:c>
      <x:c r="C116" s="80" t="str">
        <x:v>主来源</x:v>
      </x:c>
      <x:c r="D116" s="80" t="str">
        <x:v>受限(403)</x:v>
      </x:c>
      <x:c r="E116" s="80" t="n">
        <x:v>1</x:v>
      </x:c>
      <x:c r="F116" s="80" t="str">
        <x:v>C</x:v>
      </x:c>
      <x:c r="G116" s="80" t="str">
        <x:v>List of fires in high-rise buildings | Wikipedia dynamic high-rise list (candidate discovery)</x:v>
      </x:c>
      <x:c r="H116" s="83" t="n">
        <x:v>46260</x:v>
      </x:c>
    </x:row>
    <x:row r="117">
      <x:c r="A117" s="80" t="n">
        <x:v>116</x:v>
      </x:c>
      <x:c r="B117" s="80" t="str">
        <x:v>https://www.leparisien.fr/paris-75/paris-75013/paris-incendie-mortel-dans-une-tour-des-olympiades-12-01-2016-5444163.php</x:v>
      </x:c>
      <x:c r="C117" s="80" t="str">
        <x:v>主来源</x:v>
      </x:c>
      <x:c r="D117" s="80" t="str">
        <x:v>可访问(200)</x:v>
      </x:c>
      <x:c r="E117" s="80" t="n">
        <x:v>1</x:v>
      </x:c>
      <x:c r="F117" s="80" t="str">
        <x:v>C</x:v>
      </x:c>
      <x:c r="G117" s="80" t="str">
        <x:v>List of fires in high-rise buildings | Wikipedia dynamic high-rise list (candidate discovery)</x:v>
      </x:c>
      <x:c r="H117" s="83" t="n">
        <x:v>46260</x:v>
      </x:c>
    </x:row>
    <x:row r="118">
      <x:c r="A118" s="80" t="n">
        <x:v>117</x:v>
      </x:c>
      <x:c r="B118" s="80" t="str">
        <x:v>https://www.leparisien.fr/paris-75/paris-75020/paris-xxe-un-mort-et-deux-blesses-graves-dans-l-incendie-d-un-immeuble-01-06-2016-5846939.php</x:v>
      </x:c>
      <x:c r="C118" s="80" t="str">
        <x:v>主来源</x:v>
      </x:c>
      <x:c r="D118" s="80" t="str">
        <x:v>可访问(200)</x:v>
      </x:c>
      <x:c r="E118" s="80" t="n">
        <x:v>1</x:v>
      </x:c>
      <x:c r="F118" s="80" t="str">
        <x:v>C</x:v>
      </x:c>
      <x:c r="G118" s="80" t="str">
        <x:v>List of fires in high-rise buildings | Wikipedia dynamic high-rise list (candidate discovery)</x:v>
      </x:c>
      <x:c r="H118" s="83" t="n">
        <x:v>46260</x:v>
      </x:c>
    </x:row>
    <x:row r="119">
      <x:c r="A119" s="80" t="n">
        <x:v>118</x:v>
      </x:c>
      <x:c r="B119" s="80" t="str">
        <x:v>https://www.leparisien.fr/seine-saint-denis-93/saint-denis-une-femme-meurt-dans-un-incendie-13-01-2016-5448037.php</x:v>
      </x:c>
      <x:c r="C119" s="80" t="str">
        <x:v>主来源</x:v>
      </x:c>
      <x:c r="D119" s="80" t="str">
        <x:v>HTTP错误(404)</x:v>
      </x:c>
      <x:c r="E119" s="80" t="n">
        <x:v>1</x:v>
      </x:c>
      <x:c r="F119" s="80" t="str">
        <x:v>C</x:v>
      </x:c>
      <x:c r="G119" s="80" t="str">
        <x:v>List of fires in high-rise buildings | Wikipedia dynamic high-rise list (candidate discovery)</x:v>
      </x:c>
      <x:c r="H119" s="83" t="n">
        <x:v>46260</x:v>
      </x:c>
    </x:row>
    <x:row r="120">
      <x:c r="A120" s="80" t="n">
        <x:v>119</x:v>
      </x:c>
      <x:c r="B120" s="80" t="str">
        <x:v>https://www.minoafire.org/chinachem-tower#:~:text=external%20works,the%20Fire</x:v>
      </x:c>
      <x:c r="C120" s="80" t="str">
        <x:v>主来源</x:v>
      </x:c>
      <x:c r="D120" s="80" t="str">
        <x:v>可访问(200)</x:v>
      </x:c>
      <x:c r="E120" s="80" t="n">
        <x:v>1</x:v>
      </x:c>
      <x:c r="F120" s="80" t="str">
        <x:v>C</x:v>
      </x:c>
      <x:c r="G120" s="80" t="str">
        <x:v>List of high-rise façade fires | Wikipedia high-rise façade list; derived from Bonner et al./news (candidate discovery)</x:v>
      </x:c>
      <x:c r="H120" s="83" t="n">
        <x:v>46260</x:v>
      </x:c>
    </x:row>
    <x:row r="121">
      <x:c r="A121" s="80" t="n">
        <x:v>120</x:v>
      </x:c>
      <x:c r="B121" s="80" t="str">
        <x:v>https://www.nist.gov/el/fire-research-division-73300/firegov-fire-service/video-cook-county-administration-building-fire</x:v>
      </x:c>
      <x:c r="C121" s="80" t="str">
        <x:v>主来源</x:v>
      </x:c>
      <x:c r="D121" s="80" t="str">
        <x:v>可访问(200)</x:v>
      </x:c>
      <x:c r="E121" s="80" t="n">
        <x:v>1</x:v>
      </x:c>
      <x:c r="F121" s="80" t="str">
        <x:v>A1</x:v>
      </x:c>
      <x:c r="G121" s="80" t="str">
        <x:v>List of fires in high-rise buildings | Wikipedia dynamic high-rise list (candidate discovery) | 区域代理-美洲</x:v>
      </x:c>
      <x:c r="H121" s="83" t="n">
        <x:v>46260</x:v>
      </x:c>
    </x:row>
    <x:row r="122">
      <x:c r="A122" s="80" t="n">
        <x:v>121</x:v>
      </x:c>
      <x:c r="B122" s="80" t="str">
        <x:v>https://www.nytimes.com/2014/01/06/nyregion/fire-at-manhattan-high-rise-injures-two.html</x:v>
      </x:c>
      <x:c r="C122" s="80" t="str">
        <x:v>补充来源</x:v>
      </x:c>
      <x:c r="D122" s="80" t="str">
        <x:v>可访问(200)</x:v>
      </x:c>
      <x:c r="E122" s="80" t="n">
        <x:v>1</x:v>
      </x:c>
      <x:c r="F122" s="80" t="str">
        <x:v>B1</x:v>
      </x:c>
      <x:c r="G122" s="80" t="str">
        <x:v>List of fires in high-rise buildings | Wikipedia dynamic high-rise list (candidate discovery) | 区域代理-美洲</x:v>
      </x:c>
      <x:c r="H122" s="83" t="n">
        <x:v>46260</x:v>
      </x:c>
    </x:row>
    <x:row r="123">
      <x:c r="A123" s="80" t="n">
        <x:v>122</x:v>
      </x:c>
      <x:c r="B123" s="80" t="str">
        <x:v>https://www.oafc.on.ca/about/announcements/fire-news-headlines/charges-laid-thorncliffe-park-condo-fire-burned-weeks</x:v>
      </x:c>
      <x:c r="C123" s="80" t="str">
        <x:v>主来源</x:v>
      </x:c>
      <x:c r="D123" s="80" t="str">
        <x:v>可访问(200)</x:v>
      </x:c>
      <x:c r="E123" s="80" t="n">
        <x:v>1</x:v>
      </x:c>
      <x:c r="F123" s="80" t="str">
        <x:v>A1</x:v>
      </x:c>
      <x:c r="G123" s="80" t="str">
        <x:v>List of fires in high-rise buildings | Wikipedia dynamic high-rise list (candidate discovery) | 区域代理-美洲</x:v>
      </x:c>
      <x:c r="H123" s="83" t="n">
        <x:v>46260</x:v>
      </x:c>
    </x:row>
    <x:row r="124">
      <x:c r="A124" s="80" t="n">
        <x:v>123</x:v>
      </x:c>
      <x:c r="B124" s="80" t="str">
        <x:v>https://www.rainews.it/archivio-rainews/articoli/Grattacielo-in-fiamme-a-Milano-ancora-in-corso-le-operazioni-di-spegnimento-Nessuna-vittima-287fb407-626c-470a-8db3-efd789f646a8.html</x:v>
      </x:c>
      <x:c r="C124" s="80" t="str">
        <x:v>主来源</x:v>
      </x:c>
      <x:c r="D124" s="80" t="str">
        <x:v>可访问(200)</x:v>
      </x:c>
      <x:c r="E124" s="80" t="n">
        <x:v>1</x:v>
      </x:c>
      <x:c r="F124" s="80" t="str">
        <x:v>B</x:v>
      </x:c>
      <x:c r="G124" s="80" t="str">
        <x:v>List of fires in high-rise buildings | List of high-rise façade fires | Wikipedia dynamic high-rise list (candidate discovery) | 区域代理-欧洲非洲</x:v>
      </x:c>
      <x:c r="H124" s="83" t="n">
        <x:v>46260</x:v>
      </x:c>
    </x:row>
    <x:row r="125">
      <x:c r="A125" s="80" t="n">
        <x:v>124</x:v>
      </x:c>
      <x:c r="B125" s="80" t="str">
        <x:v>https://www.reuters.com/article/uk-russia-skyscraper-fire-idUSLNE90O02B20130125</x:v>
      </x:c>
      <x:c r="C125" s="80" t="str">
        <x:v>主来源</x:v>
      </x:c>
      <x:c r="D125" s="80" t="str">
        <x:v>受限(401)</x:v>
      </x:c>
      <x:c r="E125" s="80" t="n">
        <x:v>1</x:v>
      </x:c>
      <x:c r="F125" s="80" t="str">
        <x:v>C</x:v>
      </x:c>
      <x:c r="G125" s="80" t="str">
        <x:v>List of fires in high-rise buildings | Wikipedia dynamic high-rise list (candidate discovery)</x:v>
      </x:c>
      <x:c r="H125" s="83" t="n">
        <x:v>46260</x:v>
      </x:c>
    </x:row>
    <x:row r="126">
      <x:c r="A126" s="80" t="n">
        <x:v>125</x:v>
      </x:c>
      <x:c r="B126" s="80" t="str">
        <x:v>https://www.scmp.com/news/hong-kong/society/article/3212594/fire-pump-not-working-order-when-massive-blaze-engulfed-hong-kong-skyscraper-authorities-reveal</x:v>
      </x:c>
      <x:c r="C126" s="80" t="str">
        <x:v>补充来源</x:v>
      </x:c>
      <x:c r="D126" s="80" t="str">
        <x:v>可访问(200)</x:v>
      </x:c>
      <x:c r="E126" s="80" t="n">
        <x:v>1</x:v>
      </x:c>
      <x:c r="F126" s="80" t="str">
        <x:v>C</x:v>
      </x:c>
      <x:c r="G126" s="80" t="str">
        <x:v>List of fires in high-rise buildings | List of high-rise façade fires | Wikipedia dynamic high-rise list (candidate discovery) | Wikipedia high-rise façade list; derived from Bonner et al./news (candidate discovery)</x:v>
      </x:c>
      <x:c r="H126" s="83" t="n">
        <x:v>46260</x:v>
      </x:c>
    </x:row>
    <x:row r="127">
      <x:c r="A127" s="80" t="n">
        <x:v>126</x:v>
      </x:c>
      <x:c r="B127" s="80" t="str">
        <x:v>https://www.sortiraparis.com/en/news/in-paris/articles/322526-fire-in-progress-avenue-d-iena-in-paris-16th-arrondissement</x:v>
      </x:c>
      <x:c r="C127" s="80" t="str">
        <x:v>主来源</x:v>
      </x:c>
      <x:c r="D127" s="80" t="str">
        <x:v>可访问(200)</x:v>
      </x:c>
      <x:c r="E127" s="80" t="n">
        <x:v>1</x:v>
      </x:c>
      <x:c r="F127" s="80" t="str">
        <x:v>C</x:v>
      </x:c>
      <x:c r="G127" s="80" t="str">
        <x:v>List of high-rise façade fires | Wikipedia high-rise façade list; derived from Bonner et al./news (candidate discovery)</x:v>
      </x:c>
      <x:c r="H127" s="83" t="n">
        <x:v>46260</x:v>
      </x:c>
    </x:row>
    <x:row r="128">
      <x:c r="A128" s="80" t="n">
        <x:v>127</x:v>
      </x:c>
      <x:c r="B128" s="80" t="str">
        <x:v>https://www.sortiraparis.com/en/news/in-paris/articles/322834-fire-in-front-of-gare-saint-lazare-building-destroys-paris-8e-avoid-the-area</x:v>
      </x:c>
      <x:c r="C128" s="80" t="str">
        <x:v>主来源</x:v>
      </x:c>
      <x:c r="D128" s="80" t="str">
        <x:v>可访问(200)</x:v>
      </x:c>
      <x:c r="E128" s="80" t="n">
        <x:v>1</x:v>
      </x:c>
      <x:c r="F128" s="80" t="str">
        <x:v>C</x:v>
      </x:c>
      <x:c r="G128" s="80" t="str">
        <x:v>List of high-rise façade fires | Wikipedia high-rise façade list; derived from Bonner et al./news (candidate discovery)</x:v>
      </x:c>
      <x:c r="H128" s="83" t="n">
        <x:v>46260</x:v>
      </x:c>
    </x:row>
    <x:row r="129">
      <x:c r="A129" s="80" t="n">
        <x:v>128</x:v>
      </x:c>
      <x:c r="B129" s="80" t="str">
        <x:v>https://www.telegraph.co.uk/news/2017/04/02/dramatic-scenes-fire-engulfs-skyscraper-downtown-dubai/</x:v>
      </x:c>
      <x:c r="C129" s="80" t="str">
        <x:v>主来源</x:v>
      </x:c>
      <x:c r="D129" s="80" t="str">
        <x:v>可访问(206)</x:v>
      </x:c>
      <x:c r="E129" s="80" t="n">
        <x:v>1</x:v>
      </x:c>
      <x:c r="F129" s="80" t="str">
        <x:v>C</x:v>
      </x:c>
      <x:c r="G129" s="80" t="str">
        <x:v>List of high-rise façade fires | Wikipedia high-rise façade list; derived from Bonner et al./news (candidate discovery)</x:v>
      </x:c>
      <x:c r="H129" s="83" t="n">
        <x:v>46260</x:v>
      </x:c>
    </x:row>
    <x:row r="130">
      <x:c r="A130" s="80" t="n">
        <x:v>129</x:v>
      </x:c>
      <x:c r="B130" s="80" t="str">
        <x:v>https://www.telegraph.co.uk/news/worldnews/middleeast/dubai/11426566/Fire-rips-through-79-storey-Dubai-Marina-Torch.html</x:v>
      </x:c>
      <x:c r="C130" s="80" t="str">
        <x:v>主来源</x:v>
      </x:c>
      <x:c r="D130" s="80" t="str">
        <x:v>可访问(206)</x:v>
      </x:c>
      <x:c r="E130" s="80" t="n">
        <x:v>1</x:v>
      </x:c>
      <x:c r="F130" s="80" t="str">
        <x:v>C</x:v>
      </x:c>
      <x:c r="G130" s="80" t="str">
        <x:v>List of fires in high-rise buildings | List of high-rise façade fires | Wikipedia high-rise façade list; derived from Bonner et al./news (candidate discovery)</x:v>
      </x:c>
      <x:c r="H130" s="83" t="n">
        <x:v>46260</x:v>
      </x:c>
    </x:row>
    <x:row r="131">
      <x:c r="A131" s="80" t="n">
        <x:v>130</x:v>
      </x:c>
      <x:c r="B131" s="80" t="str">
        <x:v>https://www.teraz.sk/regiony/vybuch-plynu-hasici-hasia-poziar-byt/434333-clanok.html</x:v>
      </x:c>
      <x:c r="C131" s="80" t="str">
        <x:v>主来源</x:v>
      </x:c>
      <x:c r="D131" s="80" t="str">
        <x:v>可访问(200)</x:v>
      </x:c>
      <x:c r="E131" s="80" t="n">
        <x:v>1</x:v>
      </x:c>
      <x:c r="F131" s="80" t="str">
        <x:v>C</x:v>
      </x:c>
      <x:c r="G131" s="80" t="str">
        <x:v>List of fires in high-rise buildings | Wikipedia dynamic high-rise list (candidate discovery)</x:v>
      </x:c>
      <x:c r="H131" s="83" t="n">
        <x:v>46260</x:v>
      </x:c>
    </x:row>
    <x:row r="132">
      <x:c r="A132" s="80" t="n">
        <x:v>131</x:v>
      </x:c>
      <x:c r="B132" s="80" t="str">
        <x:v>https://www.thecable.ng/fire-breaks-out-at-abuja-world-trade-centre/</x:v>
      </x:c>
      <x:c r="C132" s="80" t="str">
        <x:v>主来源</x:v>
      </x:c>
      <x:c r="D132" s="80" t="str">
        <x:v>可访问(200)</x:v>
      </x:c>
      <x:c r="E132" s="80" t="n">
        <x:v>1</x:v>
      </x:c>
      <x:c r="F132" s="80" t="str">
        <x:v>B</x:v>
      </x:c>
      <x:c r="G132" s="80" t="str">
        <x:v>区域代理-欧洲非洲</x:v>
      </x:c>
      <x:c r="H132" s="83" t="n">
        <x:v>46260</x:v>
      </x:c>
    </x:row>
    <x:row r="133">
      <x:c r="A133" s="80" t="n">
        <x:v>132</x:v>
      </x:c>
      <x:c r="B133" s="80" t="str">
        <x:v>https://www.theguardian.com/uk-news/2016/aug/19/fire-crews-tackle-blaze-at-shepherds-bush-tower-block-london</x:v>
      </x:c>
      <x:c r="C133" s="80" t="str">
        <x:v>主来源</x:v>
      </x:c>
      <x:c r="D133" s="80" t="str">
        <x:v>可访问(200)</x:v>
      </x:c>
      <x:c r="E133" s="80" t="n">
        <x:v>1</x:v>
      </x:c>
      <x:c r="F133" s="80" t="str">
        <x:v>C</x:v>
      </x:c>
      <x:c r="G133" s="80" t="str">
        <x:v>List of high-rise façade fires | Wikipedia high-rise façade list; derived from Bonner et al./news (candidate discovery) | 区域代理-欧洲非洲</x:v>
      </x:c>
      <x:c r="H133" s="83" t="n">
        <x:v>46260</x:v>
      </x:c>
    </x:row>
    <x:row r="134">
      <x:c r="A134" s="80" t="n">
        <x:v>133</x:v>
      </x:c>
      <x:c r="B134" s="80" t="str">
        <x:v>https://www.thejakartapost.com/news/2015/03/10/wisma-kosgoro-fire-subdued-short-circuiting-possible-cause.html</x:v>
      </x:c>
      <x:c r="C134" s="80" t="str">
        <x:v>主来源</x:v>
      </x:c>
      <x:c r="D134" s="80" t="str">
        <x:v>可访问(200)</x:v>
      </x:c>
      <x:c r="E134" s="80" t="n">
        <x:v>1</x:v>
      </x:c>
      <x:c r="F134" s="80" t="str">
        <x:v>C</x:v>
      </x:c>
      <x:c r="G134" s="80" t="str">
        <x:v>List of fires in high-rise buildings | Wikipedia dynamic high-rise list (candidate discovery)</x:v>
      </x:c>
      <x:c r="H134" s="83" t="n">
        <x:v>46260</x:v>
      </x:c>
    </x:row>
    <x:row r="135">
      <x:c r="A135" s="80" t="n">
        <x:v>134</x:v>
      </x:c>
      <x:c r="B135" s="80" t="str">
        <x:v>https://www.themoscowtimes.com/2013/04/04/short-circuit-blamed-for-blaze-at-groznys-tallest-building-a22947</x:v>
      </x:c>
      <x:c r="C135" s="80" t="str">
        <x:v>主来源</x:v>
      </x:c>
      <x:c r="D135" s="80" t="str">
        <x:v>可访问(200)</x:v>
      </x:c>
      <x:c r="E135" s="80" t="n">
        <x:v>1</x:v>
      </x:c>
      <x:c r="F135" s="80" t="str">
        <x:v>B</x:v>
      </x:c>
      <x:c r="G135" s="80" t="str">
        <x:v>List of fires in high-rise buildings | List of high-rise façade fires | Wikipedia dynamic high-rise list (candidate discovery) | 区域代理-欧洲非洲</x:v>
      </x:c>
      <x:c r="H135" s="83" t="n">
        <x:v>46260</x:v>
      </x:c>
    </x:row>
    <x:row r="136">
      <x:c r="A136" s="80" t="n">
        <x:v>135</x:v>
      </x:c>
      <x:c r="B136" s="80" t="str">
        <x:v>https://www.trouw.nl/nieuws/explosie-bij-brand-in-rabo-toren-utrecht~bd0429e0</x:v>
      </x:c>
      <x:c r="C136" s="80" t="str">
        <x:v>主来源</x:v>
      </x:c>
      <x:c r="D136" s="80" t="str">
        <x:v>受限(403)</x:v>
      </x:c>
      <x:c r="E136" s="80" t="n">
        <x:v>1</x:v>
      </x:c>
      <x:c r="F136" s="80" t="str">
        <x:v>C</x:v>
      </x:c>
      <x:c r="G136" s="80" t="str">
        <x:v>List of fires in high-rise buildings | Wikipedia dynamic high-rise list (candidate discovery)</x:v>
      </x:c>
      <x:c r="H136" s="83" t="n">
        <x:v>46260</x:v>
      </x:c>
    </x:row>
    <x:row r="137">
      <x:c r="A137" s="80" t="n">
        <x:v>136</x:v>
      </x:c>
      <x:c r="B137" s="80" t="str">
        <x:v>https://www.urban.com.au/expert-insights/100106-fire-risks-in-australian-buildings-go-beyond-cladding-jonathan-barnett</x:v>
      </x:c>
      <x:c r="C137" s="80" t="str">
        <x:v>主来源</x:v>
      </x:c>
      <x:c r="D137" s="80" t="str">
        <x:v>可访问(200)</x:v>
      </x:c>
      <x:c r="E137" s="80" t="n">
        <x:v>1</x:v>
      </x:c>
      <x:c r="F137" s="80" t="str">
        <x:v>C</x:v>
      </x:c>
      <x:c r="G137" s="80" t="str">
        <x:v>List of high-rise façade fires | Wikipedia high-rise façade list; derived from Bonner et al./news (candidate discovery)</x:v>
      </x:c>
      <x:c r="H137" s="83" t="n">
        <x:v>46260</x:v>
      </x:c>
    </x:row>
    <x:row r="138">
      <x:c r="A138" s="80" t="n">
        <x:v>137</x:v>
      </x:c>
      <x:c r="B138" s="80" t="str">
        <x:v>https://www.vanguardngr.com/2015/12/nitel-building-fire-caused-by-electrical-sparks/</x:v>
      </x:c>
      <x:c r="C138" s="80" t="str">
        <x:v>主来源</x:v>
      </x:c>
      <x:c r="D138" s="80" t="str">
        <x:v>受限(403)</x:v>
      </x:c>
      <x:c r="E138" s="80" t="n">
        <x:v>1</x:v>
      </x:c>
      <x:c r="F138" s="80" t="str">
        <x:v>B</x:v>
      </x:c>
      <x:c r="G138" s="80" t="str">
        <x:v>区域代理-欧洲非洲</x:v>
      </x:c>
      <x:c r="H138" s="83" t="n">
        <x:v>46260</x:v>
      </x:c>
    </x:row>
    <x:row r="139">
      <x:c r="A139" s="80" t="n">
        <x:v>138</x:v>
      </x:c>
      <x:c r="B139" s="80" t="str">
        <x:v>https://www.weekendhk.com/weekspecial/%e5%b0%96%e6%b2%99%e5%92%80%e5%a4%a7%e7%81%ab-%e6%b5%b7%e5%93%a1%e4%b9%8b%e5%ae%b6-%e7%81%ab%e8%ad%a6-ctb084-by-1477491/?utm_campaign=WW_Sharing&amp;utm_medium=Message_WW&amp;utm_source=Copy_link</x:v>
      </x:c>
      <x:c r="C139" s="80" t="str">
        <x:v>主来源</x:v>
      </x:c>
      <x:c r="D139" s="80" t="str">
        <x:v>可访问(200)</x:v>
      </x:c>
      <x:c r="E139" s="80" t="n">
        <x:v>1</x:v>
      </x:c>
      <x:c r="F139" s="80" t="str">
        <x:v>C</x:v>
      </x:c>
      <x:c r="G139" s="80" t="str">
        <x:v>List of high-rise façade fires | Wikipedia high-rise façade list; derived from Bonner et al./news (candidate discovery)</x:v>
      </x:c>
      <x:c r="H139" s="83" t="n">
        <x:v>46260</x:v>
      </x:c>
    </x:row>
    <x:row r="140">
      <x:c r="A140" s="81" t="n">
        <x:v>139</x:v>
      </x:c>
      <x:c r="B140" s="81" t="str">
        <x:v>https://www.wsj.com/articles/SB10001424052748703437304576121110358201974</x:v>
      </x:c>
      <x:c r="C140" s="81" t="str">
        <x:v>主来源</x:v>
      </x:c>
      <x:c r="D140" s="81" t="str">
        <x:v>受限(401)</x:v>
      </x:c>
      <x:c r="E140" s="81" t="n">
        <x:v>1</x:v>
      </x:c>
      <x:c r="F140" s="81" t="str">
        <x:v>C</x:v>
      </x:c>
      <x:c r="G140" s="81" t="str">
        <x:v>List of high-rise façade fires | Wikipedia dynamic high-rise list (candidate discovery) | Wikipedia high-rise façade list; derived from Bonner et al./news (candidate discovery)</x:v>
      </x:c>
      <x:c r="H140" s="84" t="n">
        <x:v>46260</x:v>
      </x:c>
    </x:row>
  </x:sheetData>
  <x:conditionalFormatting sqref="D2:D140">
    <x:cfRule type="beginsWith" dxfId="18" priority="1" operator="beginsWith" text="可访问"/>
    <x:cfRule type="beginsWith" dxfId="19" priority="2" operator="beginsWith" text="受限"/>
    <x:cfRule type="containsText" dxfId="20" priority="3" operator="containsText" text="错误"/>
    <x:cfRule type="containsText" dxfId="21" priority="4" operator="containsText" text="失败"/>
  </x:conditionalFormatting>
  <x:pageMargins left="0.7" right="0.7" top="0.75" bottom="0.75" header="0.3" footer="0.3"/>
  <x:tableParts count="1">
    <x:tablePart xmlns:r="http://schemas.openxmlformats.org/officeDocument/2006/relationships" r:id="R336d1b751eb6459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34" customHeight="1">
      <x:c r="A1" s="45" t="str">
        <x:v>口径、字段含义与核验边界</x:v>
      </x:c>
      <x:c r="B1" s="45"/>
    </x:row>
    <x:row r="3" ht="52" customHeight="1">
      <x:c r="A3" s="92" t="str">
        <x:v>研究对象</x:v>
      </x:c>
      <x:c r="B3" s="93" t="str">
        <x:v>2000-01-01 至 2026-08-26 期间发生在城市高层建筑中的火灾。聚焦住宅、办公、酒店、商场、医院及混合用途高层建筑。</x:v>
      </x:c>
    </x:row>
    <x:row r="4" ht="52" customHeight="1">
      <x:c r="A4" s="92" t="str">
        <x:v>排除范围</x:v>
      </x:c>
      <x:c r="B4" s="93" t="str">
        <x:v>排除纯野火、普通低层住宅、露天火灾、一般工厂/仓库火灾，以及没有高层建筑证据的城市火灾。高层裙房、底部停车层等边界事件单独标记。</x:v>
      </x:c>
    </x:row>
    <x:row r="5" ht="52" customHeight="1">
      <x:c r="A5" s="92" t="str">
        <x:v>高层操作口径</x:v>
      </x:c>
      <x:c r="B5" s="93" t="str">
        <x:v>满足以下任一条件可进入候选：可靠来源明确称 high-rise/tower；专业高层火灾汇编收录；或建筑高度有记录。23 m 只用于批量候选筛选，不是全球统一法规定义。</x:v>
      </x:c>
    </x:row>
    <x:row r="6" ht="52" customHeight="1">
      <x:c r="A6" s="92" t="str">
        <x:v>严格确认条件</x:v>
      </x:c>
      <x:c r="B6" s="93" t="str">
        <x:v>事件日期、城市和高层属性由 CTIF/NIST/NFPA/政府或消防调查、可靠机构报告等证据支持；若只来自动态专题列表，则保留为“专题汇编记录”，不可直接作为发生率统计样本。</x:v>
      </x:c>
    </x:row>
    <x:row r="7" ht="52" customHeight="1">
      <x:c r="A7" s="92" t="str">
        <x:v>事件单位</x:v>
      </x:c>
      <x:c r="B7" s="93" t="str">
        <x:v>主表尽量按一次火灾事件保留一行。同一事件影响多栋楼时用“事件组ID”关联，并用“独立事件计数”避免重复累计。</x:v>
      </x:c>
    </x:row>
    <x:row r="8" ht="52" customHeight="1">
      <x:c r="A8" s="92" t="str">
        <x:v>原因列</x:v>
      </x:c>
      <x:c r="B8" s="93" t="str">
        <x:v>只记录来源明确报告的起火原因或调查结论；原因未知、尚在调查或仅有推测时写“未检索到/待核实”。外墙保温、可燃覆层、脚手架、消防系统失效等通常属于扩散或致灾因素，不应自动等同于起火原因。</x:v>
      </x:c>
    </x:row>
    <x:row r="9" ht="52" customHeight="1">
      <x:c r="A9" s="92" t="str">
        <x:v>影响列</x:v>
      </x:c>
      <x:c r="B9" s="93" t="str">
        <x:v>记录死亡、受伤、疏散、结构损毁、坍塌、停用或治理响应等已报告后果。空白不表示没有影响，只表示当前来源未提供。</x:v>
      </x:c>
    </x:row>
    <x:row r="10" ht="52" customHeight="1">
      <x:c r="A10" s="92" t="str">
        <x:v>热浪关系</x:v>
      </x:c>
      <x:c r="B10" s="93" t="str">
        <x:v>本表只建立历史高层建筑火灾事件清单，没有根据空间重叠推断热浪导致火灾。后续需要匹配同日/前期气象、建筑和治理变量，再进行统计归因。</x:v>
      </x:c>
    </x:row>
    <x:row r="11" ht="52" customHeight="1">
      <x:c r="A11" s="92" t="str">
        <x:v>坐标含义</x:v>
      </x:c>
      <x:c r="B11" s="93" t="str">
        <x:v>优先使用事件或建筑近似点；大量候选只有城市代表点。凡由 GeoNames/Open-Meteo 等地名编码得到的坐标都明确标为城市代表点，不得表述为火场精确位置。</x:v>
      </x:c>
    </x:row>
    <x:row r="12" ht="52" customHeight="1">
      <x:c r="A12" s="92" t="str">
        <x:v>来源等级</x:v>
      </x:c>
      <x:c r="B12" s="93" t="str">
        <x:v>A1：政府/正式调查/消防机构；A2：CTIF、NIST、NFPA 等机构性汇编；A/B1/B：可靠学术或主流媒体/专业来源；C：Wikipedia 等动态专题列表；D：尚未核验线索。</x:v>
      </x:c>
    </x:row>
    <x:row r="13" ht="52" customHeight="1">
      <x:c r="A13" s="92" t="str">
        <x:v>核验循环</x:v>
      </x:c>
      <x:c r="B13" s="93" t="str">
        <x:v>第1轮检查日期范围、字段和经纬度；第2轮按日期+城市+建筑名称去重；第3轮检查高层证据与原因/影响边界；第4轮对主URL和补充URL执行 HEAD/GET 两轮访问测试；第5轮修复非ASCII URL并人工处理已发现的跨行引用错配。</x:v>
      </x:c>
    </x:row>
    <x:row r="14" ht="52" customHeight="1">
      <x:c r="A14" s="92" t="str">
        <x:v>URL状态</x:v>
      </x:c>
      <x:c r="B14" s="93" t="str">
        <x:v>“可访问(200/206)”表示测试时可打开；“受限(401/403/429)”表示地址存在但访问受限；404或连接失败表示旧链接失效或当前无法访问。补充URL状态保留在主表。</x:v>
      </x:c>
    </x:row>
    <x:row r="15" ht="52" customHeight="1">
      <x:c r="A15" s="92" t="str">
        <x:v>覆盖偏差</x:v>
      </x:c>
      <x:c r="B15" s="93" t="str">
        <x:v>公开英文专题表明显偏向亚洲、欧洲和知名重大事故；非洲、大洋洲、南美洲及非英语地区严重不足。不同城市消防部门的事件公开程度不同，因此本表不能直接比较各洲真实发生率。</x:v>
      </x:c>
    </x:row>
    <x:row r="16" ht="52" customHeight="1">
      <x:c r="A16" s="92" t="str">
        <x:v>原数量目标</x:v>
      </x:c>
      <x:c r="B16" s="93" t="str">
        <x:v>收窄到高层建筑后，每洲每年20—40条无法由公开、可核查的逐事件来源支持。覆盖统计中的差额仅用于显示资料缺口，不能通过重复事件或普通火灾补齐。</x:v>
      </x:c>
    </x:row>
    <x:row r="17" ht="52" customHeight="1">
      <x:c r="A17" s="92" t="str">
        <x:v>未采用的批量源</x:v>
      </x:c>
      <x:c r="B17" s="93" t="str">
        <x:v>GDACS以野火为主，不符合本次城市高层口径；EM-DAT需注册且事件层级通常缺建筑高度；ReliefWeb缺稳定高层字段；DesInventar覆盖和字段不统一，因此没有直接批量并入。</x:v>
      </x:c>
    </x:row>
    <x:row r="18" ht="52" customHeight="1">
      <x:c r="A18" s="92" t="str">
        <x:v>工作簿结构</x:v>
      </x:c>
      <x:c r="B18" s="93" t="str">
        <x:v>“原始候选”保存各来源的未合并记录；“事件主表”保存去重后的研究清单；“覆盖统计”用公式从主表汇总；“来源清单”记录全部主/补充URL及访问状态。</x:v>
      </x:c>
    </x:row>
    <x:row r="19" ht="52" customHeight="1">
      <x:c r="A19" s="92" t="str">
        <x:v>使用建议</x:v>
      </x:c>
      <x:c r="B19" s="93" t="str">
        <x:v>制图前优先筛选“严格确认”及“确认但有待复核字段”，再检查坐标含义。需要发表或建模时，应逐条回到原始调查/新闻正文复核原因、建筑高度和伤亡。</x:v>
      </x:c>
    </x:row>
  </x:sheetData>
  <x:mergeCells>
    <x:mergeCell ref="A1:B1"/>
  </x:mergeCells>
  <x:pageMargins left="0.7" right="0.7" top="0.75" bottom="0.75" header="0.3" footer="0.3"/>
</x:worksheet>
</file>